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4" documentId="8_{5D70E6B0-2901-42A9-9C70-32944301C51D}" xr6:coauthVersionLast="47" xr6:coauthVersionMax="47" xr10:uidLastSave="{DE05E4B9-9FAC-47D4-A41C-0CA04E5BFF04}"/>
  <bookViews>
    <workbookView xWindow="-108" yWindow="-108" windowWidth="23256" windowHeight="12456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16" i="1" l="1"/>
  <c r="V935" i="1"/>
  <c r="V900" i="1"/>
  <c r="V412" i="1"/>
  <c r="V222" i="1"/>
  <c r="V218" i="1"/>
  <c r="V551" i="1"/>
  <c r="V275" i="1"/>
  <c r="V535" i="1"/>
  <c r="V180" i="1"/>
  <c r="V797" i="1"/>
  <c r="V190" i="1"/>
  <c r="V991" i="1"/>
  <c r="V171" i="1"/>
  <c r="V589" i="1"/>
  <c r="V822" i="1"/>
  <c r="V515" i="1"/>
  <c r="V943" i="1"/>
  <c r="V67" i="1"/>
  <c r="V469" i="1"/>
  <c r="V404" i="1"/>
  <c r="V887" i="1"/>
  <c r="V775" i="1"/>
  <c r="V529" i="1"/>
  <c r="V553" i="1"/>
  <c r="V764" i="1"/>
  <c r="V458" i="1"/>
  <c r="V425" i="1"/>
  <c r="V55" i="1"/>
  <c r="V342" i="1"/>
  <c r="V818" i="1"/>
  <c r="V113" i="1"/>
  <c r="V649" i="1"/>
  <c r="V635" i="1"/>
  <c r="V219" i="1"/>
  <c r="V421" i="1"/>
  <c r="V139" i="1"/>
  <c r="V208" i="1"/>
  <c r="V35" i="1"/>
  <c r="V854" i="1"/>
  <c r="V974" i="1"/>
  <c r="V816" i="1"/>
  <c r="V766" i="1"/>
  <c r="V326" i="1"/>
  <c r="V891" i="1"/>
  <c r="V351" i="1"/>
  <c r="V532" i="1"/>
  <c r="V387" i="1"/>
  <c r="V777" i="1"/>
  <c r="V166" i="1"/>
  <c r="V227" i="1"/>
  <c r="V195" i="1"/>
  <c r="V44" i="1"/>
  <c r="V124" i="1"/>
  <c r="V578" i="1"/>
  <c r="V888" i="1"/>
  <c r="V702" i="1"/>
  <c r="V653" i="1"/>
  <c r="V258" i="1"/>
  <c r="V927" i="1"/>
  <c r="V140" i="1"/>
  <c r="V830" i="1"/>
  <c r="V444" i="1"/>
  <c r="V564" i="1"/>
  <c r="V202" i="1"/>
  <c r="V372" i="1"/>
  <c r="V908" i="1"/>
  <c r="V868" i="1"/>
  <c r="V715" i="1"/>
  <c r="V472" i="1"/>
  <c r="V628" i="1"/>
  <c r="V405" i="1"/>
  <c r="V530" i="1"/>
  <c r="V904" i="1"/>
  <c r="V100" i="1"/>
  <c r="V43" i="1"/>
  <c r="V75" i="1"/>
  <c r="V741" i="1"/>
  <c r="V361" i="1"/>
  <c r="V435" i="1"/>
  <c r="V684" i="1"/>
  <c r="V875" i="1"/>
  <c r="V252" i="1"/>
  <c r="V115" i="1"/>
  <c r="V216" i="1"/>
  <c r="V546" i="1"/>
  <c r="V940" i="1"/>
  <c r="V583" i="1"/>
  <c r="V621" i="1"/>
  <c r="V86" i="1"/>
  <c r="V163" i="1"/>
  <c r="V622" i="1"/>
  <c r="V3" i="1"/>
  <c r="V547" i="1"/>
  <c r="V142" i="1"/>
  <c r="V509" i="1"/>
  <c r="V778" i="1"/>
  <c r="V544" i="1"/>
  <c r="V616" i="1"/>
  <c r="V385" i="1"/>
  <c r="V963" i="1"/>
  <c r="V533" i="1"/>
  <c r="V364" i="1"/>
  <c r="V682" i="1"/>
  <c r="V936" i="1"/>
  <c r="V837" i="1"/>
  <c r="V37" i="1"/>
  <c r="V925" i="1"/>
  <c r="V495" i="1"/>
  <c r="V806" i="1"/>
  <c r="V296" i="1"/>
  <c r="V813" i="1"/>
  <c r="V602" i="1"/>
  <c r="V534" i="1"/>
  <c r="V880" i="1"/>
  <c r="V781" i="1"/>
  <c r="V430" i="1"/>
  <c r="V958" i="1"/>
  <c r="V744" i="1"/>
  <c r="V634" i="1"/>
  <c r="V561" i="1"/>
  <c r="V934" i="1"/>
  <c r="V522" i="1"/>
  <c r="V459" i="1"/>
  <c r="V336" i="1"/>
  <c r="V480" i="1"/>
  <c r="V121" i="1"/>
  <c r="V406" i="1"/>
  <c r="V645" i="1"/>
  <c r="V358" i="1"/>
  <c r="V260" i="1"/>
  <c r="V267" i="1"/>
  <c r="V327" i="1"/>
  <c r="V984" i="1"/>
  <c r="V782" i="1"/>
  <c r="V584" i="1"/>
  <c r="V881" i="1"/>
  <c r="W881" i="1" s="1"/>
  <c r="V283" i="1"/>
  <c r="V753" i="1"/>
  <c r="W753" i="1" s="1"/>
  <c r="V452" i="1"/>
  <c r="V247" i="1"/>
  <c r="V58" i="1"/>
  <c r="V878" i="1"/>
  <c r="V213" i="1"/>
  <c r="V879" i="1"/>
  <c r="V489" i="1"/>
  <c r="V804" i="1"/>
  <c r="V779" i="1"/>
  <c r="V959" i="1"/>
  <c r="V297" i="1"/>
  <c r="V367" i="1"/>
  <c r="V562" i="1"/>
  <c r="V790" i="1"/>
  <c r="V960" i="1"/>
  <c r="V686" i="1"/>
  <c r="V21" i="1"/>
  <c r="V388" i="1"/>
  <c r="V902" i="1"/>
  <c r="W902" i="1" s="1"/>
  <c r="V942" i="1"/>
  <c r="V821" i="1"/>
  <c r="W821" i="1" s="1"/>
  <c r="V977" i="1"/>
  <c r="V221" i="1"/>
  <c r="V574" i="1"/>
  <c r="V135" i="1"/>
  <c r="V15" i="1"/>
  <c r="V465" i="1"/>
  <c r="U59" i="1" a="1"/>
  <c r="U59" i="1" s="1"/>
  <c r="V59" i="1" s="1"/>
  <c r="U298" i="1" a="1"/>
  <c r="U298" i="1" s="1"/>
  <c r="V298" i="1" s="1"/>
  <c r="U873" i="1" a="1"/>
  <c r="U873" i="1" s="1"/>
  <c r="V873" i="1" s="1"/>
  <c r="U81" i="1" a="1"/>
  <c r="U81" i="1" s="1"/>
  <c r="V81" i="1" s="1"/>
  <c r="U494" i="1" a="1"/>
  <c r="U494" i="1" s="1"/>
  <c r="V494" i="1" s="1"/>
  <c r="U593" i="1" a="1"/>
  <c r="U593" i="1" s="1"/>
  <c r="V593" i="1" s="1"/>
  <c r="U716" i="1" a="1"/>
  <c r="U716" i="1" s="1"/>
  <c r="U232" i="1" a="1"/>
  <c r="U232" i="1" s="1"/>
  <c r="V232" i="1" s="1"/>
  <c r="U398" i="1" a="1"/>
  <c r="U398" i="1" s="1"/>
  <c r="V398" i="1" s="1"/>
  <c r="U83" i="1" a="1"/>
  <c r="U83" i="1" s="1"/>
  <c r="V83" i="1" s="1"/>
  <c r="U496" i="1" a="1"/>
  <c r="U496" i="1" s="1"/>
  <c r="V496" i="1" s="1"/>
  <c r="U557" i="1" a="1"/>
  <c r="U557" i="1" s="1"/>
  <c r="V557" i="1" s="1"/>
  <c r="U112" i="1" a="1"/>
  <c r="U112" i="1" s="1"/>
  <c r="V112" i="1" s="1"/>
  <c r="U935" i="1" a="1"/>
  <c r="U935" i="1" s="1"/>
  <c r="U900" i="1" a="1"/>
  <c r="U900" i="1"/>
  <c r="U647" i="1" a="1"/>
  <c r="U647" i="1" s="1"/>
  <c r="V647" i="1" s="1"/>
  <c r="U56" i="1" a="1"/>
  <c r="U56" i="1" s="1"/>
  <c r="V56" i="1" s="1"/>
  <c r="U799" i="1" a="1"/>
  <c r="U799" i="1" s="1"/>
  <c r="V799" i="1" s="1"/>
  <c r="U857" i="1" a="1"/>
  <c r="U857" i="1" s="1"/>
  <c r="V857" i="1" s="1"/>
  <c r="U175" i="1" a="1"/>
  <c r="U175" i="1" s="1"/>
  <c r="V175" i="1" s="1"/>
  <c r="U528" i="1" a="1"/>
  <c r="U528" i="1" s="1"/>
  <c r="V528" i="1" s="1"/>
  <c r="U746" i="1" a="1"/>
  <c r="U746" i="1" s="1"/>
  <c r="V746" i="1" s="1"/>
  <c r="U874" i="1" a="1"/>
  <c r="U874" i="1" s="1"/>
  <c r="V874" i="1" s="1"/>
  <c r="U740" i="1" a="1"/>
  <c r="U740" i="1" s="1"/>
  <c r="V740" i="1" s="1"/>
  <c r="U514" i="1" a="1"/>
  <c r="U514" i="1" s="1"/>
  <c r="V514" i="1" s="1"/>
  <c r="U998" i="1" a="1"/>
  <c r="U998" i="1" s="1"/>
  <c r="V998" i="1" s="1"/>
  <c r="U826" i="1" a="1"/>
  <c r="U826" i="1" s="1"/>
  <c r="V826" i="1" s="1"/>
  <c r="U320" i="1" a="1"/>
  <c r="U320" i="1" s="1"/>
  <c r="V320" i="1" s="1"/>
  <c r="U607" i="1" a="1"/>
  <c r="U607" i="1" s="1"/>
  <c r="V607" i="1" s="1"/>
  <c r="U570" i="1" a="1"/>
  <c r="U570" i="1" s="1"/>
  <c r="V570" i="1" s="1"/>
  <c r="U50" i="1" a="1"/>
  <c r="U50" i="1" s="1"/>
  <c r="V50" i="1" s="1"/>
  <c r="U368" i="1" a="1"/>
  <c r="U368" i="1" s="1"/>
  <c r="V368" i="1" s="1"/>
  <c r="U849" i="1" a="1"/>
  <c r="U849" i="1" s="1"/>
  <c r="V849" i="1" s="1"/>
  <c r="U783" i="1" a="1"/>
  <c r="U783" i="1" s="1"/>
  <c r="V783" i="1" s="1"/>
  <c r="U210" i="1" a="1"/>
  <c r="U210" i="1" s="1"/>
  <c r="V210" i="1" s="1"/>
  <c r="U833" i="1" a="1"/>
  <c r="U833" i="1" s="1"/>
  <c r="V833" i="1" s="1"/>
  <c r="U667" i="1" a="1"/>
  <c r="U667" i="1" s="1"/>
  <c r="V667" i="1" s="1"/>
  <c r="U484" i="1" a="1"/>
  <c r="U484" i="1" s="1"/>
  <c r="V484" i="1" s="1"/>
  <c r="U705" i="1" a="1"/>
  <c r="U705" i="1" s="1"/>
  <c r="V705" i="1" s="1"/>
  <c r="U149" i="1" a="1"/>
  <c r="U149" i="1" s="1"/>
  <c r="V149" i="1" s="1"/>
  <c r="U29" i="1" a="1"/>
  <c r="U29" i="1" s="1"/>
  <c r="V29" i="1" s="1"/>
  <c r="U563" i="1" a="1"/>
  <c r="U563" i="1" s="1"/>
  <c r="V563" i="1" s="1"/>
  <c r="U289" i="1" a="1"/>
  <c r="U289" i="1" s="1"/>
  <c r="V289" i="1" s="1"/>
  <c r="U800" i="1" a="1"/>
  <c r="U800" i="1" s="1"/>
  <c r="V800" i="1" s="1"/>
  <c r="U982" i="1" a="1"/>
  <c r="U982" i="1" s="1"/>
  <c r="V982" i="1" s="1"/>
  <c r="U412" i="1" a="1"/>
  <c r="U412" i="1" s="1"/>
  <c r="U222" i="1" a="1"/>
  <c r="U222" i="1" s="1"/>
  <c r="U178" i="1" a="1"/>
  <c r="U178" i="1" s="1"/>
  <c r="V178" i="1" s="1"/>
  <c r="U870" i="1" a="1"/>
  <c r="U870" i="1" s="1"/>
  <c r="V870" i="1" s="1"/>
  <c r="U233" i="1" a="1"/>
  <c r="U233" i="1" s="1"/>
  <c r="V233" i="1" s="1"/>
  <c r="U566" i="1" a="1"/>
  <c r="U566" i="1" s="1"/>
  <c r="V566" i="1" s="1"/>
  <c r="U914" i="1" a="1"/>
  <c r="U914" i="1" s="1"/>
  <c r="V914" i="1" s="1"/>
  <c r="U500" i="1" a="1"/>
  <c r="U500" i="1" s="1"/>
  <c r="V500" i="1" s="1"/>
  <c r="U883" i="1" a="1"/>
  <c r="U883" i="1" s="1"/>
  <c r="V883" i="1" s="1"/>
  <c r="U415" i="1" a="1"/>
  <c r="U415" i="1" s="1"/>
  <c r="V415" i="1" s="1"/>
  <c r="U851" i="1" a="1"/>
  <c r="U851" i="1" s="1"/>
  <c r="V851" i="1" s="1"/>
  <c r="U24" i="1" a="1"/>
  <c r="U24" i="1" s="1"/>
  <c r="V24" i="1" s="1"/>
  <c r="U945" i="1" a="1"/>
  <c r="U945" i="1" s="1"/>
  <c r="V945" i="1" s="1"/>
  <c r="U27" i="1" a="1"/>
  <c r="U27" i="1" s="1"/>
  <c r="V27" i="1" s="1"/>
  <c r="U796" i="1" a="1"/>
  <c r="U796" i="1" s="1"/>
  <c r="V796" i="1" s="1"/>
  <c r="U834" i="1" a="1"/>
  <c r="U834" i="1" s="1"/>
  <c r="V834" i="1" s="1"/>
  <c r="U611" i="1" a="1"/>
  <c r="U611" i="1" s="1"/>
  <c r="V611" i="1" s="1"/>
  <c r="U725" i="1" a="1"/>
  <c r="U725" i="1" s="1"/>
  <c r="V725" i="1" s="1"/>
  <c r="U307" i="1" a="1"/>
  <c r="U307" i="1" s="1"/>
  <c r="V307" i="1" s="1"/>
  <c r="U290" i="1" a="1"/>
  <c r="U290" i="1" s="1"/>
  <c r="V290" i="1" s="1"/>
  <c r="U985" i="1" a="1"/>
  <c r="U985" i="1" s="1"/>
  <c r="V985" i="1" s="1"/>
  <c r="U884" i="1" a="1"/>
  <c r="U884" i="1" s="1"/>
  <c r="V884" i="1" s="1"/>
  <c r="U376" i="1" a="1"/>
  <c r="U376" i="1" s="1"/>
  <c r="V376" i="1" s="1"/>
  <c r="U125" i="1" a="1"/>
  <c r="U125" i="1" s="1"/>
  <c r="V125" i="1" s="1"/>
  <c r="U946" i="1" a="1"/>
  <c r="U946" i="1" s="1"/>
  <c r="V946" i="1" s="1"/>
  <c r="U155" i="1" a="1"/>
  <c r="U155" i="1" s="1"/>
  <c r="V155" i="1" s="1"/>
  <c r="U467" i="1" a="1"/>
  <c r="U467" i="1" s="1"/>
  <c r="V467" i="1" s="1"/>
  <c r="U261" i="1" a="1"/>
  <c r="U261" i="1" s="1"/>
  <c r="V261" i="1" s="1"/>
  <c r="U889" i="1" a="1"/>
  <c r="U889" i="1" s="1"/>
  <c r="V889" i="1" s="1"/>
  <c r="U217" i="1" a="1"/>
  <c r="U217" i="1" s="1"/>
  <c r="V217" i="1" s="1"/>
  <c r="U347" i="1" a="1"/>
  <c r="U347" i="1" s="1"/>
  <c r="V347" i="1" s="1"/>
  <c r="U165" i="1" a="1"/>
  <c r="U165" i="1" s="1"/>
  <c r="V165" i="1" s="1"/>
  <c r="U218" i="1" a="1"/>
  <c r="U218" i="1" s="1"/>
  <c r="U551" i="1" a="1"/>
  <c r="U551" i="1" s="1"/>
  <c r="U560" i="1" a="1"/>
  <c r="U560" i="1" s="1"/>
  <c r="V560" i="1" s="1"/>
  <c r="U143" i="1" a="1"/>
  <c r="U143" i="1" s="1"/>
  <c r="V143" i="1" s="1"/>
  <c r="U784" i="1" a="1"/>
  <c r="U784" i="1" s="1"/>
  <c r="V784" i="1" s="1"/>
  <c r="U240" i="1" a="1"/>
  <c r="U240" i="1" s="1"/>
  <c r="V240" i="1" s="1"/>
  <c r="U517" i="1" a="1"/>
  <c r="U517" i="1" s="1"/>
  <c r="V517" i="1" s="1"/>
  <c r="U709" i="1" a="1"/>
  <c r="U709" i="1" s="1"/>
  <c r="V709" i="1" s="1"/>
  <c r="U453" i="1" a="1"/>
  <c r="U453" i="1" s="1"/>
  <c r="V453" i="1" s="1"/>
  <c r="U47" i="1" a="1"/>
  <c r="U47" i="1" s="1"/>
  <c r="V47" i="1" s="1"/>
  <c r="U742" i="1" a="1"/>
  <c r="U742" i="1" s="1"/>
  <c r="V742" i="1" s="1"/>
  <c r="U25" i="1" a="1"/>
  <c r="U25" i="1" s="1"/>
  <c r="V25" i="1" s="1"/>
  <c r="U199" i="1" a="1"/>
  <c r="U199" i="1" s="1"/>
  <c r="V199" i="1" s="1"/>
  <c r="U468" i="1" a="1"/>
  <c r="U468" i="1" s="1"/>
  <c r="V468" i="1" s="1"/>
  <c r="U170" i="1" a="1"/>
  <c r="U170" i="1" s="1"/>
  <c r="V170" i="1" s="1"/>
  <c r="W170" i="1" s="1"/>
  <c r="U731" i="1" a="1"/>
  <c r="U731" i="1" s="1"/>
  <c r="V731" i="1" s="1"/>
  <c r="U735" i="1" a="1"/>
  <c r="U735" i="1" s="1"/>
  <c r="V735" i="1" s="1"/>
  <c r="U51" i="1" a="1"/>
  <c r="U51" i="1" s="1"/>
  <c r="V51" i="1" s="1"/>
  <c r="U457" i="1" a="1"/>
  <c r="U457" i="1" s="1"/>
  <c r="V457" i="1" s="1"/>
  <c r="U462" i="1" a="1"/>
  <c r="U462" i="1" s="1"/>
  <c r="V462" i="1" s="1"/>
  <c r="U501" i="1" a="1"/>
  <c r="U501" i="1" s="1"/>
  <c r="V501" i="1" s="1"/>
  <c r="W501" i="1" s="1"/>
  <c r="U748" i="1" a="1"/>
  <c r="U748" i="1" s="1"/>
  <c r="V748" i="1" s="1"/>
  <c r="U512" i="1" a="1"/>
  <c r="U512" i="1" s="1"/>
  <c r="V512" i="1" s="1"/>
  <c r="U701" i="1" a="1"/>
  <c r="U701" i="1" s="1"/>
  <c r="V701" i="1" s="1"/>
  <c r="U262" i="1" a="1"/>
  <c r="U262" i="1" s="1"/>
  <c r="V262" i="1" s="1"/>
  <c r="U103" i="1" a="1"/>
  <c r="U103" i="1" s="1"/>
  <c r="V103" i="1" s="1"/>
  <c r="U485" i="1" a="1"/>
  <c r="U485" i="1" s="1"/>
  <c r="V485" i="1" s="1"/>
  <c r="U214" i="1" a="1"/>
  <c r="U214" i="1" s="1"/>
  <c r="V214" i="1" s="1"/>
  <c r="U860" i="1" a="1"/>
  <c r="U860" i="1" s="1"/>
  <c r="V860" i="1" s="1"/>
  <c r="U30" i="1" a="1"/>
  <c r="U30" i="1" s="1"/>
  <c r="V30" i="1" s="1"/>
  <c r="U136" i="1" a="1"/>
  <c r="U136" i="1" s="1"/>
  <c r="V136" i="1" s="1"/>
  <c r="U814" i="1" a="1"/>
  <c r="U814" i="1" s="1"/>
  <c r="V814" i="1" s="1"/>
  <c r="U275" i="1" a="1"/>
  <c r="U275" i="1" s="1"/>
  <c r="U535" i="1" a="1"/>
  <c r="U535" i="1" s="1"/>
  <c r="U608" i="1" a="1"/>
  <c r="U608" i="1" s="1"/>
  <c r="V608" i="1" s="1"/>
  <c r="U541" i="1" a="1"/>
  <c r="U541" i="1" s="1"/>
  <c r="V541" i="1" s="1"/>
  <c r="U850" i="1" a="1"/>
  <c r="U850" i="1" s="1"/>
  <c r="V850" i="1" s="1"/>
  <c r="U285" i="1" a="1"/>
  <c r="U285" i="1" s="1"/>
  <c r="V285" i="1" s="1"/>
  <c r="U263" i="1" a="1"/>
  <c r="U263" i="1" s="1"/>
  <c r="V263" i="1" s="1"/>
  <c r="U835" i="1" a="1"/>
  <c r="U835" i="1" s="1"/>
  <c r="V835" i="1" s="1"/>
  <c r="U407" i="1" a="1"/>
  <c r="U407" i="1" s="1"/>
  <c r="V407" i="1" s="1"/>
  <c r="U315" i="1" a="1"/>
  <c r="U315" i="1" s="1"/>
  <c r="V315" i="1" s="1"/>
  <c r="U383" i="1" a="1"/>
  <c r="U383" i="1" s="1"/>
  <c r="V383" i="1" s="1"/>
  <c r="U424" i="1" a="1"/>
  <c r="U424" i="1" s="1"/>
  <c r="V424" i="1" s="1"/>
  <c r="U437" i="1" a="1"/>
  <c r="U437" i="1" s="1"/>
  <c r="V437" i="1" s="1"/>
  <c r="U774" i="1" a="1"/>
  <c r="U774" i="1" s="1"/>
  <c r="V774" i="1" s="1"/>
  <c r="U268" i="1" a="1"/>
  <c r="U268" i="1" s="1"/>
  <c r="V268" i="1" s="1"/>
  <c r="U947" i="1" a="1"/>
  <c r="U947" i="1" s="1"/>
  <c r="V947" i="1" s="1"/>
  <c r="U416" i="1" a="1"/>
  <c r="U416" i="1" s="1"/>
  <c r="V416" i="1" s="1"/>
  <c r="U206" i="1" a="1"/>
  <c r="U206" i="1" s="1"/>
  <c r="V206" i="1" s="1"/>
  <c r="U104" i="1" a="1"/>
  <c r="U104" i="1" s="1"/>
  <c r="V104" i="1" s="1"/>
  <c r="U736" i="1" a="1"/>
  <c r="U736" i="1" s="1"/>
  <c r="V736" i="1" s="1"/>
  <c r="U264" i="1" a="1"/>
  <c r="U264" i="1" s="1"/>
  <c r="V264" i="1" s="1"/>
  <c r="U419" i="1" a="1"/>
  <c r="U419" i="1" s="1"/>
  <c r="V419" i="1" s="1"/>
  <c r="U728" i="1" a="1"/>
  <c r="U728" i="1" s="1"/>
  <c r="V728" i="1" s="1"/>
  <c r="U150" i="1" a="1"/>
  <c r="U150" i="1" s="1"/>
  <c r="V150" i="1" s="1"/>
  <c r="U269" i="1" a="1"/>
  <c r="U269" i="1" s="1"/>
  <c r="V269" i="1" s="1"/>
  <c r="U180" i="1" a="1"/>
  <c r="U180" i="1" s="1"/>
  <c r="U797" i="1" a="1"/>
  <c r="U797" i="1" s="1"/>
  <c r="U665" i="1" a="1"/>
  <c r="U665" i="1" s="1"/>
  <c r="V665" i="1" s="1"/>
  <c r="U659" i="1" a="1"/>
  <c r="U659" i="1" s="1"/>
  <c r="V659" i="1" s="1"/>
  <c r="U502" i="1" a="1"/>
  <c r="U502" i="1" s="1"/>
  <c r="V502" i="1" s="1"/>
  <c r="U448" i="1" a="1"/>
  <c r="U448" i="1" s="1"/>
  <c r="V448" i="1" s="1"/>
  <c r="U885" i="1" a="1"/>
  <c r="U885" i="1" s="1"/>
  <c r="V885" i="1" s="1"/>
  <c r="U182" i="1" a="1"/>
  <c r="U182" i="1" s="1"/>
  <c r="V182" i="1" s="1"/>
  <c r="U434" i="1" a="1"/>
  <c r="U434" i="1" s="1"/>
  <c r="V434" i="1" s="1"/>
  <c r="U518" i="1" a="1"/>
  <c r="U518" i="1" s="1"/>
  <c r="V518" i="1" s="1"/>
  <c r="U384" i="1" a="1"/>
  <c r="U384" i="1" s="1"/>
  <c r="V384" i="1" s="1"/>
  <c r="U955" i="1" a="1"/>
  <c r="U955" i="1" s="1"/>
  <c r="V955" i="1" s="1"/>
  <c r="U695" i="1" a="1"/>
  <c r="U695" i="1" s="1"/>
  <c r="V695" i="1" s="1"/>
  <c r="U207" i="1" a="1"/>
  <c r="U207" i="1" s="1"/>
  <c r="V207" i="1" s="1"/>
  <c r="U807" i="1" a="1"/>
  <c r="U807" i="1" s="1"/>
  <c r="V807" i="1" s="1"/>
  <c r="U60" i="1" a="1"/>
  <c r="U60" i="1" s="1"/>
  <c r="V60" i="1" s="1"/>
  <c r="U360" i="1" a="1"/>
  <c r="U360" i="1" s="1"/>
  <c r="V360" i="1" s="1"/>
  <c r="U215" i="1" a="1"/>
  <c r="U215" i="1" s="1"/>
  <c r="V215" i="1" s="1"/>
  <c r="U853" i="1" a="1"/>
  <c r="U853" i="1" s="1"/>
  <c r="V853" i="1" s="1"/>
  <c r="U365" i="1" a="1"/>
  <c r="U365" i="1" s="1"/>
  <c r="V365" i="1" s="1"/>
  <c r="U438" i="1" a="1"/>
  <c r="U438" i="1" s="1"/>
  <c r="V438" i="1" s="1"/>
  <c r="U890" i="1" a="1"/>
  <c r="U890" i="1" s="1"/>
  <c r="V890" i="1" s="1"/>
  <c r="U754" i="1" a="1"/>
  <c r="U754" i="1" s="1"/>
  <c r="V754" i="1" s="1"/>
  <c r="U190" i="1" a="1"/>
  <c r="U190" i="1" s="1"/>
  <c r="U991" i="1" a="1"/>
  <c r="U991" i="1" s="1"/>
  <c r="U486" i="1" a="1"/>
  <c r="U486" i="1" s="1"/>
  <c r="V486" i="1" s="1"/>
  <c r="U66" i="1" a="1"/>
  <c r="U66" i="1" s="1"/>
  <c r="V66" i="1" s="1"/>
  <c r="U270" i="1" a="1"/>
  <c r="U270" i="1" s="1"/>
  <c r="V270" i="1" s="1"/>
  <c r="U38" i="1" a="1"/>
  <c r="U38" i="1" s="1"/>
  <c r="V38" i="1" s="1"/>
  <c r="U72" i="1" a="1"/>
  <c r="U72" i="1" s="1"/>
  <c r="V72" i="1" s="1"/>
  <c r="U10" i="1" a="1"/>
  <c r="U10" i="1" s="1"/>
  <c r="V10" i="1" s="1"/>
  <c r="U810" i="1" a="1"/>
  <c r="U810" i="1" s="1"/>
  <c r="V810" i="1" s="1"/>
  <c r="U997" i="1" a="1"/>
  <c r="U997" i="1" s="1"/>
  <c r="V997" i="1" s="1"/>
  <c r="U966" i="1" a="1"/>
  <c r="U966" i="1" s="1"/>
  <c r="V966" i="1" s="1"/>
  <c r="U976" i="1" a="1"/>
  <c r="U976" i="1" s="1"/>
  <c r="V976" i="1" s="1"/>
  <c r="U341" i="1" a="1"/>
  <c r="U341" i="1" s="1"/>
  <c r="V341" i="1" s="1"/>
  <c r="U896" i="1" a="1"/>
  <c r="U896" i="1" s="1"/>
  <c r="V896" i="1" s="1"/>
  <c r="U117" i="1" a="1"/>
  <c r="U117" i="1" s="1"/>
  <c r="V117" i="1" s="1"/>
  <c r="U153" i="1" a="1"/>
  <c r="U153" i="1" s="1"/>
  <c r="V153" i="1" s="1"/>
  <c r="U763" i="1" a="1"/>
  <c r="U763" i="1" s="1"/>
  <c r="V763" i="1" s="1"/>
  <c r="U156" i="1" a="1"/>
  <c r="U156" i="1" s="1"/>
  <c r="V156" i="1" s="1"/>
  <c r="U171" i="1" a="1"/>
  <c r="U171" i="1" s="1"/>
  <c r="U668" i="1" a="1"/>
  <c r="U668" i="1" s="1"/>
  <c r="V668" i="1" s="1"/>
  <c r="U861" i="1" a="1"/>
  <c r="U861" i="1" s="1"/>
  <c r="V861" i="1" s="1"/>
  <c r="U475" i="1" a="1"/>
  <c r="U475" i="1" s="1"/>
  <c r="V475" i="1" s="1"/>
  <c r="U191" i="1" a="1"/>
  <c r="U191" i="1" s="1"/>
  <c r="V191" i="1" s="1"/>
  <c r="U932" i="1" a="1"/>
  <c r="U932" i="1" s="1"/>
  <c r="V932" i="1" s="1"/>
  <c r="U589" i="1" a="1"/>
  <c r="U589" i="1" s="1"/>
  <c r="U922" i="1" a="1"/>
  <c r="U922" i="1" s="1"/>
  <c r="V922" i="1" s="1"/>
  <c r="U449" i="1" a="1"/>
  <c r="U449" i="1" s="1"/>
  <c r="V449" i="1" s="1"/>
  <c r="U901" i="1" a="1"/>
  <c r="U901" i="1" s="1"/>
  <c r="V901" i="1" s="1"/>
  <c r="U586" i="1" a="1"/>
  <c r="U586" i="1" s="1"/>
  <c r="V586" i="1" s="1"/>
  <c r="U379" i="1" a="1"/>
  <c r="U379" i="1" s="1"/>
  <c r="V379" i="1" s="1"/>
  <c r="U380" i="1" a="1"/>
  <c r="U380" i="1" s="1"/>
  <c r="V380" i="1" s="1"/>
  <c r="U244" i="1" a="1"/>
  <c r="U244" i="1" s="1"/>
  <c r="V244" i="1" s="1"/>
  <c r="U381" i="1" a="1"/>
  <c r="U381" i="1" s="1"/>
  <c r="V381" i="1" s="1"/>
  <c r="U105" i="1" a="1"/>
  <c r="U105" i="1" s="1"/>
  <c r="V105" i="1" s="1"/>
  <c r="U652" i="1" a="1"/>
  <c r="U652" i="1" s="1"/>
  <c r="V652" i="1" s="1"/>
  <c r="U905" i="1" a="1"/>
  <c r="U905" i="1" s="1"/>
  <c r="V905" i="1" s="1"/>
  <c r="U487" i="1" a="1"/>
  <c r="U487" i="1" s="1"/>
  <c r="V487" i="1" s="1"/>
  <c r="U333" i="1" a="1"/>
  <c r="U333" i="1" s="1"/>
  <c r="V333" i="1" s="1"/>
  <c r="U886" i="1" a="1"/>
  <c r="U886" i="1"/>
  <c r="V886" i="1" s="1"/>
  <c r="U575" i="1" a="1"/>
  <c r="U575" i="1" s="1"/>
  <c r="V575" i="1" s="1"/>
  <c r="U481" i="1" a="1"/>
  <c r="U481" i="1" s="1"/>
  <c r="V481" i="1" s="1"/>
  <c r="U822" i="1" a="1"/>
  <c r="U822" i="1" s="1"/>
  <c r="U515" i="1" a="1"/>
  <c r="U515" i="1" s="1"/>
  <c r="U576" i="1" a="1"/>
  <c r="U576" i="1" s="1"/>
  <c r="V576" i="1" s="1"/>
  <c r="U408" i="1" a="1"/>
  <c r="U408" i="1" s="1"/>
  <c r="V408" i="1" s="1"/>
  <c r="U696" i="1" a="1"/>
  <c r="U696" i="1"/>
  <c r="V696" i="1" s="1"/>
  <c r="U755" i="1" a="1"/>
  <c r="U755" i="1" s="1"/>
  <c r="V755" i="1" s="1"/>
  <c r="U108" i="1" a="1"/>
  <c r="U108" i="1" s="1"/>
  <c r="V108" i="1" s="1"/>
  <c r="U828" i="1" a="1"/>
  <c r="U828" i="1" s="1"/>
  <c r="V828" i="1" s="1"/>
  <c r="U192" i="1" a="1"/>
  <c r="U192" i="1" s="1"/>
  <c r="V192" i="1" s="1"/>
  <c r="U254" i="1" a="1"/>
  <c r="U254" i="1" s="1"/>
  <c r="V254" i="1" s="1"/>
  <c r="U79" i="1" a="1"/>
  <c r="U79" i="1" s="1"/>
  <c r="V79" i="1" s="1"/>
  <c r="U96" i="1" a="1"/>
  <c r="U96" i="1" s="1"/>
  <c r="V96" i="1" s="1"/>
  <c r="U131" i="1" a="1"/>
  <c r="U131" i="1" s="1"/>
  <c r="V131" i="1" s="1"/>
  <c r="U330" i="1" a="1"/>
  <c r="U330" i="1" s="1"/>
  <c r="V330" i="1" s="1"/>
  <c r="U685" i="1" a="1"/>
  <c r="U685" i="1" s="1"/>
  <c r="V685" i="1" s="1"/>
  <c r="U676" i="1" a="1"/>
  <c r="U676" i="1" s="1"/>
  <c r="V676" i="1" s="1"/>
  <c r="U710" i="1" a="1"/>
  <c r="U710" i="1" s="1"/>
  <c r="V710" i="1" s="1"/>
  <c r="U256" i="1" a="1"/>
  <c r="U256" i="1" s="1"/>
  <c r="V256" i="1" s="1"/>
  <c r="U395" i="1" a="1"/>
  <c r="U395" i="1" s="1"/>
  <c r="V395" i="1" s="1"/>
  <c r="U46" i="1" a="1"/>
  <c r="U46" i="1" s="1"/>
  <c r="V46" i="1" s="1"/>
  <c r="U11" i="1" a="1"/>
  <c r="U11" i="1" s="1"/>
  <c r="V11" i="1" s="1"/>
  <c r="U852" i="1" a="1"/>
  <c r="U852" i="1" s="1"/>
  <c r="V852" i="1" s="1"/>
  <c r="U5" i="1" a="1"/>
  <c r="U5" i="1" s="1"/>
  <c r="V5" i="1" s="1"/>
  <c r="U943" i="1" a="1"/>
  <c r="U943" i="1" s="1"/>
  <c r="U67" i="1" a="1"/>
  <c r="U67" i="1" s="1"/>
  <c r="U184" i="1" a="1"/>
  <c r="U184" i="1" s="1"/>
  <c r="V184" i="1" s="1"/>
  <c r="U482" i="1" a="1"/>
  <c r="U482" i="1" s="1"/>
  <c r="V482" i="1" s="1"/>
  <c r="U756" i="1" a="1"/>
  <c r="U756" i="1" s="1"/>
  <c r="V756" i="1" s="1"/>
  <c r="U311" i="1" a="1"/>
  <c r="U311" i="1" s="1"/>
  <c r="V311" i="1" s="1"/>
  <c r="U558" i="1" a="1"/>
  <c r="U558" i="1" s="1"/>
  <c r="V558" i="1" s="1"/>
  <c r="U439" i="1" a="1"/>
  <c r="U439" i="1" s="1"/>
  <c r="V439" i="1" s="1"/>
  <c r="U545" i="1" a="1"/>
  <c r="U545" i="1" s="1"/>
  <c r="V545" i="1" s="1"/>
  <c r="U798" i="1" a="1"/>
  <c r="U798" i="1" s="1"/>
  <c r="V798" i="1" s="1"/>
  <c r="U293" i="1" a="1"/>
  <c r="U293" i="1" s="1"/>
  <c r="V293" i="1" s="1"/>
  <c r="U713" i="1" a="1"/>
  <c r="U713" i="1" s="1"/>
  <c r="V713" i="1" s="1"/>
  <c r="U172" i="1" a="1"/>
  <c r="U172" i="1" s="1"/>
  <c r="V172" i="1" s="1"/>
  <c r="U787" i="1" a="1"/>
  <c r="U787" i="1" s="1"/>
  <c r="V787" i="1" s="1"/>
  <c r="U788" i="1" a="1"/>
  <c r="U788" i="1" s="1"/>
  <c r="V788" i="1" s="1"/>
  <c r="U953" i="1" a="1"/>
  <c r="U953" i="1" s="1"/>
  <c r="V953" i="1" s="1"/>
  <c r="U846" i="1" a="1"/>
  <c r="U846" i="1" s="1"/>
  <c r="V846" i="1" s="1"/>
  <c r="U248" i="1" a="1"/>
  <c r="U248" i="1" s="1"/>
  <c r="V248" i="1" s="1"/>
  <c r="U660" i="1" a="1"/>
  <c r="U660" i="1" s="1"/>
  <c r="V660" i="1" s="1"/>
  <c r="U377" i="1" a="1"/>
  <c r="U377" i="1" s="1"/>
  <c r="V377" i="1" s="1"/>
  <c r="U328" i="1" a="1"/>
  <c r="U328" i="1" s="1"/>
  <c r="V328" i="1" s="1"/>
  <c r="U193" i="1" a="1"/>
  <c r="U193" i="1" s="1"/>
  <c r="V193" i="1" s="1"/>
  <c r="U648" i="1" a="1"/>
  <c r="U648" i="1" s="1"/>
  <c r="V648" i="1" s="1"/>
  <c r="U53" i="1" a="1"/>
  <c r="U53" i="1" s="1"/>
  <c r="V53" i="1" s="1"/>
  <c r="U469" i="1" a="1"/>
  <c r="U469" i="1" s="1"/>
  <c r="U505" i="1" a="1"/>
  <c r="U505" i="1" s="1"/>
  <c r="V505" i="1" s="1"/>
  <c r="U321" i="1" a="1"/>
  <c r="U321" i="1" s="1"/>
  <c r="V321" i="1" s="1"/>
  <c r="U126" i="1" a="1"/>
  <c r="U126" i="1" s="1"/>
  <c r="V126" i="1" s="1"/>
  <c r="U714" i="1" a="1"/>
  <c r="U714" i="1" s="1"/>
  <c r="V714" i="1" s="1"/>
  <c r="U961" i="1" a="1"/>
  <c r="U961" i="1" s="1"/>
  <c r="V961" i="1" s="1"/>
  <c r="U308" i="1" a="1"/>
  <c r="U308" i="1" s="1"/>
  <c r="V308" i="1" s="1"/>
  <c r="U906" i="1" a="1"/>
  <c r="U906" i="1" s="1"/>
  <c r="V906" i="1" s="1"/>
  <c r="U552" i="1" a="1"/>
  <c r="U552" i="1" s="1"/>
  <c r="V552" i="1" s="1"/>
  <c r="U16" i="1" a="1"/>
  <c r="U16" i="1" s="1"/>
  <c r="V16" i="1" s="1"/>
  <c r="U229" i="1" a="1"/>
  <c r="U229" i="1" s="1"/>
  <c r="V229" i="1" s="1"/>
  <c r="U483" i="1" a="1"/>
  <c r="U483" i="1" s="1"/>
  <c r="V483" i="1" s="1"/>
  <c r="U226" i="1" a="1"/>
  <c r="U226" i="1" s="1"/>
  <c r="V226" i="1" s="1"/>
  <c r="U137" i="1" a="1"/>
  <c r="U137" i="1" s="1"/>
  <c r="V137" i="1" s="1"/>
  <c r="U476" i="1" a="1"/>
  <c r="U476" i="1" s="1"/>
  <c r="V476" i="1" s="1"/>
  <c r="U986" i="1" a="1"/>
  <c r="U986" i="1" s="1"/>
  <c r="V986" i="1" s="1"/>
  <c r="U404" i="1" a="1"/>
  <c r="U404" i="1" s="1"/>
  <c r="U887" i="1" a="1"/>
  <c r="U887" i="1" s="1"/>
  <c r="U88" i="1" a="1"/>
  <c r="U88" i="1" s="1"/>
  <c r="V88" i="1" s="1"/>
  <c r="U491" i="1" a="1"/>
  <c r="U491" i="1" s="1"/>
  <c r="V491" i="1" s="1"/>
  <c r="U717" i="1" a="1"/>
  <c r="U717" i="1" s="1"/>
  <c r="V717" i="1" s="1"/>
  <c r="U747" i="1" a="1"/>
  <c r="U747" i="1" s="1"/>
  <c r="V747" i="1" s="1"/>
  <c r="U302" i="1" a="1"/>
  <c r="U302" i="1" s="1"/>
  <c r="V302" i="1" s="1"/>
  <c r="U350" i="1" a="1"/>
  <c r="U350" i="1" s="1"/>
  <c r="V350" i="1" s="1"/>
  <c r="U970" i="1" a="1"/>
  <c r="U970" i="1" s="1"/>
  <c r="V970" i="1" s="1"/>
  <c r="U97" i="1" a="1"/>
  <c r="U97" i="1" s="1"/>
  <c r="V97" i="1" s="1"/>
  <c r="U369" i="1" a="1"/>
  <c r="U369" i="1" s="1"/>
  <c r="V369" i="1" s="1"/>
  <c r="U757" i="1" a="1"/>
  <c r="U757" i="1" s="1"/>
  <c r="V757" i="1" s="1"/>
  <c r="U613" i="1" a="1"/>
  <c r="U613" i="1" s="1"/>
  <c r="V613" i="1" s="1"/>
  <c r="U842" i="1" a="1"/>
  <c r="U842" i="1" s="1"/>
  <c r="V842" i="1" s="1"/>
  <c r="U973" i="1" a="1"/>
  <c r="U973" i="1" s="1"/>
  <c r="V973" i="1" s="1"/>
  <c r="U615" i="1" a="1"/>
  <c r="U615" i="1" s="1"/>
  <c r="V615" i="1" s="1"/>
  <c r="U775" i="1" a="1"/>
  <c r="U775" i="1" s="1"/>
  <c r="U529" i="1" a="1"/>
  <c r="U529" i="1" s="1"/>
  <c r="U138" i="1" a="1"/>
  <c r="U138" i="1" s="1"/>
  <c r="V138" i="1" s="1"/>
  <c r="U727" i="1" a="1"/>
  <c r="U727" i="1" s="1"/>
  <c r="V727" i="1" s="1"/>
  <c r="U54" i="1" a="1"/>
  <c r="U54" i="1" s="1"/>
  <c r="V54" i="1" s="1"/>
  <c r="U802" i="1" a="1"/>
  <c r="U802" i="1" s="1"/>
  <c r="V802" i="1" s="1"/>
  <c r="U661" i="1" a="1"/>
  <c r="U661" i="1" s="1"/>
  <c r="V661" i="1" s="1"/>
  <c r="U680" i="1" a="1"/>
  <c r="U680" i="1" s="1"/>
  <c r="V680" i="1" s="1"/>
  <c r="U144" i="1" a="1"/>
  <c r="U144" i="1" s="1"/>
  <c r="V144" i="1" s="1"/>
  <c r="U176" i="1" a="1"/>
  <c r="U176" i="1" s="1"/>
  <c r="V176" i="1" s="1"/>
  <c r="U524" i="1" a="1"/>
  <c r="U524" i="1"/>
  <c r="V524" i="1" s="1"/>
  <c r="U211" i="1" a="1"/>
  <c r="U211" i="1" s="1"/>
  <c r="V211" i="1" s="1"/>
  <c r="U68" i="1" a="1"/>
  <c r="U68" i="1" s="1"/>
  <c r="V68" i="1" s="1"/>
  <c r="U669" i="1" a="1"/>
  <c r="U669" i="1" s="1"/>
  <c r="V669" i="1" s="1"/>
  <c r="U399" i="1" a="1"/>
  <c r="U399" i="1" s="1"/>
  <c r="V399" i="1" s="1"/>
  <c r="U241" i="1" a="1"/>
  <c r="U241" i="1" s="1"/>
  <c r="V241" i="1" s="1"/>
  <c r="U553" i="1" a="1"/>
  <c r="U553" i="1" s="1"/>
  <c r="U764" i="1" a="1"/>
  <c r="U764" i="1" s="1"/>
  <c r="U200" i="1" a="1"/>
  <c r="U200" i="1" s="1"/>
  <c r="V200" i="1" s="1"/>
  <c r="U567" i="1" a="1"/>
  <c r="U567" i="1" s="1"/>
  <c r="V567" i="1" s="1"/>
  <c r="U167" i="1" a="1"/>
  <c r="U167" i="1" s="1"/>
  <c r="V167" i="1" s="1"/>
  <c r="U141" i="1" a="1"/>
  <c r="U141" i="1" s="1"/>
  <c r="V141" i="1" s="1"/>
  <c r="U273" i="1" a="1"/>
  <c r="U273" i="1" s="1"/>
  <c r="V273" i="1" s="1"/>
  <c r="U154" i="1" a="1"/>
  <c r="U154" i="1" s="1"/>
  <c r="V154" i="1" s="1"/>
  <c r="U334" i="1" a="1"/>
  <c r="U334" i="1" s="1"/>
  <c r="V334" i="1" s="1"/>
  <c r="U803" i="1" a="1"/>
  <c r="U803" i="1"/>
  <c r="V803" i="1" s="1"/>
  <c r="U151" i="1" a="1"/>
  <c r="U151" i="1" s="1"/>
  <c r="V151" i="1" s="1"/>
  <c r="U17" i="1" a="1"/>
  <c r="U17" i="1" s="1"/>
  <c r="V17" i="1" s="1"/>
  <c r="U440" i="1" a="1"/>
  <c r="U440" i="1" s="1"/>
  <c r="V440" i="1" s="1"/>
  <c r="U956" i="1" a="1"/>
  <c r="U956" i="1" s="1"/>
  <c r="V956" i="1" s="1"/>
  <c r="U98" i="1" a="1"/>
  <c r="U98" i="1" s="1"/>
  <c r="V98" i="1" s="1"/>
  <c r="U470" i="1" a="1"/>
  <c r="U470" i="1" s="1"/>
  <c r="V470" i="1" s="1"/>
  <c r="U929" i="1" a="1"/>
  <c r="U929" i="1" s="1"/>
  <c r="V929" i="1" s="1"/>
  <c r="U249" i="1" a="1"/>
  <c r="U249" i="1" s="1"/>
  <c r="V249" i="1" s="1"/>
  <c r="U525" i="1" a="1"/>
  <c r="U525" i="1" s="1"/>
  <c r="V525" i="1" s="1"/>
  <c r="U761" i="1" a="1"/>
  <c r="U761" i="1" s="1"/>
  <c r="V761" i="1" s="1"/>
  <c r="U597" i="1" a="1"/>
  <c r="U597" i="1" s="1"/>
  <c r="V597" i="1" s="1"/>
  <c r="U28" i="1" a="1"/>
  <c r="U28" i="1" s="1"/>
  <c r="V28" i="1" s="1"/>
  <c r="U632" i="1" a="1"/>
  <c r="U632" i="1" s="1"/>
  <c r="V632" i="1" s="1"/>
  <c r="U179" i="1" a="1"/>
  <c r="U179" i="1" s="1"/>
  <c r="V179" i="1" s="1"/>
  <c r="U864" i="1" a="1"/>
  <c r="U864" i="1" s="1"/>
  <c r="V864" i="1" s="1"/>
  <c r="U84" i="1" a="1"/>
  <c r="U84" i="1" s="1"/>
  <c r="V84" i="1" s="1"/>
  <c r="U295" i="1" a="1"/>
  <c r="U295" i="1" s="1"/>
  <c r="V295" i="1" s="1"/>
  <c r="U978" i="1" a="1"/>
  <c r="U978" i="1" s="1"/>
  <c r="V978" i="1" s="1"/>
  <c r="U510" i="1" a="1"/>
  <c r="U510" i="1" s="1"/>
  <c r="V510" i="1" s="1"/>
  <c r="U370" i="1" a="1"/>
  <c r="U370" i="1" s="1"/>
  <c r="V370" i="1" s="1"/>
  <c r="U829" i="1" a="1"/>
  <c r="U829" i="1"/>
  <c r="V829" i="1" s="1"/>
  <c r="U389" i="1" a="1"/>
  <c r="U389" i="1" s="1"/>
  <c r="V389" i="1" s="1"/>
  <c r="U471" i="1" a="1"/>
  <c r="U471" i="1" s="1"/>
  <c r="V471" i="1" s="1"/>
  <c r="U458" i="1" a="1"/>
  <c r="U458" i="1" s="1"/>
  <c r="U769" i="1" a="1"/>
  <c r="U769" i="1" s="1"/>
  <c r="V769" i="1" s="1"/>
  <c r="U915" i="1" a="1"/>
  <c r="U915" i="1" s="1"/>
  <c r="V915" i="1" s="1"/>
  <c r="U18" i="1" a="1"/>
  <c r="U18" i="1" s="1"/>
  <c r="V18" i="1" s="1"/>
  <c r="U791" i="1" a="1"/>
  <c r="U791" i="1"/>
  <c r="V791" i="1" s="1"/>
  <c r="U157" i="1" a="1"/>
  <c r="U157" i="1" s="1"/>
  <c r="V157" i="1" s="1"/>
  <c r="U322" i="1" a="1"/>
  <c r="U322" i="1" s="1"/>
  <c r="V322" i="1" s="1"/>
  <c r="U507" i="1" a="1"/>
  <c r="U507" i="1" s="1"/>
  <c r="V507" i="1" s="1"/>
  <c r="U993" i="1" a="1"/>
  <c r="U993" i="1" s="1"/>
  <c r="V993" i="1" s="1"/>
  <c r="U587" i="1" a="1"/>
  <c r="U587" i="1" s="1"/>
  <c r="V587" i="1" s="1"/>
  <c r="U73" i="1" a="1"/>
  <c r="U73" i="1" s="1"/>
  <c r="V73" i="1" s="1"/>
  <c r="U382" i="1" a="1"/>
  <c r="U382" i="1" s="1"/>
  <c r="V382" i="1" s="1"/>
  <c r="U497" i="1" a="1"/>
  <c r="U497" i="1" s="1"/>
  <c r="V497" i="1" s="1"/>
  <c r="U366" i="1" a="1"/>
  <c r="U366" i="1" s="1"/>
  <c r="V366" i="1" s="1"/>
  <c r="U630" i="1" a="1"/>
  <c r="U630" i="1" s="1"/>
  <c r="V630" i="1" s="1"/>
  <c r="U425" i="1" a="1"/>
  <c r="U425" i="1" s="1"/>
  <c r="U55" i="1" a="1"/>
  <c r="U55" i="1" s="1"/>
  <c r="U242" i="1" a="1"/>
  <c r="U242" i="1" s="1"/>
  <c r="V242" i="1" s="1"/>
  <c r="U801" i="1" a="1"/>
  <c r="U801" i="1" s="1"/>
  <c r="V801" i="1" s="1"/>
  <c r="U409" i="1" a="1"/>
  <c r="U409" i="1" s="1"/>
  <c r="V409" i="1" s="1"/>
  <c r="U463" i="1" a="1"/>
  <c r="U463" i="1" s="1"/>
  <c r="V463" i="1" s="1"/>
  <c r="U456" i="1" a="1"/>
  <c r="U456" i="1" s="1"/>
  <c r="V456" i="1" s="1"/>
  <c r="U386" i="1" a="1"/>
  <c r="U386" i="1" s="1"/>
  <c r="V386" i="1" s="1"/>
  <c r="U749" i="1" a="1"/>
  <c r="U749" i="1" s="1"/>
  <c r="V749" i="1" s="1"/>
  <c r="U957" i="1" a="1"/>
  <c r="U957" i="1" s="1"/>
  <c r="V957" i="1" s="1"/>
  <c r="U325" i="1" a="1"/>
  <c r="U325" i="1" s="1"/>
  <c r="V325" i="1" s="1"/>
  <c r="U531" i="1" a="1"/>
  <c r="U531" i="1" s="1"/>
  <c r="V531" i="1" s="1"/>
  <c r="U983" i="1" a="1"/>
  <c r="U983" i="1" s="1"/>
  <c r="V983" i="1" s="1"/>
  <c r="U312" i="1" a="1"/>
  <c r="U312" i="1" s="1"/>
  <c r="V312" i="1" s="1"/>
  <c r="U795" i="1" a="1"/>
  <c r="U795" i="1" s="1"/>
  <c r="V795" i="1" s="1"/>
  <c r="U400" i="1" a="1"/>
  <c r="U400" i="1" s="1"/>
  <c r="V400" i="1" s="1"/>
  <c r="U342" i="1" a="1"/>
  <c r="U342" i="1" s="1"/>
  <c r="U818" i="1" a="1"/>
  <c r="U818" i="1" s="1"/>
  <c r="U441" i="1" a="1"/>
  <c r="U441" i="1" s="1"/>
  <c r="V441" i="1" s="1"/>
  <c r="U823" i="1" a="1"/>
  <c r="U823" i="1" s="1"/>
  <c r="V823" i="1" s="1"/>
  <c r="U343" i="1" a="1"/>
  <c r="U343" i="1" s="1"/>
  <c r="V343" i="1" s="1"/>
  <c r="U765" i="1" a="1"/>
  <c r="U765" i="1" s="1"/>
  <c r="V765" i="1" s="1"/>
  <c r="U85" i="1" a="1"/>
  <c r="U85" i="1" s="1"/>
  <c r="V85" i="1" s="1"/>
  <c r="U177" i="1" a="1"/>
  <c r="U177" i="1" s="1"/>
  <c r="V177" i="1" s="1"/>
  <c r="U304" i="1" a="1"/>
  <c r="U304" i="1" s="1"/>
  <c r="V304" i="1" s="1"/>
  <c r="U353" i="1" a="1"/>
  <c r="U353" i="1" s="1"/>
  <c r="V353" i="1" s="1"/>
  <c r="U429" i="1" a="1"/>
  <c r="U429" i="1" s="1"/>
  <c r="V429" i="1" s="1"/>
  <c r="U234" i="1" a="1"/>
  <c r="U234" i="1" s="1"/>
  <c r="V234" i="1" s="1"/>
  <c r="U417" i="1" a="1"/>
  <c r="U417" i="1" s="1"/>
  <c r="V417" i="1" s="1"/>
  <c r="U286" i="1" a="1"/>
  <c r="U286" i="1" s="1"/>
  <c r="V286" i="1" s="1"/>
  <c r="U132" i="1" a="1"/>
  <c r="U132" i="1" s="1"/>
  <c r="V132" i="1" s="1"/>
  <c r="U907" i="1" a="1"/>
  <c r="U907" i="1" s="1"/>
  <c r="V907" i="1" s="1"/>
  <c r="U113" i="1" a="1"/>
  <c r="U113" i="1" s="1"/>
  <c r="U649" i="1" a="1"/>
  <c r="U649" i="1" s="1"/>
  <c r="U930" i="1" a="1"/>
  <c r="U930" i="1" s="1"/>
  <c r="V930" i="1" s="1"/>
  <c r="U371" i="1" a="1"/>
  <c r="U371" i="1" s="1"/>
  <c r="V371" i="1" s="1"/>
  <c r="U863" i="1" a="1"/>
  <c r="U863" i="1" s="1"/>
  <c r="V863" i="1" s="1"/>
  <c r="U420" i="1" a="1"/>
  <c r="U420" i="1" s="1"/>
  <c r="V420" i="1" s="1"/>
  <c r="U843" i="1" a="1"/>
  <c r="U843" i="1" s="1"/>
  <c r="V843" i="1" s="1"/>
  <c r="U118" i="1" a="1"/>
  <c r="U118" i="1" s="1"/>
  <c r="V118" i="1" s="1"/>
  <c r="U836" i="1" a="1"/>
  <c r="U836" i="1" s="1"/>
  <c r="V836" i="1" s="1"/>
  <c r="U897" i="1" a="1"/>
  <c r="U897" i="1" s="1"/>
  <c r="V897" i="1" s="1"/>
  <c r="U280" i="1" a="1"/>
  <c r="U280" i="1" s="1"/>
  <c r="V280" i="1" s="1"/>
  <c r="U161" i="1" a="1"/>
  <c r="U161" i="1" s="1"/>
  <c r="V161" i="1" s="1"/>
  <c r="U635" i="1" a="1"/>
  <c r="U635" i="1" s="1"/>
  <c r="U219" i="1" a="1"/>
  <c r="U219" i="1" s="1"/>
  <c r="U559" i="1" a="1"/>
  <c r="U559" i="1" s="1"/>
  <c r="V559" i="1" s="1"/>
  <c r="U145" i="1" a="1"/>
  <c r="U145" i="1" s="1"/>
  <c r="V145" i="1" s="1"/>
  <c r="U237" i="1" a="1"/>
  <c r="U237" i="1" s="1"/>
  <c r="V237" i="1" s="1"/>
  <c r="U944" i="1" a="1"/>
  <c r="U944" i="1" s="1"/>
  <c r="V944" i="1" s="1"/>
  <c r="U698" i="1" a="1"/>
  <c r="U698" i="1" s="1"/>
  <c r="V698" i="1" s="1"/>
  <c r="U815" i="1" a="1"/>
  <c r="U815" i="1" s="1"/>
  <c r="V815" i="1" s="1"/>
  <c r="U931" i="1" a="1"/>
  <c r="U931" i="1" s="1"/>
  <c r="V931" i="1" s="1"/>
  <c r="U421" i="1" a="1"/>
  <c r="U421" i="1" s="1"/>
  <c r="U139" i="1" a="1"/>
  <c r="U139" i="1" s="1"/>
  <c r="U962" i="1" a="1"/>
  <c r="U962" i="1" s="1"/>
  <c r="V962" i="1" s="1"/>
  <c r="U158" i="1" a="1"/>
  <c r="U158" i="1" s="1"/>
  <c r="V158" i="1" s="1"/>
  <c r="U871" i="1" a="1"/>
  <c r="U871" i="1" s="1"/>
  <c r="V871" i="1" s="1"/>
  <c r="U542" i="1" a="1"/>
  <c r="U542" i="1" s="1"/>
  <c r="V542" i="1" s="1"/>
  <c r="U223" i="1" a="1"/>
  <c r="U223" i="1" s="1"/>
  <c r="V223" i="1" s="1"/>
  <c r="U950" i="1" a="1"/>
  <c r="U950" i="1" s="1"/>
  <c r="V950" i="1" s="1"/>
  <c r="U208" i="1" a="1"/>
  <c r="U208" i="1" s="1"/>
  <c r="U35" i="1" a="1"/>
  <c r="U35" i="1" s="1"/>
  <c r="U689" i="1" a="1"/>
  <c r="U689" i="1" s="1"/>
  <c r="V689" i="1" s="1"/>
  <c r="U316" i="1" a="1"/>
  <c r="U316" i="1" s="1"/>
  <c r="V316" i="1" s="1"/>
  <c r="U339" i="1" a="1"/>
  <c r="U339" i="1" s="1"/>
  <c r="V339" i="1" s="1"/>
  <c r="U506" i="1" a="1"/>
  <c r="U506" i="1" s="1"/>
  <c r="V506" i="1" s="1"/>
  <c r="U642" i="1" a="1"/>
  <c r="U642" i="1" s="1"/>
  <c r="V642" i="1" s="1"/>
  <c r="U196" i="1" a="1"/>
  <c r="U196" i="1" s="1"/>
  <c r="V196" i="1" s="1"/>
  <c r="U854" i="1" a="1"/>
  <c r="U854" i="1" s="1"/>
  <c r="U974" i="1" a="1"/>
  <c r="U974" i="1" s="1"/>
  <c r="U89" i="1" a="1"/>
  <c r="U89" i="1" s="1"/>
  <c r="V89" i="1" s="1"/>
  <c r="U250" i="1" a="1"/>
  <c r="U250" i="1" s="1"/>
  <c r="V250" i="1" s="1"/>
  <c r="U636" i="1" a="1"/>
  <c r="U636" i="1" s="1"/>
  <c r="V636" i="1" s="1"/>
  <c r="U693" i="1" a="1"/>
  <c r="U693" i="1" s="1"/>
  <c r="V693" i="1" s="1"/>
  <c r="U536" i="1" a="1"/>
  <c r="U536" i="1" s="1"/>
  <c r="V536" i="1" s="1"/>
  <c r="U78" i="1" a="1"/>
  <c r="U78" i="1" s="1"/>
  <c r="V78" i="1" s="1"/>
  <c r="U994" i="1" a="1"/>
  <c r="U994" i="1" s="1"/>
  <c r="V994" i="1" s="1"/>
  <c r="U865" i="1" a="1"/>
  <c r="U865" i="1" s="1"/>
  <c r="V865" i="1" s="1"/>
  <c r="U588" i="1" a="1"/>
  <c r="U588" i="1" s="1"/>
  <c r="V588" i="1" s="1"/>
  <c r="U626" i="1" a="1"/>
  <c r="U626" i="1" s="1"/>
  <c r="V626" i="1" s="1"/>
  <c r="U508" i="1" a="1"/>
  <c r="U508" i="1" s="1"/>
  <c r="V508" i="1" s="1"/>
  <c r="U504" i="1" a="1"/>
  <c r="U504" i="1"/>
  <c r="V504" i="1" s="1"/>
  <c r="U129" i="1" a="1"/>
  <c r="U129" i="1" s="1"/>
  <c r="V129" i="1" s="1"/>
  <c r="U74" i="1" a="1"/>
  <c r="U74" i="1" s="1"/>
  <c r="V74" i="1" s="1"/>
  <c r="U816" i="1" a="1"/>
  <c r="U816" i="1" s="1"/>
  <c r="U766" i="1" a="1"/>
  <c r="U766" i="1" s="1"/>
  <c r="U921" i="1" a="1"/>
  <c r="U921" i="1" s="1"/>
  <c r="V921" i="1" s="1"/>
  <c r="U251" i="1" a="1"/>
  <c r="U251" i="1" s="1"/>
  <c r="V251" i="1" s="1"/>
  <c r="U866" i="1" a="1"/>
  <c r="U866" i="1" s="1"/>
  <c r="V866" i="1" s="1"/>
  <c r="U776" i="1" a="1"/>
  <c r="U776" i="1" s="1"/>
  <c r="V776" i="1" s="1"/>
  <c r="U338" i="1" a="1"/>
  <c r="U338" i="1" s="1"/>
  <c r="V338" i="1" s="1"/>
  <c r="U577" i="1" a="1"/>
  <c r="U577" i="1" s="1"/>
  <c r="V577" i="1" s="1"/>
  <c r="U326" i="1" a="1"/>
  <c r="U326" i="1" s="1"/>
  <c r="U891" i="1" a="1"/>
  <c r="U891" i="1" s="1"/>
  <c r="U951" i="1" a="1"/>
  <c r="U951" i="1" s="1"/>
  <c r="V951" i="1" s="1"/>
  <c r="U130" i="1" a="1"/>
  <c r="U130" i="1" s="1"/>
  <c r="V130" i="1" s="1"/>
  <c r="U770" i="1" a="1"/>
  <c r="U770" i="1" s="1"/>
  <c r="V770" i="1" s="1"/>
  <c r="U719" i="1" a="1"/>
  <c r="U719" i="1" s="1"/>
  <c r="V719" i="1" s="1"/>
  <c r="U590" i="1" a="1"/>
  <c r="U590" i="1" s="1"/>
  <c r="V590" i="1" s="1"/>
  <c r="U939" i="1" a="1"/>
  <c r="U939" i="1" s="1"/>
  <c r="V939" i="1" s="1"/>
  <c r="U351" i="1" a="1"/>
  <c r="U351" i="1" s="1"/>
  <c r="U532" i="1" a="1"/>
  <c r="U532" i="1" s="1"/>
  <c r="U892" i="1" a="1"/>
  <c r="U892" i="1" s="1"/>
  <c r="V892" i="1" s="1"/>
  <c r="U224" i="1" a="1"/>
  <c r="U224" i="1" s="1"/>
  <c r="V224" i="1" s="1"/>
  <c r="U999" i="1" a="1"/>
  <c r="U999" i="1" s="1"/>
  <c r="V999" i="1" s="1"/>
  <c r="U847" i="1" a="1"/>
  <c r="U847" i="1" s="1"/>
  <c r="V847" i="1" s="1"/>
  <c r="U323" i="1" a="1"/>
  <c r="U323" i="1" s="1"/>
  <c r="V323" i="1" s="1"/>
  <c r="U916" i="1" a="1"/>
  <c r="U916" i="1" s="1"/>
  <c r="V916" i="1" s="1"/>
  <c r="U387" i="1" a="1"/>
  <c r="U387" i="1" s="1"/>
  <c r="U777" i="1" a="1"/>
  <c r="U777" i="1" s="1"/>
  <c r="U345" i="1" a="1"/>
  <c r="U345" i="1" s="1"/>
  <c r="V345" i="1" s="1"/>
  <c r="U276" i="1" a="1"/>
  <c r="U276" i="1" s="1"/>
  <c r="V276" i="1" s="1"/>
  <c r="U657" i="1" a="1"/>
  <c r="U657" i="1" s="1"/>
  <c r="V657" i="1" s="1"/>
  <c r="U230" i="1" a="1"/>
  <c r="U230" i="1" s="1"/>
  <c r="V230" i="1" s="1"/>
  <c r="U294" i="1" a="1"/>
  <c r="U294" i="1" s="1"/>
  <c r="V294" i="1" s="1"/>
  <c r="U627" i="1" a="1"/>
  <c r="U627" i="1" s="1"/>
  <c r="V627" i="1" s="1"/>
  <c r="U166" i="1" a="1"/>
  <c r="U166" i="1" s="1"/>
  <c r="U227" i="1" a="1"/>
  <c r="U227" i="1" s="1"/>
  <c r="U146" i="1" a="1"/>
  <c r="U146" i="1" s="1"/>
  <c r="V146" i="1" s="1"/>
  <c r="U917" i="1" a="1"/>
  <c r="U917" i="1" s="1"/>
  <c r="V917" i="1" s="1"/>
  <c r="U1000" i="1" a="1"/>
  <c r="U1000" i="1" s="1"/>
  <c r="V1000" i="1" s="1"/>
  <c r="U426" i="1" a="1"/>
  <c r="U426" i="1" s="1"/>
  <c r="V426" i="1" s="1"/>
  <c r="U620" i="1" a="1"/>
  <c r="U620" i="1" s="1"/>
  <c r="V620" i="1" s="1"/>
  <c r="U492" i="1" a="1"/>
  <c r="U492" i="1" s="1"/>
  <c r="V492" i="1" s="1"/>
  <c r="U195" i="1" a="1"/>
  <c r="U195" i="1" s="1"/>
  <c r="U44" i="1" a="1"/>
  <c r="U44" i="1" s="1"/>
  <c r="U595" i="1" a="1"/>
  <c r="U595" i="1" s="1"/>
  <c r="V595" i="1" s="1"/>
  <c r="U477" i="1" a="1"/>
  <c r="U477" i="1" s="1"/>
  <c r="V477" i="1" s="1"/>
  <c r="U743" i="1" a="1"/>
  <c r="U743" i="1" s="1"/>
  <c r="V743" i="1" s="1"/>
  <c r="U99" i="1" a="1"/>
  <c r="U99" i="1" s="1"/>
  <c r="V99" i="1" s="1"/>
  <c r="U681" i="1" a="1"/>
  <c r="U681" i="1" s="1"/>
  <c r="V681" i="1" s="1"/>
  <c r="U498" i="1" a="1"/>
  <c r="U498" i="1" s="1"/>
  <c r="V498" i="1" s="1"/>
  <c r="U124" i="1" a="1"/>
  <c r="U124" i="1" s="1"/>
  <c r="U578" i="1" a="1"/>
  <c r="U578" i="1" s="1"/>
  <c r="U22" i="1" a="1"/>
  <c r="U22" i="1"/>
  <c r="V22" i="1" s="1"/>
  <c r="U767" i="1" a="1"/>
  <c r="U767" i="1" s="1"/>
  <c r="V767" i="1" s="1"/>
  <c r="U231" i="1" a="1"/>
  <c r="U231" i="1" s="1"/>
  <c r="V231" i="1" s="1"/>
  <c r="U257" i="1" a="1"/>
  <c r="U257" i="1" s="1"/>
  <c r="V257" i="1" s="1"/>
  <c r="U52" i="1" a="1"/>
  <c r="U52" i="1" s="1"/>
  <c r="V52" i="1" s="1"/>
  <c r="U771" i="1" a="1"/>
  <c r="U771" i="1" s="1"/>
  <c r="V771" i="1" s="1"/>
  <c r="U888" i="1" a="1"/>
  <c r="U888" i="1" s="1"/>
  <c r="U702" i="1" a="1"/>
  <c r="U702" i="1"/>
  <c r="U183" i="1" a="1"/>
  <c r="U183" i="1" s="1"/>
  <c r="V183" i="1" s="1"/>
  <c r="U291" i="1" a="1"/>
  <c r="U291" i="1" s="1"/>
  <c r="V291" i="1" s="1"/>
  <c r="U549" i="1" a="1"/>
  <c r="U549" i="1" s="1"/>
  <c r="V549" i="1" s="1"/>
  <c r="U479" i="1" a="1"/>
  <c r="U479" i="1" s="1"/>
  <c r="V479" i="1" s="1"/>
  <c r="U785" i="1" a="1"/>
  <c r="U785" i="1" s="1"/>
  <c r="V785" i="1" s="1"/>
  <c r="U478" i="1" a="1"/>
  <c r="U478" i="1" s="1"/>
  <c r="V478" i="1" s="1"/>
  <c r="U653" i="1" a="1"/>
  <c r="U653" i="1" s="1"/>
  <c r="U258" i="1" a="1"/>
  <c r="U258" i="1" s="1"/>
  <c r="U201" i="1" a="1"/>
  <c r="U201" i="1" s="1"/>
  <c r="V201" i="1" s="1"/>
  <c r="U643" i="1" a="1"/>
  <c r="U643" i="1" s="1"/>
  <c r="V643" i="1" s="1"/>
  <c r="U582" i="1" a="1"/>
  <c r="U582" i="1" s="1"/>
  <c r="V582" i="1" s="1"/>
  <c r="U45" i="1" a="1"/>
  <c r="U45" i="1" s="1"/>
  <c r="V45" i="1" s="1"/>
  <c r="U23" i="1" a="1"/>
  <c r="U23" i="1" s="1"/>
  <c r="V23" i="1" s="1"/>
  <c r="U579" i="1" a="1"/>
  <c r="U579" i="1" s="1"/>
  <c r="V579" i="1" s="1"/>
  <c r="U927" i="1" a="1"/>
  <c r="U927" i="1" s="1"/>
  <c r="U140" i="1" a="1"/>
  <c r="U140" i="1" s="1"/>
  <c r="U759" i="1" a="1"/>
  <c r="U759" i="1" s="1"/>
  <c r="V759" i="1" s="1"/>
  <c r="U867" i="1" a="1"/>
  <c r="U867" i="1" s="1"/>
  <c r="V867" i="1" s="1"/>
  <c r="U711" i="1" a="1"/>
  <c r="U711" i="1" s="1"/>
  <c r="V711" i="1" s="1"/>
  <c r="U281" i="1" a="1"/>
  <c r="U281" i="1" s="1"/>
  <c r="V281" i="1" s="1"/>
  <c r="U691" i="1" a="1"/>
  <c r="U691" i="1" s="1"/>
  <c r="V691" i="1" s="1"/>
  <c r="U390" i="1" a="1"/>
  <c r="U390" i="1" s="1"/>
  <c r="V390" i="1" s="1"/>
  <c r="U830" i="1" a="1"/>
  <c r="U830" i="1" s="1"/>
  <c r="U444" i="1" a="1"/>
  <c r="U444" i="1" s="1"/>
  <c r="U772" i="1" a="1"/>
  <c r="U772" i="1" s="1"/>
  <c r="V772" i="1" s="1"/>
  <c r="U152" i="1" a="1"/>
  <c r="U152" i="1" s="1"/>
  <c r="V152" i="1" s="1"/>
  <c r="U245" i="1" a="1"/>
  <c r="U245" i="1" s="1"/>
  <c r="V245" i="1" s="1"/>
  <c r="U614" i="1" a="1"/>
  <c r="U614" i="1" s="1"/>
  <c r="V614" i="1" s="1"/>
  <c r="U768" i="1" a="1"/>
  <c r="U768" i="1" s="1"/>
  <c r="V768" i="1" s="1"/>
  <c r="U650" i="1" a="1"/>
  <c r="U650" i="1" s="1"/>
  <c r="V650" i="1" s="1"/>
  <c r="U564" i="1" a="1"/>
  <c r="U564" i="1" s="1"/>
  <c r="U202" i="1" a="1"/>
  <c r="U202" i="1" s="1"/>
  <c r="U526" i="1" a="1"/>
  <c r="U526" i="1" s="1"/>
  <c r="V526" i="1" s="1"/>
  <c r="U277" i="1" a="1"/>
  <c r="U277" i="1" s="1"/>
  <c r="V277" i="1" s="1"/>
  <c r="U393" i="1" a="1"/>
  <c r="U393" i="1" s="1"/>
  <c r="V393" i="1" s="1"/>
  <c r="U32" i="1" a="1"/>
  <c r="U32" i="1" s="1"/>
  <c r="V32" i="1" s="1"/>
  <c r="U780" i="1" a="1"/>
  <c r="U780" i="1" s="1"/>
  <c r="V780" i="1" s="1"/>
  <c r="U69" i="1" a="1"/>
  <c r="U69" i="1" s="1"/>
  <c r="V69" i="1" s="1"/>
  <c r="U372" i="1" a="1"/>
  <c r="U372" i="1" s="1"/>
  <c r="U908" i="1" a="1"/>
  <c r="U908" i="1" s="1"/>
  <c r="U844" i="1" a="1"/>
  <c r="U844" i="1" s="1"/>
  <c r="V844" i="1" s="1"/>
  <c r="U427" i="1" a="1"/>
  <c r="U427" i="1" s="1"/>
  <c r="V427" i="1" s="1"/>
  <c r="U519" i="1" a="1"/>
  <c r="U519" i="1" s="1"/>
  <c r="V519" i="1" s="1"/>
  <c r="U255" i="1" a="1"/>
  <c r="U255" i="1" s="1"/>
  <c r="V255" i="1" s="1"/>
  <c r="U898" i="1" a="1"/>
  <c r="U898" i="1" s="1"/>
  <c r="V898" i="1" s="1"/>
  <c r="U284" i="1" a="1"/>
  <c r="U284" i="1" s="1"/>
  <c r="V284" i="1" s="1"/>
  <c r="U868" i="1" a="1"/>
  <c r="U868" i="1" s="1"/>
  <c r="U715" i="1" a="1"/>
  <c r="U715" i="1" s="1"/>
  <c r="U808" i="1" a="1"/>
  <c r="U808" i="1" s="1"/>
  <c r="V808" i="1" s="1"/>
  <c r="U654" i="1" a="1"/>
  <c r="U654" i="1" s="1"/>
  <c r="V654" i="1" s="1"/>
  <c r="U119" i="1" a="1"/>
  <c r="U119" i="1" s="1"/>
  <c r="V119" i="1" s="1"/>
  <c r="U61" i="1" a="1"/>
  <c r="U61" i="1" s="1"/>
  <c r="V61" i="1" s="1"/>
  <c r="U690" i="1" a="1"/>
  <c r="U690" i="1" s="1"/>
  <c r="V690" i="1" s="1"/>
  <c r="U133" i="1" a="1"/>
  <c r="U133" i="1" s="1"/>
  <c r="V133" i="1" s="1"/>
  <c r="U472" i="1" a="1"/>
  <c r="U472" i="1" s="1"/>
  <c r="U628" i="1" a="1"/>
  <c r="U628" i="1" s="1"/>
  <c r="U503" i="1" a="1"/>
  <c r="U503" i="1" s="1"/>
  <c r="V503" i="1" s="1"/>
  <c r="U36" i="1" a="1"/>
  <c r="U36" i="1" s="1"/>
  <c r="V36" i="1" s="1"/>
  <c r="U831" i="1" a="1"/>
  <c r="U831" i="1" s="1"/>
  <c r="V831" i="1" s="1"/>
  <c r="U923" i="1" a="1"/>
  <c r="U923" i="1" s="1"/>
  <c r="V923" i="1" s="1"/>
  <c r="U598" i="1" a="1"/>
  <c r="U598" i="1" s="1"/>
  <c r="V598" i="1" s="1"/>
  <c r="U987" i="1" a="1"/>
  <c r="U987" i="1" s="1"/>
  <c r="V987" i="1" s="1"/>
  <c r="U405" i="1" a="1"/>
  <c r="U405" i="1" s="1"/>
  <c r="U530" i="1" a="1"/>
  <c r="U530" i="1" s="1"/>
  <c r="U893" i="1" a="1"/>
  <c r="U893" i="1" s="1"/>
  <c r="V893" i="1" s="1"/>
  <c r="U520" i="1" a="1"/>
  <c r="U520" i="1" s="1"/>
  <c r="V520" i="1" s="1"/>
  <c r="U967" i="1" a="1"/>
  <c r="U967" i="1" s="1"/>
  <c r="V967" i="1" s="1"/>
  <c r="U352" i="1" a="1"/>
  <c r="U352" i="1" s="1"/>
  <c r="V352" i="1" s="1"/>
  <c r="U543" i="1" a="1"/>
  <c r="U543" i="1" s="1"/>
  <c r="V543" i="1" s="1"/>
  <c r="U792" i="1" a="1"/>
  <c r="U792" i="1" s="1"/>
  <c r="V792" i="1" s="1"/>
  <c r="U49" i="1" a="1"/>
  <c r="U49" i="1" s="1"/>
  <c r="V49" i="1" s="1"/>
  <c r="U909" i="1" a="1"/>
  <c r="U909" i="1" s="1"/>
  <c r="V909" i="1" s="1"/>
  <c r="U937" i="1" a="1"/>
  <c r="U937" i="1" s="1"/>
  <c r="V937" i="1" s="1"/>
  <c r="U677" i="1" a="1"/>
  <c r="U677" i="1" s="1"/>
  <c r="V677" i="1" s="1"/>
  <c r="U599" i="1" a="1"/>
  <c r="U599" i="1" s="1"/>
  <c r="V599" i="1" s="1"/>
  <c r="U817" i="1" a="1"/>
  <c r="U817" i="1" s="1"/>
  <c r="V817" i="1" s="1"/>
  <c r="U31" i="1" a="1"/>
  <c r="U31" i="1"/>
  <c r="V31" i="1" s="1"/>
  <c r="U2" i="1" a="1"/>
  <c r="U2" i="1" s="1"/>
  <c r="V2" i="1" s="1"/>
  <c r="U633" i="1" a="1"/>
  <c r="U633" i="1" s="1"/>
  <c r="V633" i="1" s="1"/>
  <c r="U904" i="1" a="1"/>
  <c r="U904" i="1" s="1"/>
  <c r="U670" i="1" a="1"/>
  <c r="U670" i="1" s="1"/>
  <c r="V670" i="1" s="1"/>
  <c r="U48" i="1" a="1"/>
  <c r="U48" i="1" s="1"/>
  <c r="V48" i="1" s="1"/>
  <c r="U42" i="1" a="1"/>
  <c r="U42" i="1" s="1"/>
  <c r="V42" i="1" s="1"/>
  <c r="U62" i="1" a="1"/>
  <c r="U62" i="1" s="1"/>
  <c r="V62" i="1" s="1"/>
  <c r="U94" i="1" a="1"/>
  <c r="U94" i="1" s="1"/>
  <c r="V94" i="1" s="1"/>
  <c r="U271" i="1" a="1"/>
  <c r="U271" i="1" s="1"/>
  <c r="V271" i="1" s="1"/>
  <c r="U975" i="1" a="1"/>
  <c r="U975" i="1" s="1"/>
  <c r="V975" i="1" s="1"/>
  <c r="U100" i="1" a="1"/>
  <c r="U100" i="1" s="1"/>
  <c r="U811" i="1" a="1"/>
  <c r="U811" i="1" s="1"/>
  <c r="V811" i="1" s="1"/>
  <c r="U703" i="1" a="1"/>
  <c r="U703" i="1" s="1"/>
  <c r="V703" i="1" s="1"/>
  <c r="U488" i="1" a="1"/>
  <c r="U488" i="1" s="1"/>
  <c r="V488" i="1" s="1"/>
  <c r="U303" i="1" a="1"/>
  <c r="U303" i="1" s="1"/>
  <c r="V303" i="1" s="1"/>
  <c r="U422" i="1" a="1"/>
  <c r="U422" i="1" s="1"/>
  <c r="V422" i="1" s="1"/>
  <c r="U554" i="1" a="1"/>
  <c r="U554" i="1" s="1"/>
  <c r="V554" i="1" s="1"/>
  <c r="U687" i="1" a="1"/>
  <c r="U687" i="1" s="1"/>
  <c r="V687" i="1" s="1"/>
  <c r="U43" i="1" a="1"/>
  <c r="U43" i="1" s="1"/>
  <c r="U114" i="1" a="1"/>
  <c r="U114" i="1" s="1"/>
  <c r="V114" i="1" s="1"/>
  <c r="U555" i="1" a="1"/>
  <c r="U555" i="1" s="1"/>
  <c r="V555" i="1" s="1"/>
  <c r="U858" i="1" a="1"/>
  <c r="U858" i="1" s="1"/>
  <c r="V858" i="1" s="1"/>
  <c r="U442" i="1" a="1"/>
  <c r="U442" i="1" s="1"/>
  <c r="V442" i="1" s="1"/>
  <c r="U580" i="1" a="1"/>
  <c r="U580" i="1" s="1"/>
  <c r="V580" i="1" s="1"/>
  <c r="U641" i="1" a="1"/>
  <c r="U641" i="1" s="1"/>
  <c r="V641" i="1" s="1"/>
  <c r="U225" i="1" a="1"/>
  <c r="U225" i="1" s="1"/>
  <c r="V225" i="1" s="1"/>
  <c r="U75" i="1" a="1"/>
  <c r="U75" i="1" s="1"/>
  <c r="U120" i="1" a="1"/>
  <c r="U120" i="1" s="1"/>
  <c r="V120" i="1" s="1"/>
  <c r="U637" i="1" a="1"/>
  <c r="U637" i="1" s="1"/>
  <c r="V637" i="1" s="1"/>
  <c r="U185" i="1" a="1"/>
  <c r="U185" i="1" s="1"/>
  <c r="V185" i="1" s="1"/>
  <c r="U623" i="1" a="1"/>
  <c r="U623" i="1" s="1"/>
  <c r="V623" i="1" s="1"/>
  <c r="U952" i="1" a="1"/>
  <c r="U952" i="1" s="1"/>
  <c r="V952" i="1" s="1"/>
  <c r="U571" i="1" a="1"/>
  <c r="U571" i="1" s="1"/>
  <c r="V571" i="1" s="1"/>
  <c r="U159" i="1" a="1"/>
  <c r="U159" i="1" s="1"/>
  <c r="V159" i="1" s="1"/>
  <c r="U741" i="1" a="1"/>
  <c r="U741" i="1" s="1"/>
  <c r="U910" i="1" a="1"/>
  <c r="U910" i="1" s="1"/>
  <c r="V910" i="1" s="1"/>
  <c r="U750" i="1" a="1"/>
  <c r="U750" i="1" s="1"/>
  <c r="V750" i="1" s="1"/>
  <c r="U12" i="1" a="1"/>
  <c r="U12" i="1" s="1"/>
  <c r="V12" i="1" s="1"/>
  <c r="U209" i="1" a="1"/>
  <c r="U209" i="1" s="1"/>
  <c r="V209" i="1" s="1"/>
  <c r="U265" i="1" a="1"/>
  <c r="U265" i="1" s="1"/>
  <c r="V265" i="1" s="1"/>
  <c r="U651" i="1" a="1"/>
  <c r="U651" i="1" s="1"/>
  <c r="V651" i="1" s="1"/>
  <c r="U259" i="1" a="1"/>
  <c r="U259" i="1" s="1"/>
  <c r="V259" i="1" s="1"/>
  <c r="U361" i="1" a="1"/>
  <c r="U361" i="1" s="1"/>
  <c r="U299" i="1" a="1"/>
  <c r="U299" i="1" s="1"/>
  <c r="V299" i="1" s="1"/>
  <c r="U805" i="1" a="1"/>
  <c r="U805" i="1" s="1"/>
  <c r="V805" i="1" s="1"/>
  <c r="U920" i="1" a="1"/>
  <c r="U920" i="1" s="1"/>
  <c r="V920" i="1" s="1"/>
  <c r="U600" i="1" a="1"/>
  <c r="U600" i="1" s="1"/>
  <c r="V600" i="1" s="1"/>
  <c r="U565" i="1" a="1"/>
  <c r="U565" i="1" s="1"/>
  <c r="V565" i="1" s="1"/>
  <c r="U19" i="1" a="1"/>
  <c r="U19" i="1" s="1"/>
  <c r="V19" i="1" s="1"/>
  <c r="U737" i="1" a="1"/>
  <c r="U737" i="1" s="1"/>
  <c r="V737" i="1" s="1"/>
  <c r="U435" i="1" a="1"/>
  <c r="U435" i="1" s="1"/>
  <c r="U203" i="1" a="1"/>
  <c r="U203" i="1" s="1"/>
  <c r="V203" i="1" s="1"/>
  <c r="U638" i="1" a="1"/>
  <c r="U638" i="1" s="1"/>
  <c r="V638" i="1" s="1"/>
  <c r="U924" i="1" a="1"/>
  <c r="U924" i="1" s="1"/>
  <c r="V924" i="1" s="1"/>
  <c r="U90" i="1" a="1"/>
  <c r="U90" i="1" s="1"/>
  <c r="V90" i="1" s="1"/>
  <c r="U499" i="1" a="1"/>
  <c r="U499" i="1" s="1"/>
  <c r="V499" i="1" s="1"/>
  <c r="U287" i="1" a="1"/>
  <c r="U287" i="1"/>
  <c r="V287" i="1" s="1"/>
  <c r="U684" i="1" a="1"/>
  <c r="U684" i="1" s="1"/>
  <c r="U875" i="1" a="1"/>
  <c r="U875" i="1" s="1"/>
  <c r="U428" i="1" a="1"/>
  <c r="U428" i="1" s="1"/>
  <c r="V428" i="1" s="1"/>
  <c r="U41" i="1" a="1"/>
  <c r="U41" i="1" s="1"/>
  <c r="V41" i="1" s="1"/>
  <c r="U662" i="1" a="1"/>
  <c r="U662" i="1" s="1"/>
  <c r="V662" i="1" s="1"/>
  <c r="U278" i="1" a="1"/>
  <c r="U278" i="1" s="1"/>
  <c r="V278" i="1" s="1"/>
  <c r="U39" i="1" a="1"/>
  <c r="U39" i="1" s="1"/>
  <c r="V39" i="1" s="1"/>
  <c r="U979" i="1" a="1"/>
  <c r="U979" i="1" s="1"/>
  <c r="V979" i="1" s="1"/>
  <c r="U252" i="1" a="1"/>
  <c r="U252" i="1" s="1"/>
  <c r="U115" i="1" a="1"/>
  <c r="U115" i="1" s="1"/>
  <c r="U300" i="1" a="1"/>
  <c r="U300" i="1" s="1"/>
  <c r="V300" i="1" s="1"/>
  <c r="U188" i="1" a="1"/>
  <c r="U188" i="1" s="1"/>
  <c r="V188" i="1" s="1"/>
  <c r="U91" i="1" a="1"/>
  <c r="U91" i="1" s="1"/>
  <c r="V91" i="1" s="1"/>
  <c r="U282" i="1" a="1"/>
  <c r="U282" i="1" s="1"/>
  <c r="V282" i="1" s="1"/>
  <c r="U692" i="1" a="1"/>
  <c r="U692" i="1" s="1"/>
  <c r="V692" i="1" s="1"/>
  <c r="U6" i="1" a="1"/>
  <c r="U6" i="1" s="1"/>
  <c r="V6" i="1" s="1"/>
  <c r="U216" i="1" a="1"/>
  <c r="U216" i="1" s="1"/>
  <c r="U546" i="1" a="1"/>
  <c r="U546" i="1" s="1"/>
  <c r="U824" i="1" a="1"/>
  <c r="U824" i="1" s="1"/>
  <c r="V824" i="1" s="1"/>
  <c r="U305" i="1" a="1"/>
  <c r="U305" i="1" s="1"/>
  <c r="V305" i="1" s="1"/>
  <c r="U712" i="1" a="1"/>
  <c r="U712" i="1" s="1"/>
  <c r="V712" i="1" s="1"/>
  <c r="U413" i="1" a="1"/>
  <c r="U413" i="1" s="1"/>
  <c r="V413" i="1" s="1"/>
  <c r="U228" i="1" a="1"/>
  <c r="U228" i="1" s="1"/>
  <c r="V228" i="1" s="1"/>
  <c r="U162" i="1" a="1"/>
  <c r="U162" i="1" s="1"/>
  <c r="V162" i="1" s="1"/>
  <c r="U940" i="1" a="1"/>
  <c r="U940" i="1" s="1"/>
  <c r="U583" i="1" a="1"/>
  <c r="U583" i="1" s="1"/>
  <c r="U106" i="1" a="1"/>
  <c r="U106" i="1" s="1"/>
  <c r="V106" i="1" s="1"/>
  <c r="U911" i="1" a="1"/>
  <c r="U911" i="1" s="1"/>
  <c r="V911" i="1" s="1"/>
  <c r="U938" i="1" a="1"/>
  <c r="U938" i="1" s="1"/>
  <c r="V938" i="1" s="1"/>
  <c r="U832" i="1" a="1"/>
  <c r="U832" i="1" s="1"/>
  <c r="V832" i="1" s="1"/>
  <c r="U373" i="1" a="1"/>
  <c r="U373" i="1" s="1"/>
  <c r="V373" i="1" s="1"/>
  <c r="U876" i="1" a="1"/>
  <c r="U876" i="1" s="1"/>
  <c r="V876" i="1" s="1"/>
  <c r="U621" i="1" a="1"/>
  <c r="U621" i="1" s="1"/>
  <c r="U86" i="1" a="1"/>
  <c r="U86" i="1" s="1"/>
  <c r="U980" i="1" a="1"/>
  <c r="U980" i="1" s="1"/>
  <c r="V980" i="1" s="1"/>
  <c r="U948" i="1" a="1"/>
  <c r="U948" i="1" s="1"/>
  <c r="V948" i="1" s="1"/>
  <c r="U101" i="1" a="1"/>
  <c r="U101" i="1" s="1"/>
  <c r="V101" i="1" s="1"/>
  <c r="U732" i="1" a="1"/>
  <c r="U732" i="1" s="1"/>
  <c r="V732" i="1" s="1"/>
  <c r="U317" i="1" a="1"/>
  <c r="U317" i="1" s="1"/>
  <c r="V317" i="1" s="1"/>
  <c r="U402" i="1" a="1"/>
  <c r="U402" i="1" s="1"/>
  <c r="V402" i="1" s="1"/>
  <c r="U163" i="1" a="1"/>
  <c r="U163" i="1" s="1"/>
  <c r="U622" i="1" a="1"/>
  <c r="U622" i="1" s="1"/>
  <c r="U378" i="1" a="1"/>
  <c r="U378" i="1" s="1"/>
  <c r="V378" i="1" s="1"/>
  <c r="U204" i="1" a="1"/>
  <c r="U204" i="1" s="1"/>
  <c r="V204" i="1" s="1"/>
  <c r="U236" i="1" a="1"/>
  <c r="U236" i="1" s="1"/>
  <c r="V236" i="1" s="1"/>
  <c r="U329" i="1" a="1"/>
  <c r="U329" i="1" s="1"/>
  <c r="V329" i="1" s="1"/>
  <c r="U288" i="1" a="1"/>
  <c r="U288" i="1" s="1"/>
  <c r="V288" i="1" s="1"/>
  <c r="U729" i="1" a="1"/>
  <c r="U729" i="1" s="1"/>
  <c r="V729" i="1" s="1"/>
  <c r="U3" i="1" a="1"/>
  <c r="U3" i="1" s="1"/>
  <c r="U547" i="1" a="1"/>
  <c r="U547" i="1" s="1"/>
  <c r="U266" i="1" a="1"/>
  <c r="U266" i="1" s="1"/>
  <c r="V266" i="1" s="1"/>
  <c r="U168" i="1" a="1"/>
  <c r="U168" i="1" s="1"/>
  <c r="V168" i="1" s="1"/>
  <c r="U591" i="1" a="1"/>
  <c r="U591" i="1" s="1"/>
  <c r="V591" i="1" s="1"/>
  <c r="U548" i="1" a="1"/>
  <c r="U548" i="1" s="1"/>
  <c r="V548" i="1" s="1"/>
  <c r="U243" i="1" a="1"/>
  <c r="U243" i="1" s="1"/>
  <c r="V243" i="1" s="1"/>
  <c r="U540" i="1" a="1"/>
  <c r="U540" i="1" s="1"/>
  <c r="V540" i="1" s="1"/>
  <c r="U142" i="1" a="1"/>
  <c r="U142" i="1" s="1"/>
  <c r="U509" i="1" a="1"/>
  <c r="U509" i="1" s="1"/>
  <c r="U63" i="1" a="1"/>
  <c r="U63" i="1" s="1"/>
  <c r="V63" i="1" s="1"/>
  <c r="U134" i="1" a="1"/>
  <c r="U134" i="1" s="1"/>
  <c r="V134" i="1" s="1"/>
  <c r="U572" i="1" a="1"/>
  <c r="U572" i="1" s="1"/>
  <c r="V572" i="1" s="1"/>
  <c r="U786" i="1" a="1"/>
  <c r="U786" i="1" s="1"/>
  <c r="V786" i="1" s="1"/>
  <c r="U33" i="1" a="1"/>
  <c r="U33" i="1" s="1"/>
  <c r="V33" i="1" s="1"/>
  <c r="U13" i="1" a="1"/>
  <c r="U13" i="1" s="1"/>
  <c r="V13" i="1" s="1"/>
  <c r="U778" i="1" a="1"/>
  <c r="U778" i="1" s="1"/>
  <c r="U544" i="1" a="1"/>
  <c r="U544" i="1" s="1"/>
  <c r="U4" i="1" a="1"/>
  <c r="U4" i="1" s="1"/>
  <c r="V4" i="1" s="1"/>
  <c r="U80" i="1" a="1"/>
  <c r="U80" i="1" s="1"/>
  <c r="V80" i="1" s="1"/>
  <c r="U601" i="1" a="1"/>
  <c r="U601" i="1" s="1"/>
  <c r="V601" i="1" s="1"/>
  <c r="U111" i="1" a="1"/>
  <c r="U111" i="1" s="1"/>
  <c r="V111" i="1" s="1"/>
  <c r="U102" i="1" a="1"/>
  <c r="U102" i="1" s="1"/>
  <c r="V102" i="1" s="1"/>
  <c r="U394" i="1" a="1"/>
  <c r="U394" i="1" s="1"/>
  <c r="V394" i="1" s="1"/>
  <c r="U616" i="1" a="1"/>
  <c r="U616" i="1" s="1"/>
  <c r="U385" i="1" a="1"/>
  <c r="U385" i="1" s="1"/>
  <c r="U663" i="1" a="1"/>
  <c r="U663" i="1" s="1"/>
  <c r="V663" i="1" s="1"/>
  <c r="U92" i="1" a="1"/>
  <c r="U92" i="1" s="1"/>
  <c r="V92" i="1" s="1"/>
  <c r="U346" i="1" a="1"/>
  <c r="U346" i="1" s="1"/>
  <c r="V346" i="1" s="1"/>
  <c r="U872" i="1" a="1"/>
  <c r="U872" i="1" s="1"/>
  <c r="V872" i="1" s="1"/>
  <c r="U313" i="1" a="1"/>
  <c r="U313" i="1" s="1"/>
  <c r="V313" i="1" s="1"/>
  <c r="U819" i="1" a="1"/>
  <c r="U819" i="1" s="1"/>
  <c r="V819" i="1" s="1"/>
  <c r="U963" i="1" a="1"/>
  <c r="U963" i="1" s="1"/>
  <c r="U533" i="1" a="1"/>
  <c r="U533" i="1" s="1"/>
  <c r="U301" i="1" a="1"/>
  <c r="U301" i="1" s="1"/>
  <c r="V301" i="1" s="1"/>
  <c r="U274" i="1" a="1"/>
  <c r="U274" i="1" s="1"/>
  <c r="V274" i="1" s="1"/>
  <c r="U445" i="1" a="1"/>
  <c r="U445" i="1" s="1"/>
  <c r="V445" i="1" s="1"/>
  <c r="U666" i="1" a="1"/>
  <c r="U666" i="1" s="1"/>
  <c r="V666" i="1" s="1"/>
  <c r="U493" i="1" a="1"/>
  <c r="U493" i="1" s="1"/>
  <c r="V493" i="1" s="1"/>
  <c r="U454" i="1" a="1"/>
  <c r="U454" i="1" s="1"/>
  <c r="V454" i="1" s="1"/>
  <c r="U364" i="1" a="1"/>
  <c r="U364" i="1" s="1"/>
  <c r="U682" i="1" a="1"/>
  <c r="U682" i="1" s="1"/>
  <c r="U988" i="1" a="1"/>
  <c r="U988" i="1" s="1"/>
  <c r="V988" i="1" s="1"/>
  <c r="U624" i="1" a="1"/>
  <c r="U624" i="1" s="1"/>
  <c r="V624" i="1" s="1"/>
  <c r="U513" i="1" a="1"/>
  <c r="U513" i="1" s="1"/>
  <c r="V513" i="1" s="1"/>
  <c r="U160" i="1" a="1"/>
  <c r="U160" i="1" s="1"/>
  <c r="V160" i="1" s="1"/>
  <c r="U189" i="1" a="1"/>
  <c r="U189" i="1" s="1"/>
  <c r="V189" i="1" s="1"/>
  <c r="U825" i="1" a="1"/>
  <c r="U825" i="1" s="1"/>
  <c r="V825" i="1" s="1"/>
  <c r="U936" i="1" a="1"/>
  <c r="U936" i="1" s="1"/>
  <c r="U837" i="1" a="1"/>
  <c r="U837" i="1" s="1"/>
  <c r="U617" i="1" a="1"/>
  <c r="U617" i="1" s="1"/>
  <c r="V617" i="1" s="1"/>
  <c r="U464" i="1" a="1"/>
  <c r="U464" i="1" s="1"/>
  <c r="V464" i="1" s="1"/>
  <c r="U57" i="1" a="1"/>
  <c r="U57" i="1" s="1"/>
  <c r="V57" i="1" s="1"/>
  <c r="U64" i="1" a="1"/>
  <c r="U64" i="1" s="1"/>
  <c r="V64" i="1" s="1"/>
  <c r="U7" i="1" a="1"/>
  <c r="U7" i="1" s="1"/>
  <c r="V7" i="1" s="1"/>
  <c r="U65" i="1" a="1"/>
  <c r="U65" i="1" s="1"/>
  <c r="V65" i="1" s="1"/>
  <c r="U37" i="1" a="1"/>
  <c r="U37" i="1" s="1"/>
  <c r="U925" i="1" a="1"/>
  <c r="U925" i="1" s="1"/>
  <c r="U688" i="1" a="1"/>
  <c r="U688" i="1" s="1"/>
  <c r="V688" i="1" s="1"/>
  <c r="U324" i="1" a="1"/>
  <c r="U324" i="1" s="1"/>
  <c r="V324" i="1" s="1"/>
  <c r="U992" i="1" a="1"/>
  <c r="U992" i="1" s="1"/>
  <c r="V992" i="1" s="1"/>
  <c r="U521" i="1" a="1"/>
  <c r="U521" i="1" s="1"/>
  <c r="V521" i="1" s="1"/>
  <c r="U812" i="1" a="1"/>
  <c r="U812" i="1" s="1"/>
  <c r="V812" i="1" s="1"/>
  <c r="U604" i="1" a="1"/>
  <c r="U604" i="1" s="1"/>
  <c r="V604" i="1" s="1"/>
  <c r="U495" i="1" a="1"/>
  <c r="U495" i="1" s="1"/>
  <c r="U806" i="1" a="1"/>
  <c r="U806" i="1" s="1"/>
  <c r="U674" i="1" a="1"/>
  <c r="U674" i="1" s="1"/>
  <c r="V674" i="1" s="1"/>
  <c r="U122" i="1" a="1"/>
  <c r="U122" i="1" s="1"/>
  <c r="V122" i="1" s="1"/>
  <c r="U869" i="1" a="1"/>
  <c r="U869" i="1" s="1"/>
  <c r="V869" i="1" s="1"/>
  <c r="U694" i="1" a="1"/>
  <c r="U694" i="1" s="1"/>
  <c r="V694" i="1" s="1"/>
  <c r="U912" i="1" a="1"/>
  <c r="U912" i="1" s="1"/>
  <c r="V912" i="1" s="1"/>
  <c r="U612" i="1" a="1"/>
  <c r="U612" i="1" s="1"/>
  <c r="V612" i="1" s="1"/>
  <c r="U296" i="1" a="1"/>
  <c r="U296" i="1" s="1"/>
  <c r="U813" i="1" a="1"/>
  <c r="U813" i="1" s="1"/>
  <c r="U726" i="1" a="1"/>
  <c r="U726" i="1" s="1"/>
  <c r="V726" i="1" s="1"/>
  <c r="U396" i="1" a="1"/>
  <c r="U396" i="1" s="1"/>
  <c r="V396" i="1" s="1"/>
  <c r="U107" i="1" a="1"/>
  <c r="U107" i="1" s="1"/>
  <c r="V107" i="1" s="1"/>
  <c r="U596" i="1" a="1"/>
  <c r="U596" i="1" s="1"/>
  <c r="V596" i="1" s="1"/>
  <c r="U212" i="1" a="1"/>
  <c r="U212" i="1" s="1"/>
  <c r="V212" i="1" s="1"/>
  <c r="U933" i="1" a="1"/>
  <c r="U933" i="1" s="1"/>
  <c r="V933" i="1" s="1"/>
  <c r="U602" i="1" a="1"/>
  <c r="U602" i="1" s="1"/>
  <c r="U534" i="1" a="1"/>
  <c r="U534" i="1" s="1"/>
  <c r="U418" i="1" a="1"/>
  <c r="U418" i="1" s="1"/>
  <c r="V418" i="1" s="1"/>
  <c r="U235" i="1" a="1"/>
  <c r="U235" i="1" s="1"/>
  <c r="V235" i="1" s="1"/>
  <c r="U751" i="1" a="1"/>
  <c r="U751" i="1" s="1"/>
  <c r="V751" i="1" s="1"/>
  <c r="U8" i="1" a="1"/>
  <c r="U8" i="1" s="1"/>
  <c r="V8" i="1" s="1"/>
  <c r="U704" i="1" a="1"/>
  <c r="U704" i="1" s="1"/>
  <c r="V704" i="1" s="1"/>
  <c r="U473" i="1" a="1"/>
  <c r="U473" i="1" s="1"/>
  <c r="V473" i="1" s="1"/>
  <c r="U880" i="1" a="1"/>
  <c r="U880" i="1" s="1"/>
  <c r="U781" i="1" a="1"/>
  <c r="U781" i="1" s="1"/>
  <c r="U164" i="1" a="1"/>
  <c r="U164" i="1" s="1"/>
  <c r="V164" i="1" s="1"/>
  <c r="U671" i="1" a="1"/>
  <c r="U671" i="1" s="1"/>
  <c r="V671" i="1" s="1"/>
  <c r="U93" i="1" a="1"/>
  <c r="U93" i="1" s="1"/>
  <c r="V93" i="1" s="1"/>
  <c r="U186" i="1" a="1"/>
  <c r="U186" i="1" s="1"/>
  <c r="V186" i="1" s="1"/>
  <c r="U443" i="1" a="1"/>
  <c r="U443" i="1" s="1"/>
  <c r="V443" i="1" s="1"/>
  <c r="U348" i="1" a="1"/>
  <c r="U348" i="1" s="1"/>
  <c r="V348" i="1" s="1"/>
  <c r="U430" i="1" a="1"/>
  <c r="U430" i="1" s="1"/>
  <c r="U958" i="1" a="1"/>
  <c r="U958" i="1" s="1"/>
  <c r="U968" i="1" a="1"/>
  <c r="U968" i="1" s="1"/>
  <c r="V968" i="1" s="1"/>
  <c r="U706" i="1" a="1"/>
  <c r="U706" i="1" s="1"/>
  <c r="V706" i="1" s="1"/>
  <c r="U856" i="1" a="1"/>
  <c r="U856" i="1" s="1"/>
  <c r="V856" i="1" s="1"/>
  <c r="U173" i="1" a="1"/>
  <c r="U173" i="1" s="1"/>
  <c r="V173" i="1" s="1"/>
  <c r="U644" i="1" a="1"/>
  <c r="U644" i="1" s="1"/>
  <c r="V644" i="1" s="1"/>
  <c r="U862" i="1" a="1"/>
  <c r="U862" i="1" s="1"/>
  <c r="V862" i="1" s="1"/>
  <c r="U744" i="1" a="1"/>
  <c r="U744" i="1" s="1"/>
  <c r="U634" i="1" a="1"/>
  <c r="U634" i="1" s="1"/>
  <c r="U899" i="1" a="1"/>
  <c r="U899" i="1" s="1"/>
  <c r="V899" i="1" s="1"/>
  <c r="U123" i="1" a="1"/>
  <c r="U123" i="1" s="1"/>
  <c r="V123" i="1" s="1"/>
  <c r="U446" i="1" a="1"/>
  <c r="U446" i="1" s="1"/>
  <c r="V446" i="1" s="1"/>
  <c r="U355" i="1" a="1"/>
  <c r="U355" i="1" s="1"/>
  <c r="V355" i="1" s="1"/>
  <c r="U928" i="1" a="1"/>
  <c r="U928" i="1" s="1"/>
  <c r="V928" i="1" s="1"/>
  <c r="U220" i="1" a="1"/>
  <c r="U220" i="1" s="1"/>
  <c r="V220" i="1" s="1"/>
  <c r="U561" i="1" a="1"/>
  <c r="U561" i="1" s="1"/>
  <c r="U934" i="1" a="1"/>
  <c r="U934" i="1" s="1"/>
  <c r="U197" i="1" a="1"/>
  <c r="U197" i="1" s="1"/>
  <c r="V197" i="1" s="1"/>
  <c r="U605" i="1" a="1"/>
  <c r="U605" i="1" s="1"/>
  <c r="V605" i="1" s="1"/>
  <c r="U397" i="1" a="1"/>
  <c r="U397" i="1" s="1"/>
  <c r="V397" i="1" s="1"/>
  <c r="U450" i="1" a="1"/>
  <c r="U450" i="1" s="1"/>
  <c r="V450" i="1" s="1"/>
  <c r="U335" i="1" a="1"/>
  <c r="U335" i="1" s="1"/>
  <c r="V335" i="1" s="1"/>
  <c r="U838" i="1" a="1"/>
  <c r="U838" i="1" s="1"/>
  <c r="V838" i="1" s="1"/>
  <c r="U522" i="1" a="1"/>
  <c r="U522" i="1" s="1"/>
  <c r="U459" i="1" a="1"/>
  <c r="U459" i="1" s="1"/>
  <c r="U357" i="1" a="1"/>
  <c r="U357" i="1" s="1"/>
  <c r="V357" i="1" s="1"/>
  <c r="U1001" i="1" a="1"/>
  <c r="U1001" i="1" s="1"/>
  <c r="V1001" i="1" s="1"/>
  <c r="U181" i="1" a="1"/>
  <c r="U181" i="1" s="1"/>
  <c r="V181" i="1" s="1"/>
  <c r="U655" i="1" a="1"/>
  <c r="U655" i="1" s="1"/>
  <c r="V655" i="1" s="1"/>
  <c r="U82" i="1" a="1"/>
  <c r="U82" i="1" s="1"/>
  <c r="V82" i="1" s="1"/>
  <c r="U745" i="1" a="1"/>
  <c r="U745" i="1" s="1"/>
  <c r="V745" i="1" s="1"/>
  <c r="U336" i="1" a="1"/>
  <c r="U336" i="1" s="1"/>
  <c r="U480" i="1" a="1"/>
  <c r="U480" i="1" s="1"/>
  <c r="U431" i="1" a="1"/>
  <c r="U431" i="1" s="1"/>
  <c r="V431" i="1" s="1"/>
  <c r="U70" i="1" a="1"/>
  <c r="U70" i="1" s="1"/>
  <c r="V70" i="1" s="1"/>
  <c r="U738" i="1" a="1"/>
  <c r="U738" i="1" s="1"/>
  <c r="V738" i="1" s="1"/>
  <c r="U609" i="1" a="1"/>
  <c r="U609" i="1" s="1"/>
  <c r="V609" i="1" s="1"/>
  <c r="U619" i="1" a="1"/>
  <c r="U619" i="1" s="1"/>
  <c r="V619" i="1" s="1"/>
  <c r="U773" i="1" a="1"/>
  <c r="U773" i="1" s="1"/>
  <c r="V773" i="1" s="1"/>
  <c r="U121" i="1" a="1"/>
  <c r="U121" i="1" s="1"/>
  <c r="U406" i="1" a="1"/>
  <c r="U406" i="1" s="1"/>
  <c r="U411" i="1" a="1"/>
  <c r="U411" i="1" s="1"/>
  <c r="V411" i="1" s="1"/>
  <c r="U733" i="1" a="1"/>
  <c r="U733" i="1" s="1"/>
  <c r="V733" i="1" s="1"/>
  <c r="U581" i="1" a="1"/>
  <c r="U581" i="1" s="1"/>
  <c r="V581" i="1" s="1"/>
  <c r="U34" i="1" a="1"/>
  <c r="U34" i="1" s="1"/>
  <c r="V34" i="1" s="1"/>
  <c r="U238" i="1" a="1"/>
  <c r="U238" i="1" s="1"/>
  <c r="V238" i="1" s="1"/>
  <c r="U474" i="1" a="1"/>
  <c r="U474" i="1" s="1"/>
  <c r="V474" i="1" s="1"/>
  <c r="U645" i="1" a="1"/>
  <c r="U645" i="1" s="1"/>
  <c r="U358" i="1" a="1"/>
  <c r="U358" i="1" s="1"/>
  <c r="U447" i="1" a="1"/>
  <c r="U447" i="1" s="1"/>
  <c r="V447" i="1" s="1"/>
  <c r="U432" i="1" a="1"/>
  <c r="U432" i="1" s="1"/>
  <c r="V432" i="1" s="1"/>
  <c r="U14" i="1" a="1"/>
  <c r="U14" i="1" s="1"/>
  <c r="V14" i="1" s="1"/>
  <c r="U895" i="1" a="1"/>
  <c r="U895" i="1" s="1"/>
  <c r="V895" i="1" s="1"/>
  <c r="U568" i="1" a="1"/>
  <c r="U568" i="1" s="1"/>
  <c r="V568" i="1" s="1"/>
  <c r="U194" i="1" a="1"/>
  <c r="U194" i="1" s="1"/>
  <c r="V194" i="1" s="1"/>
  <c r="U260" i="1" a="1"/>
  <c r="U260" i="1" s="1"/>
  <c r="U267" i="1" a="1"/>
  <c r="U267" i="1" s="1"/>
  <c r="U314" i="1" a="1"/>
  <c r="U314" i="1" s="1"/>
  <c r="V314" i="1" s="1"/>
  <c r="U793" i="1" a="1"/>
  <c r="U793" i="1" s="1"/>
  <c r="V793" i="1" s="1"/>
  <c r="U71" i="1" a="1"/>
  <c r="U71" i="1" s="1"/>
  <c r="V71" i="1" s="1"/>
  <c r="U127" i="1" a="1"/>
  <c r="U127" i="1" s="1"/>
  <c r="V127" i="1" s="1"/>
  <c r="U516" i="1" a="1"/>
  <c r="U516" i="1" s="1"/>
  <c r="V516" i="1" s="1"/>
  <c r="U523" i="1" a="1"/>
  <c r="U523" i="1" s="1"/>
  <c r="V523" i="1" s="1"/>
  <c r="U327" i="1" a="1"/>
  <c r="U327" i="1" s="1"/>
  <c r="U984" i="1" a="1"/>
  <c r="U984" i="1" s="1"/>
  <c r="U401" i="1" a="1"/>
  <c r="U401" i="1" s="1"/>
  <c r="V401" i="1" s="1"/>
  <c r="U76" i="1" a="1"/>
  <c r="U76" i="1" s="1"/>
  <c r="V76" i="1" s="1"/>
  <c r="U433" i="1" a="1"/>
  <c r="U433" i="1" s="1"/>
  <c r="V433" i="1" s="1"/>
  <c r="U664" i="1" a="1"/>
  <c r="U664" i="1" s="1"/>
  <c r="V664" i="1" s="1"/>
  <c r="U827" i="1" a="1"/>
  <c r="U827" i="1" s="1"/>
  <c r="V827" i="1" s="1"/>
  <c r="U789" i="1" a="1"/>
  <c r="U789" i="1" s="1"/>
  <c r="V789" i="1" s="1"/>
  <c r="U782" i="1" a="1"/>
  <c r="U782" i="1" s="1"/>
  <c r="U584" i="1" a="1"/>
  <c r="U584" i="1" s="1"/>
  <c r="U128" i="1" a="1"/>
  <c r="U128" i="1" s="1"/>
  <c r="V128" i="1" s="1"/>
  <c r="U820" i="1" a="1"/>
  <c r="U820" i="1" s="1"/>
  <c r="V820" i="1" s="1"/>
  <c r="U752" i="1" a="1"/>
  <c r="U752" i="1" s="1"/>
  <c r="V752" i="1" s="1"/>
  <c r="U174" i="1" a="1"/>
  <c r="U174" i="1" s="1"/>
  <c r="V174" i="1" s="1"/>
  <c r="U941" i="1" a="1"/>
  <c r="U941" i="1" s="1"/>
  <c r="V941" i="1" s="1"/>
  <c r="U340" i="1" a="1"/>
  <c r="U340" i="1"/>
  <c r="V340" i="1" s="1"/>
  <c r="U839" i="1" a="1"/>
  <c r="U839" i="1" s="1"/>
  <c r="V839" i="1" s="1"/>
  <c r="U718" i="1" a="1"/>
  <c r="U718" i="1" s="1"/>
  <c r="V718" i="1" s="1"/>
  <c r="U995" i="1" a="1"/>
  <c r="U995" i="1" s="1"/>
  <c r="V995" i="1" s="1"/>
  <c r="U253" i="1" a="1"/>
  <c r="U253" i="1" s="1"/>
  <c r="V253" i="1" s="1"/>
  <c r="U423" i="1" a="1"/>
  <c r="U423" i="1" s="1"/>
  <c r="V423" i="1" s="1"/>
  <c r="U739" i="1" a="1"/>
  <c r="U739" i="1" s="1"/>
  <c r="V739" i="1" s="1"/>
  <c r="U697" i="1" a="1"/>
  <c r="U697" i="1" s="1"/>
  <c r="V697" i="1" s="1"/>
  <c r="U309" i="1" a="1"/>
  <c r="U309" i="1" s="1"/>
  <c r="V309" i="1" s="1"/>
  <c r="U374" i="1" a="1"/>
  <c r="U374" i="1" s="1"/>
  <c r="V374" i="1" s="1"/>
  <c r="U840" i="1" a="1"/>
  <c r="U840" i="1" s="1"/>
  <c r="V840" i="1" s="1"/>
  <c r="U279" i="1" a="1"/>
  <c r="U279" i="1" s="1"/>
  <c r="V279" i="1" s="1"/>
  <c r="U877" i="1" a="1"/>
  <c r="U877" i="1" s="1"/>
  <c r="V877" i="1" s="1"/>
  <c r="U147" i="1" a="1"/>
  <c r="U147" i="1" s="1"/>
  <c r="V147" i="1" s="1"/>
  <c r="U675" i="1" a="1"/>
  <c r="U675" i="1" s="1"/>
  <c r="V675" i="1" s="1"/>
  <c r="U391" i="1" a="1"/>
  <c r="U391" i="1"/>
  <c r="V391" i="1" s="1"/>
  <c r="U954" i="1" a="1"/>
  <c r="U954" i="1" s="1"/>
  <c r="V954" i="1" s="1"/>
  <c r="U26" i="1" a="1"/>
  <c r="U26" i="1" s="1"/>
  <c r="V26" i="1" s="1"/>
  <c r="U881" i="1" a="1"/>
  <c r="U881" i="1" s="1"/>
  <c r="U639" i="1" a="1"/>
  <c r="U639" i="1" s="1"/>
  <c r="V639" i="1" s="1"/>
  <c r="U310" i="1" a="1"/>
  <c r="U310" i="1" s="1"/>
  <c r="V310" i="1" s="1"/>
  <c r="U573" i="1" a="1"/>
  <c r="U573" i="1" s="1"/>
  <c r="V573" i="1" s="1"/>
  <c r="U451" i="1" a="1"/>
  <c r="U451" i="1" s="1"/>
  <c r="V451" i="1" s="1"/>
  <c r="U349" i="1" a="1"/>
  <c r="U349" i="1" s="1"/>
  <c r="V349" i="1" s="1"/>
  <c r="U989" i="1" a="1"/>
  <c r="U989" i="1" s="1"/>
  <c r="V989" i="1" s="1"/>
  <c r="U603" i="1" a="1"/>
  <c r="U603" i="1" s="1"/>
  <c r="V603" i="1" s="1"/>
  <c r="U283" i="1" a="1"/>
  <c r="U283" i="1" s="1"/>
  <c r="U678" i="1" a="1"/>
  <c r="U678" i="1" s="1"/>
  <c r="V678" i="1" s="1"/>
  <c r="U918" i="1" a="1"/>
  <c r="U918" i="1" s="1"/>
  <c r="V918" i="1" s="1"/>
  <c r="U95" i="1" a="1"/>
  <c r="U95" i="1" s="1"/>
  <c r="V95" i="1" s="1"/>
  <c r="U640" i="1" a="1"/>
  <c r="U640" i="1" s="1"/>
  <c r="V640" i="1" s="1"/>
  <c r="U392" i="1" a="1"/>
  <c r="U392" i="1" s="1"/>
  <c r="V392" i="1" s="1"/>
  <c r="U337" i="1" a="1"/>
  <c r="U337" i="1" s="1"/>
  <c r="V337" i="1" s="1"/>
  <c r="U720" i="1" a="1"/>
  <c r="U720" i="1" s="1"/>
  <c r="V720" i="1" s="1"/>
  <c r="U753" i="1" a="1"/>
  <c r="U753" i="1" s="1"/>
  <c r="U77" i="1" a="1"/>
  <c r="U77" i="1" s="1"/>
  <c r="V77" i="1" s="1"/>
  <c r="U362" i="1" a="1"/>
  <c r="U362" i="1" s="1"/>
  <c r="V362" i="1" s="1"/>
  <c r="U556" i="1" a="1"/>
  <c r="U556" i="1" s="1"/>
  <c r="V556" i="1" s="1"/>
  <c r="U699" i="1" a="1"/>
  <c r="U699" i="1" s="1"/>
  <c r="V699" i="1" s="1"/>
  <c r="U169" i="1" a="1"/>
  <c r="U169" i="1" s="1"/>
  <c r="V169" i="1" s="1"/>
  <c r="U292" i="1" a="1"/>
  <c r="U292" i="1" s="1"/>
  <c r="V292" i="1" s="1"/>
  <c r="U331" i="1" a="1"/>
  <c r="U331" i="1" s="1"/>
  <c r="V331" i="1" s="1"/>
  <c r="U452" i="1" a="1"/>
  <c r="U452" i="1" s="1"/>
  <c r="U9" i="1" a="1"/>
  <c r="U9" i="1" s="1"/>
  <c r="V9" i="1" s="1"/>
  <c r="U187" i="1" a="1"/>
  <c r="U187" i="1" s="1"/>
  <c r="V187" i="1" s="1"/>
  <c r="U969" i="1" a="1"/>
  <c r="U969" i="1" s="1"/>
  <c r="V969" i="1" s="1"/>
  <c r="U354" i="1" a="1"/>
  <c r="U354" i="1" s="1"/>
  <c r="V354" i="1" s="1"/>
  <c r="U981" i="1" a="1"/>
  <c r="U981" i="1" s="1"/>
  <c r="V981" i="1" s="1"/>
  <c r="U707" i="1" a="1"/>
  <c r="U707" i="1" s="1"/>
  <c r="V707" i="1" s="1"/>
  <c r="U722" i="1" a="1"/>
  <c r="U722" i="1" s="1"/>
  <c r="V722" i="1" s="1"/>
  <c r="U247" i="1" a="1"/>
  <c r="U247" i="1" s="1"/>
  <c r="U760" i="1" a="1"/>
  <c r="U760" i="1" s="1"/>
  <c r="V760" i="1" s="1"/>
  <c r="U40" i="1" a="1"/>
  <c r="U40" i="1" s="1"/>
  <c r="V40" i="1" s="1"/>
  <c r="U919" i="1" a="1"/>
  <c r="U919" i="1" s="1"/>
  <c r="V919" i="1" s="1"/>
  <c r="U332" i="1" a="1"/>
  <c r="U332" i="1" s="1"/>
  <c r="V332" i="1" s="1"/>
  <c r="U734" i="1" a="1"/>
  <c r="U734" i="1" s="1"/>
  <c r="V734" i="1" s="1"/>
  <c r="U466" i="1" a="1"/>
  <c r="U466" i="1" s="1"/>
  <c r="V466" i="1" s="1"/>
  <c r="U672" i="1" a="1"/>
  <c r="U672" i="1" s="1"/>
  <c r="V672" i="1" s="1"/>
  <c r="U58" i="1" a="1"/>
  <c r="U58" i="1" s="1"/>
  <c r="U658" i="1" a="1"/>
  <c r="U658" i="1" s="1"/>
  <c r="V658" i="1" s="1"/>
  <c r="U964" i="1" a="1"/>
  <c r="U964" i="1" s="1"/>
  <c r="V964" i="1" s="1"/>
  <c r="U631" i="1" a="1"/>
  <c r="U631" i="1" s="1"/>
  <c r="V631" i="1" s="1"/>
  <c r="U87" i="1" a="1"/>
  <c r="U87" i="1" s="1"/>
  <c r="V87" i="1" s="1"/>
  <c r="U537" i="1" a="1"/>
  <c r="U537" i="1" s="1"/>
  <c r="V537" i="1" s="1"/>
  <c r="U414" i="1" a="1"/>
  <c r="U414" i="1"/>
  <c r="V414" i="1" s="1"/>
  <c r="U878" i="1" a="1"/>
  <c r="U878" i="1" s="1"/>
  <c r="U213" i="1" a="1"/>
  <c r="U213" i="1" s="1"/>
  <c r="U585" i="1" a="1"/>
  <c r="U585" i="1" s="1"/>
  <c r="V585" i="1" s="1"/>
  <c r="U965" i="1" a="1"/>
  <c r="U965" i="1" s="1"/>
  <c r="V965" i="1" s="1"/>
  <c r="U198" i="1" a="1"/>
  <c r="U198" i="1" s="1"/>
  <c r="V198" i="1" s="1"/>
  <c r="U594" i="1" a="1"/>
  <c r="U594" i="1" s="1"/>
  <c r="V594" i="1" s="1"/>
  <c r="U527" i="1" a="1"/>
  <c r="U527" i="1" s="1"/>
  <c r="V527" i="1" s="1"/>
  <c r="U610" i="1" a="1"/>
  <c r="U610" i="1" s="1"/>
  <c r="V610" i="1" s="1"/>
  <c r="U879" i="1" a="1"/>
  <c r="U879" i="1" s="1"/>
  <c r="U489" i="1" a="1"/>
  <c r="U489" i="1" s="1"/>
  <c r="U673" i="1" a="1"/>
  <c r="U673" i="1" s="1"/>
  <c r="V673" i="1" s="1"/>
  <c r="U894" i="1" a="1"/>
  <c r="U894" i="1" s="1"/>
  <c r="V894" i="1" s="1"/>
  <c r="U882" i="1" a="1"/>
  <c r="U882" i="1" s="1"/>
  <c r="V882" i="1" s="1"/>
  <c r="U109" i="1" a="1"/>
  <c r="U109" i="1" s="1"/>
  <c r="V109" i="1" s="1"/>
  <c r="U318" i="1" a="1"/>
  <c r="U318" i="1"/>
  <c r="V318" i="1" s="1"/>
  <c r="U971" i="1" a="1"/>
  <c r="U971" i="1" s="1"/>
  <c r="V971" i="1" s="1"/>
  <c r="U804" i="1" a="1"/>
  <c r="U804" i="1" s="1"/>
  <c r="U779" i="1" a="1"/>
  <c r="U779" i="1" s="1"/>
  <c r="U20" i="1" a="1"/>
  <c r="U20" i="1" s="1"/>
  <c r="V20" i="1" s="1"/>
  <c r="U646" i="1" a="1"/>
  <c r="U646" i="1"/>
  <c r="V646" i="1" s="1"/>
  <c r="U403" i="1" a="1"/>
  <c r="U403" i="1" s="1"/>
  <c r="V403" i="1" s="1"/>
  <c r="U306" i="1" a="1"/>
  <c r="U306" i="1" s="1"/>
  <c r="V306" i="1" s="1"/>
  <c r="U855" i="1" a="1"/>
  <c r="U855" i="1" s="1"/>
  <c r="V855" i="1" s="1"/>
  <c r="U848" i="1" a="1"/>
  <c r="U848" i="1" s="1"/>
  <c r="V848" i="1" s="1"/>
  <c r="U959" i="1" a="1"/>
  <c r="U959" i="1" s="1"/>
  <c r="U297" i="1" a="1"/>
  <c r="U297" i="1" s="1"/>
  <c r="U618" i="1" a="1"/>
  <c r="U618" i="1"/>
  <c r="V618" i="1" s="1"/>
  <c r="U569" i="1" a="1"/>
  <c r="U569" i="1" s="1"/>
  <c r="V569" i="1" s="1"/>
  <c r="U730" i="1" a="1"/>
  <c r="U730" i="1" s="1"/>
  <c r="V730" i="1" s="1"/>
  <c r="U794" i="1" a="1"/>
  <c r="U794" i="1" s="1"/>
  <c r="V794" i="1" s="1"/>
  <c r="U538" i="1" a="1"/>
  <c r="U538" i="1" s="1"/>
  <c r="V538" i="1" s="1"/>
  <c r="U359" i="1" a="1"/>
  <c r="U359" i="1" s="1"/>
  <c r="V359" i="1" s="1"/>
  <c r="U367" i="1" a="1"/>
  <c r="U367" i="1" s="1"/>
  <c r="U562" i="1" a="1"/>
  <c r="U562" i="1" s="1"/>
  <c r="U205" i="1" a="1"/>
  <c r="U205" i="1" s="1"/>
  <c r="V205" i="1" s="1"/>
  <c r="U592" i="1" a="1"/>
  <c r="U592" i="1" s="1"/>
  <c r="V592" i="1" s="1"/>
  <c r="U239" i="1" a="1"/>
  <c r="U239" i="1" s="1"/>
  <c r="V239" i="1" s="1"/>
  <c r="U758" i="1" a="1"/>
  <c r="U758" i="1" s="1"/>
  <c r="V758" i="1" s="1"/>
  <c r="U550" i="1" a="1"/>
  <c r="U550" i="1" s="1"/>
  <c r="V550" i="1" s="1"/>
  <c r="U148" i="1" a="1"/>
  <c r="U148" i="1" s="1"/>
  <c r="V148" i="1" s="1"/>
  <c r="U790" i="1" a="1"/>
  <c r="U790" i="1" s="1"/>
  <c r="U960" i="1" a="1"/>
  <c r="U960" i="1" s="1"/>
  <c r="U996" i="1" a="1"/>
  <c r="U996" i="1" s="1"/>
  <c r="V996" i="1" s="1"/>
  <c r="U629" i="1" a="1"/>
  <c r="U629" i="1" s="1"/>
  <c r="V629" i="1" s="1"/>
  <c r="U679" i="1" a="1"/>
  <c r="U679" i="1" s="1"/>
  <c r="V679" i="1" s="1"/>
  <c r="U762" i="1" a="1"/>
  <c r="U762" i="1" s="1"/>
  <c r="V762" i="1" s="1"/>
  <c r="U723" i="1" a="1"/>
  <c r="U723" i="1" s="1"/>
  <c r="V723" i="1" s="1"/>
  <c r="U110" i="1" a="1"/>
  <c r="U110" i="1" s="1"/>
  <c r="V110" i="1" s="1"/>
  <c r="U686" i="1" a="1"/>
  <c r="U686" i="1" s="1"/>
  <c r="U21" i="1" a="1"/>
  <c r="U21" i="1" s="1"/>
  <c r="U356" i="1" a="1"/>
  <c r="U356" i="1" s="1"/>
  <c r="V356" i="1" s="1"/>
  <c r="U116" i="1" a="1"/>
  <c r="U116" i="1" s="1"/>
  <c r="V116" i="1" s="1"/>
  <c r="U683" i="1" a="1"/>
  <c r="U683" i="1" s="1"/>
  <c r="V683" i="1" s="1"/>
  <c r="U606" i="1" a="1"/>
  <c r="U606" i="1" s="1"/>
  <c r="V606" i="1" s="1"/>
  <c r="U700" i="1" a="1"/>
  <c r="U700" i="1" s="1"/>
  <c r="V700" i="1" s="1"/>
  <c r="U841" i="1" a="1"/>
  <c r="U841" i="1" s="1"/>
  <c r="V841" i="1" s="1"/>
  <c r="U388" i="1" a="1"/>
  <c r="U388" i="1" s="1"/>
  <c r="U902" i="1" a="1"/>
  <c r="U902" i="1" s="1"/>
  <c r="U490" i="1" a="1"/>
  <c r="U490" i="1" s="1"/>
  <c r="V490" i="1" s="1"/>
  <c r="U246" i="1" a="1"/>
  <c r="U246" i="1" s="1"/>
  <c r="V246" i="1" s="1"/>
  <c r="U926" i="1" a="1"/>
  <c r="U926" i="1" s="1"/>
  <c r="V926" i="1" s="1"/>
  <c r="U511" i="1" a="1"/>
  <c r="U511" i="1" s="1"/>
  <c r="V511" i="1" s="1"/>
  <c r="U319" i="1" a="1"/>
  <c r="U319" i="1" s="1"/>
  <c r="V319" i="1" s="1"/>
  <c r="U625" i="1" a="1"/>
  <c r="U625" i="1" s="1"/>
  <c r="V625" i="1" s="1"/>
  <c r="U942" i="1" a="1"/>
  <c r="U942" i="1" s="1"/>
  <c r="U821" i="1" a="1"/>
  <c r="U821" i="1" s="1"/>
  <c r="U410" i="1" a="1"/>
  <c r="U410" i="1" s="1"/>
  <c r="V410" i="1" s="1"/>
  <c r="U272" i="1" a="1"/>
  <c r="U272" i="1" s="1"/>
  <c r="V272" i="1" s="1"/>
  <c r="U721" i="1" a="1"/>
  <c r="U721" i="1" s="1"/>
  <c r="V721" i="1" s="1"/>
  <c r="U845" i="1" a="1"/>
  <c r="U845" i="1" s="1"/>
  <c r="V845" i="1" s="1"/>
  <c r="U903" i="1" a="1"/>
  <c r="U903" i="1" s="1"/>
  <c r="V903" i="1" s="1"/>
  <c r="U460" i="1" a="1"/>
  <c r="U460" i="1" s="1"/>
  <c r="V460" i="1" s="1"/>
  <c r="U977" i="1" a="1"/>
  <c r="U977" i="1" s="1"/>
  <c r="U221" i="1" a="1"/>
  <c r="U221" i="1" s="1"/>
  <c r="U990" i="1" a="1"/>
  <c r="U990" i="1" s="1"/>
  <c r="V990" i="1" s="1"/>
  <c r="U708" i="1" a="1"/>
  <c r="U708" i="1" s="1"/>
  <c r="V708" i="1" s="1"/>
  <c r="U344" i="1" a="1"/>
  <c r="U344" i="1" s="1"/>
  <c r="V344" i="1" s="1"/>
  <c r="U461" i="1" a="1"/>
  <c r="U461" i="1" s="1"/>
  <c r="V461" i="1" s="1"/>
  <c r="U363" i="1" a="1"/>
  <c r="U363" i="1" s="1"/>
  <c r="V363" i="1" s="1"/>
  <c r="U455" i="1" a="1"/>
  <c r="U455" i="1" s="1"/>
  <c r="V455" i="1" s="1"/>
  <c r="U574" i="1" a="1"/>
  <c r="U574" i="1" s="1"/>
  <c r="U135" i="1" a="1"/>
  <c r="U135" i="1" s="1"/>
  <c r="U724" i="1" a="1"/>
  <c r="U724" i="1" s="1"/>
  <c r="V724" i="1" s="1"/>
  <c r="U375" i="1" a="1"/>
  <c r="U375" i="1"/>
  <c r="V375" i="1" s="1"/>
  <c r="U859" i="1" a="1"/>
  <c r="U859" i="1" s="1"/>
  <c r="V859" i="1" s="1"/>
  <c r="U972" i="1" a="1"/>
  <c r="U972" i="1" s="1"/>
  <c r="V972" i="1" s="1"/>
  <c r="U656" i="1" a="1"/>
  <c r="U656" i="1" s="1"/>
  <c r="V656" i="1" s="1"/>
  <c r="U913" i="1" a="1"/>
  <c r="U913" i="1" s="1"/>
  <c r="V913" i="1" s="1"/>
  <c r="U15" i="1" a="1"/>
  <c r="U15" i="1" s="1"/>
  <c r="U465" i="1" a="1"/>
  <c r="U465" i="1" s="1"/>
  <c r="U436" i="1" a="1"/>
  <c r="U436" i="1"/>
  <c r="V436" i="1" s="1"/>
  <c r="U949" i="1" a="1"/>
  <c r="U949" i="1" s="1"/>
  <c r="V949" i="1" s="1"/>
  <c r="U809" i="1" a="1"/>
  <c r="U809" i="1" s="1"/>
  <c r="V809" i="1" s="1"/>
  <c r="U539" i="1" a="1"/>
  <c r="U539" i="1" s="1"/>
  <c r="V539" i="1" s="1"/>
  <c r="S59" i="1" a="1"/>
  <c r="S59" i="1" s="1"/>
  <c r="S298" i="1" a="1"/>
  <c r="S298" i="1" s="1"/>
  <c r="S873" i="1" a="1"/>
  <c r="S873" i="1" s="1"/>
  <c r="S81" i="1" a="1"/>
  <c r="S81" i="1"/>
  <c r="S494" i="1" a="1"/>
  <c r="S494" i="1" s="1"/>
  <c r="S593" i="1" a="1"/>
  <c r="S593" i="1" s="1"/>
  <c r="S716" i="1" a="1"/>
  <c r="S716" i="1" s="1"/>
  <c r="S232" i="1" a="1"/>
  <c r="S232" i="1" s="1"/>
  <c r="S398" i="1" a="1"/>
  <c r="S398" i="1" s="1"/>
  <c r="S83" i="1" a="1"/>
  <c r="S83" i="1" s="1"/>
  <c r="S496" i="1" a="1"/>
  <c r="S496" i="1"/>
  <c r="S557" i="1" a="1"/>
  <c r="S557" i="1" s="1"/>
  <c r="S112" i="1" a="1"/>
  <c r="S112" i="1" s="1"/>
  <c r="S935" i="1" a="1"/>
  <c r="S935" i="1" s="1"/>
  <c r="S900" i="1" a="1"/>
  <c r="S900" i="1" s="1"/>
  <c r="S647" i="1" a="1"/>
  <c r="S647" i="1" s="1"/>
  <c r="S56" i="1" a="1"/>
  <c r="S56" i="1" s="1"/>
  <c r="S799" i="1" a="1"/>
  <c r="S799" i="1" s="1"/>
  <c r="S857" i="1" a="1"/>
  <c r="S857" i="1" s="1"/>
  <c r="S175" i="1" a="1"/>
  <c r="S175" i="1" s="1"/>
  <c r="S528" i="1" a="1"/>
  <c r="S528" i="1" s="1"/>
  <c r="S746" i="1" a="1"/>
  <c r="S746" i="1" s="1"/>
  <c r="S874" i="1" a="1"/>
  <c r="S874" i="1" s="1"/>
  <c r="S740" i="1" a="1"/>
  <c r="S740" i="1" s="1"/>
  <c r="S514" i="1" a="1"/>
  <c r="S514" i="1" s="1"/>
  <c r="S998" i="1" a="1"/>
  <c r="S998" i="1" s="1"/>
  <c r="S826" i="1" a="1"/>
  <c r="S826" i="1" s="1"/>
  <c r="S320" i="1" a="1"/>
  <c r="S320" i="1" s="1"/>
  <c r="S607" i="1" a="1"/>
  <c r="S607" i="1" s="1"/>
  <c r="S570" i="1" a="1"/>
  <c r="S570" i="1" s="1"/>
  <c r="S50" i="1" a="1"/>
  <c r="S50" i="1" s="1"/>
  <c r="S368" i="1" a="1"/>
  <c r="S368" i="1"/>
  <c r="S849" i="1" a="1"/>
  <c r="S849" i="1" s="1"/>
  <c r="S783" i="1" a="1"/>
  <c r="S783" i="1" s="1"/>
  <c r="S210" i="1" a="1"/>
  <c r="S210" i="1" s="1"/>
  <c r="S833" i="1" a="1"/>
  <c r="S833" i="1" s="1"/>
  <c r="S667" i="1" a="1"/>
  <c r="S667" i="1" s="1"/>
  <c r="S484" i="1" a="1"/>
  <c r="S484" i="1" s="1"/>
  <c r="S705" i="1" a="1"/>
  <c r="S705" i="1" s="1"/>
  <c r="S149" i="1" a="1"/>
  <c r="S149" i="1" s="1"/>
  <c r="S29" i="1" a="1"/>
  <c r="S29" i="1" s="1"/>
  <c r="S563" i="1" a="1"/>
  <c r="S563" i="1" s="1"/>
  <c r="S289" i="1" a="1"/>
  <c r="S289" i="1" s="1"/>
  <c r="S800" i="1" a="1"/>
  <c r="S800" i="1" s="1"/>
  <c r="S982" i="1" a="1"/>
  <c r="S982" i="1" s="1"/>
  <c r="S412" i="1" a="1"/>
  <c r="S412" i="1" s="1"/>
  <c r="S222" i="1" a="1"/>
  <c r="S222" i="1" s="1"/>
  <c r="S178" i="1" a="1"/>
  <c r="S178" i="1" s="1"/>
  <c r="S870" i="1" a="1"/>
  <c r="S870" i="1" s="1"/>
  <c r="S233" i="1" a="1"/>
  <c r="S233" i="1" s="1"/>
  <c r="S566" i="1" a="1"/>
  <c r="S566" i="1" s="1"/>
  <c r="S914" i="1" a="1"/>
  <c r="S914" i="1" s="1"/>
  <c r="S500" i="1" a="1"/>
  <c r="S500" i="1" s="1"/>
  <c r="S883" i="1" a="1"/>
  <c r="S883" i="1" s="1"/>
  <c r="S415" i="1" a="1"/>
  <c r="S415" i="1" s="1"/>
  <c r="S851" i="1" a="1"/>
  <c r="S851" i="1" s="1"/>
  <c r="S24" i="1" a="1"/>
  <c r="S24" i="1" s="1"/>
  <c r="S945" i="1" a="1"/>
  <c r="S945" i="1" s="1"/>
  <c r="S27" i="1" a="1"/>
  <c r="S27" i="1" s="1"/>
  <c r="S796" i="1" a="1"/>
  <c r="S796" i="1" s="1"/>
  <c r="S834" i="1" a="1"/>
  <c r="S834" i="1" s="1"/>
  <c r="S611" i="1" a="1"/>
  <c r="S611" i="1" s="1"/>
  <c r="S725" i="1" a="1"/>
  <c r="S725" i="1" s="1"/>
  <c r="S307" i="1" a="1"/>
  <c r="S307" i="1" s="1"/>
  <c r="S290" i="1" a="1"/>
  <c r="S290" i="1" s="1"/>
  <c r="S985" i="1" a="1"/>
  <c r="S985" i="1" s="1"/>
  <c r="S884" i="1" a="1"/>
  <c r="S884" i="1" s="1"/>
  <c r="S376" i="1" a="1"/>
  <c r="S376" i="1" s="1"/>
  <c r="S125" i="1" a="1"/>
  <c r="S125" i="1" s="1"/>
  <c r="S946" i="1" a="1"/>
  <c r="S946" i="1" s="1"/>
  <c r="S155" i="1" a="1"/>
  <c r="S155" i="1" s="1"/>
  <c r="S467" i="1" a="1"/>
  <c r="S467" i="1" s="1"/>
  <c r="S261" i="1" a="1"/>
  <c r="S261" i="1" s="1"/>
  <c r="S889" i="1" a="1"/>
  <c r="S889" i="1" s="1"/>
  <c r="S217" i="1" a="1"/>
  <c r="S217" i="1" s="1"/>
  <c r="S347" i="1" a="1"/>
  <c r="S347" i="1" s="1"/>
  <c r="S165" i="1" a="1"/>
  <c r="S165" i="1" s="1"/>
  <c r="S218" i="1" a="1"/>
  <c r="S218" i="1" s="1"/>
  <c r="S551" i="1" a="1"/>
  <c r="S551" i="1" s="1"/>
  <c r="S560" i="1" a="1"/>
  <c r="S560" i="1" s="1"/>
  <c r="S143" i="1" a="1"/>
  <c r="S143" i="1" s="1"/>
  <c r="S784" i="1" a="1"/>
  <c r="S784" i="1" s="1"/>
  <c r="S240" i="1" a="1"/>
  <c r="S240" i="1" s="1"/>
  <c r="S517" i="1" a="1"/>
  <c r="S517" i="1" s="1"/>
  <c r="S709" i="1" a="1"/>
  <c r="S709" i="1" s="1"/>
  <c r="S453" i="1" a="1"/>
  <c r="S453" i="1" s="1"/>
  <c r="S47" i="1" a="1"/>
  <c r="S47" i="1" s="1"/>
  <c r="S742" i="1" a="1"/>
  <c r="S742" i="1" s="1"/>
  <c r="S25" i="1" a="1"/>
  <c r="S25" i="1" s="1"/>
  <c r="S199" i="1" a="1"/>
  <c r="S199" i="1" s="1"/>
  <c r="S468" i="1" a="1"/>
  <c r="S468" i="1" s="1"/>
  <c r="S170" i="1" a="1"/>
  <c r="S170" i="1" s="1"/>
  <c r="S731" i="1" a="1"/>
  <c r="S731" i="1" s="1"/>
  <c r="S735" i="1" a="1"/>
  <c r="S735" i="1" s="1"/>
  <c r="S51" i="1" a="1"/>
  <c r="S51" i="1" s="1"/>
  <c r="S457" i="1" a="1"/>
  <c r="S457" i="1" s="1"/>
  <c r="S462" i="1" a="1"/>
  <c r="S462" i="1" s="1"/>
  <c r="S501" i="1" a="1"/>
  <c r="S501" i="1" s="1"/>
  <c r="S748" i="1" a="1"/>
  <c r="S748" i="1" s="1"/>
  <c r="S512" i="1" a="1"/>
  <c r="S512" i="1" s="1"/>
  <c r="S701" i="1" a="1"/>
  <c r="S701" i="1" s="1"/>
  <c r="S262" i="1" a="1"/>
  <c r="S262" i="1" s="1"/>
  <c r="S103" i="1" a="1"/>
  <c r="S103" i="1" s="1"/>
  <c r="S485" i="1" a="1"/>
  <c r="S485" i="1" s="1"/>
  <c r="S214" i="1" a="1"/>
  <c r="S214" i="1" s="1"/>
  <c r="S860" i="1" a="1"/>
  <c r="S860" i="1" s="1"/>
  <c r="S30" i="1" a="1"/>
  <c r="S30" i="1" s="1"/>
  <c r="S136" i="1" a="1"/>
  <c r="S136" i="1" s="1"/>
  <c r="S814" i="1" a="1"/>
  <c r="S814" i="1" s="1"/>
  <c r="S275" i="1" a="1"/>
  <c r="S275" i="1" s="1"/>
  <c r="S535" i="1" a="1"/>
  <c r="S535" i="1" s="1"/>
  <c r="S608" i="1" a="1"/>
  <c r="S608" i="1" s="1"/>
  <c r="S541" i="1" a="1"/>
  <c r="S541" i="1" s="1"/>
  <c r="S850" i="1" a="1"/>
  <c r="S850" i="1" s="1"/>
  <c r="S285" i="1" a="1"/>
  <c r="S285" i="1" s="1"/>
  <c r="S263" i="1" a="1"/>
  <c r="S263" i="1" s="1"/>
  <c r="S835" i="1" a="1"/>
  <c r="S835" i="1" s="1"/>
  <c r="S407" i="1" a="1"/>
  <c r="S407" i="1" s="1"/>
  <c r="S315" i="1" a="1"/>
  <c r="S315" i="1" s="1"/>
  <c r="S383" i="1" a="1"/>
  <c r="S383" i="1" s="1"/>
  <c r="S424" i="1" a="1"/>
  <c r="S424" i="1" s="1"/>
  <c r="S437" i="1" a="1"/>
  <c r="S437" i="1" s="1"/>
  <c r="S774" i="1" a="1"/>
  <c r="S774" i="1" s="1"/>
  <c r="S268" i="1" a="1"/>
  <c r="S268" i="1" s="1"/>
  <c r="S947" i="1" a="1"/>
  <c r="S947" i="1" s="1"/>
  <c r="S416" i="1" a="1"/>
  <c r="S416" i="1" s="1"/>
  <c r="S206" i="1" a="1"/>
  <c r="S206" i="1" s="1"/>
  <c r="S104" i="1" a="1"/>
  <c r="S104" i="1" s="1"/>
  <c r="S736" i="1" a="1"/>
  <c r="S736" i="1" s="1"/>
  <c r="S264" i="1" a="1"/>
  <c r="S264" i="1" s="1"/>
  <c r="S419" i="1" a="1"/>
  <c r="S419" i="1" s="1"/>
  <c r="S728" i="1" a="1"/>
  <c r="S728" i="1" s="1"/>
  <c r="S150" i="1" a="1"/>
  <c r="S150" i="1" s="1"/>
  <c r="S269" i="1" a="1"/>
  <c r="S269" i="1" s="1"/>
  <c r="S180" i="1" a="1"/>
  <c r="S180" i="1" s="1"/>
  <c r="S797" i="1" a="1"/>
  <c r="S797" i="1" s="1"/>
  <c r="S665" i="1" a="1"/>
  <c r="S665" i="1" s="1"/>
  <c r="S659" i="1" a="1"/>
  <c r="S659" i="1" s="1"/>
  <c r="S502" i="1" a="1"/>
  <c r="S502" i="1" s="1"/>
  <c r="S448" i="1" a="1"/>
  <c r="S448" i="1" s="1"/>
  <c r="S885" i="1" a="1"/>
  <c r="S885" i="1" s="1"/>
  <c r="S182" i="1" a="1"/>
  <c r="S182" i="1" s="1"/>
  <c r="S434" i="1" a="1"/>
  <c r="S434" i="1" s="1"/>
  <c r="S518" i="1" a="1"/>
  <c r="S518" i="1" s="1"/>
  <c r="S384" i="1" a="1"/>
  <c r="S384" i="1" s="1"/>
  <c r="S955" i="1" a="1"/>
  <c r="S955" i="1" s="1"/>
  <c r="S695" i="1" a="1"/>
  <c r="S695" i="1" s="1"/>
  <c r="S207" i="1" a="1"/>
  <c r="S207" i="1" s="1"/>
  <c r="S807" i="1" a="1"/>
  <c r="S807" i="1" s="1"/>
  <c r="S60" i="1" a="1"/>
  <c r="S60" i="1" s="1"/>
  <c r="S360" i="1" a="1"/>
  <c r="S360" i="1" s="1"/>
  <c r="S215" i="1" a="1"/>
  <c r="S215" i="1" s="1"/>
  <c r="S853" i="1" a="1"/>
  <c r="S853" i="1" s="1"/>
  <c r="S365" i="1" a="1"/>
  <c r="S365" i="1" s="1"/>
  <c r="S438" i="1" a="1"/>
  <c r="S438" i="1" s="1"/>
  <c r="S890" i="1" a="1"/>
  <c r="S890" i="1" s="1"/>
  <c r="S754" i="1" a="1"/>
  <c r="S754" i="1" s="1"/>
  <c r="S190" i="1" a="1"/>
  <c r="S190" i="1" s="1"/>
  <c r="S991" i="1" a="1"/>
  <c r="S991" i="1" s="1"/>
  <c r="S486" i="1" a="1"/>
  <c r="S486" i="1"/>
  <c r="S66" i="1" a="1"/>
  <c r="S66" i="1" s="1"/>
  <c r="S270" i="1" a="1"/>
  <c r="S270" i="1" s="1"/>
  <c r="S38" i="1" a="1"/>
  <c r="S38" i="1" s="1"/>
  <c r="S72" i="1" a="1"/>
  <c r="S72" i="1" s="1"/>
  <c r="S10" i="1" a="1"/>
  <c r="S10" i="1" s="1"/>
  <c r="S810" i="1" a="1"/>
  <c r="S810" i="1" s="1"/>
  <c r="S997" i="1" a="1"/>
  <c r="S997" i="1" s="1"/>
  <c r="S966" i="1" a="1"/>
  <c r="S966" i="1" s="1"/>
  <c r="S976" i="1" a="1"/>
  <c r="S976" i="1" s="1"/>
  <c r="S341" i="1" a="1"/>
  <c r="S341" i="1" s="1"/>
  <c r="S896" i="1" a="1"/>
  <c r="S896" i="1" s="1"/>
  <c r="S117" i="1" a="1"/>
  <c r="S117" i="1" s="1"/>
  <c r="S153" i="1" a="1"/>
  <c r="S153" i="1" s="1"/>
  <c r="S763" i="1" a="1"/>
  <c r="S763" i="1" s="1"/>
  <c r="S156" i="1" a="1"/>
  <c r="S156" i="1" s="1"/>
  <c r="S171" i="1" a="1"/>
  <c r="S171" i="1" s="1"/>
  <c r="S668" i="1" a="1"/>
  <c r="S668" i="1" s="1"/>
  <c r="S861" i="1" a="1"/>
  <c r="S861" i="1" s="1"/>
  <c r="S475" i="1" a="1"/>
  <c r="S475" i="1" s="1"/>
  <c r="S191" i="1" a="1"/>
  <c r="S191" i="1" s="1"/>
  <c r="S932" i="1" a="1"/>
  <c r="S932" i="1" s="1"/>
  <c r="S589" i="1" a="1"/>
  <c r="S589" i="1" s="1"/>
  <c r="S922" i="1" a="1"/>
  <c r="S922" i="1" s="1"/>
  <c r="S449" i="1" a="1"/>
  <c r="S449" i="1" s="1"/>
  <c r="S901" i="1" a="1"/>
  <c r="S901" i="1" s="1"/>
  <c r="S586" i="1" a="1"/>
  <c r="S586" i="1" s="1"/>
  <c r="S379" i="1" a="1"/>
  <c r="S379" i="1" s="1"/>
  <c r="S380" i="1" a="1"/>
  <c r="S380" i="1" s="1"/>
  <c r="S244" i="1" a="1"/>
  <c r="S244" i="1" s="1"/>
  <c r="S381" i="1" a="1"/>
  <c r="S381" i="1" s="1"/>
  <c r="S105" i="1" a="1"/>
  <c r="S105" i="1" s="1"/>
  <c r="S652" i="1" a="1"/>
  <c r="S652" i="1" s="1"/>
  <c r="S905" i="1" a="1"/>
  <c r="S905" i="1" s="1"/>
  <c r="S487" i="1" a="1"/>
  <c r="S487" i="1" s="1"/>
  <c r="S333" i="1" a="1"/>
  <c r="S333" i="1" s="1"/>
  <c r="S886" i="1" a="1"/>
  <c r="S886" i="1" s="1"/>
  <c r="S575" i="1" a="1"/>
  <c r="S575" i="1" s="1"/>
  <c r="S481" i="1" a="1"/>
  <c r="S481" i="1" s="1"/>
  <c r="S822" i="1" a="1"/>
  <c r="S822" i="1" s="1"/>
  <c r="S515" i="1" a="1"/>
  <c r="S515" i="1" s="1"/>
  <c r="S576" i="1" a="1"/>
  <c r="S576" i="1" s="1"/>
  <c r="S408" i="1" a="1"/>
  <c r="S408" i="1" s="1"/>
  <c r="S696" i="1" a="1"/>
  <c r="S696" i="1" s="1"/>
  <c r="S755" i="1" a="1"/>
  <c r="S755" i="1" s="1"/>
  <c r="S108" i="1" a="1"/>
  <c r="S108" i="1" s="1"/>
  <c r="S828" i="1" a="1"/>
  <c r="S828" i="1" s="1"/>
  <c r="S192" i="1" a="1"/>
  <c r="S192" i="1" s="1"/>
  <c r="S254" i="1" a="1"/>
  <c r="S254" i="1" s="1"/>
  <c r="S79" i="1" a="1"/>
  <c r="S79" i="1" s="1"/>
  <c r="S96" i="1" a="1"/>
  <c r="S96" i="1" s="1"/>
  <c r="S131" i="1" a="1"/>
  <c r="S131" i="1" s="1"/>
  <c r="S330" i="1" a="1"/>
  <c r="S330" i="1" s="1"/>
  <c r="S685" i="1" a="1"/>
  <c r="S685" i="1" s="1"/>
  <c r="S676" i="1" a="1"/>
  <c r="S676" i="1" s="1"/>
  <c r="S710" i="1" a="1"/>
  <c r="S710" i="1" s="1"/>
  <c r="S256" i="1" a="1"/>
  <c r="S256" i="1" s="1"/>
  <c r="S395" i="1" a="1"/>
  <c r="S395" i="1" s="1"/>
  <c r="S46" i="1" a="1"/>
  <c r="S46" i="1" s="1"/>
  <c r="S11" i="1" a="1"/>
  <c r="S11" i="1" s="1"/>
  <c r="S852" i="1" a="1"/>
  <c r="S852" i="1" s="1"/>
  <c r="S5" i="1" a="1"/>
  <c r="S5" i="1" s="1"/>
  <c r="S943" i="1" a="1"/>
  <c r="S943" i="1" s="1"/>
  <c r="S67" i="1" a="1"/>
  <c r="S67" i="1" s="1"/>
  <c r="S184" i="1" a="1"/>
  <c r="S184" i="1" s="1"/>
  <c r="S482" i="1" a="1"/>
  <c r="S482" i="1" s="1"/>
  <c r="S756" i="1" a="1"/>
  <c r="S756" i="1" s="1"/>
  <c r="S311" i="1" a="1"/>
  <c r="S311" i="1" s="1"/>
  <c r="S558" i="1" a="1"/>
  <c r="S558" i="1" s="1"/>
  <c r="S439" i="1" a="1"/>
  <c r="S439" i="1" s="1"/>
  <c r="S545" i="1" a="1"/>
  <c r="S545" i="1" s="1"/>
  <c r="S798" i="1" a="1"/>
  <c r="S798" i="1" s="1"/>
  <c r="S293" i="1" a="1"/>
  <c r="S293" i="1" s="1"/>
  <c r="S713" i="1" a="1"/>
  <c r="S713" i="1" s="1"/>
  <c r="S172" i="1" a="1"/>
  <c r="S172" i="1" s="1"/>
  <c r="S787" i="1" a="1"/>
  <c r="S787" i="1" s="1"/>
  <c r="S788" i="1" a="1"/>
  <c r="S788" i="1" s="1"/>
  <c r="S953" i="1" a="1"/>
  <c r="S953" i="1" s="1"/>
  <c r="S846" i="1" a="1"/>
  <c r="S846" i="1" s="1"/>
  <c r="S248" i="1" a="1"/>
  <c r="S248" i="1" s="1"/>
  <c r="S660" i="1" a="1"/>
  <c r="S660" i="1" s="1"/>
  <c r="S377" i="1" a="1"/>
  <c r="S377" i="1" s="1"/>
  <c r="S328" i="1" a="1"/>
  <c r="S328" i="1" s="1"/>
  <c r="S193" i="1" a="1"/>
  <c r="S193" i="1" s="1"/>
  <c r="S648" i="1" a="1"/>
  <c r="S648" i="1" s="1"/>
  <c r="S53" i="1" a="1"/>
  <c r="S53" i="1" s="1"/>
  <c r="S469" i="1" a="1"/>
  <c r="S469" i="1" s="1"/>
  <c r="S505" i="1" a="1"/>
  <c r="S505" i="1" s="1"/>
  <c r="S321" i="1" a="1"/>
  <c r="S321" i="1" s="1"/>
  <c r="S126" i="1" a="1"/>
  <c r="S126" i="1" s="1"/>
  <c r="S714" i="1" a="1"/>
  <c r="S714" i="1" s="1"/>
  <c r="S961" i="1" a="1"/>
  <c r="S961" i="1" s="1"/>
  <c r="S308" i="1" a="1"/>
  <c r="S308" i="1" s="1"/>
  <c r="S906" i="1" a="1"/>
  <c r="S906" i="1" s="1"/>
  <c r="S552" i="1" a="1"/>
  <c r="S552" i="1" s="1"/>
  <c r="S16" i="1" a="1"/>
  <c r="S16" i="1" s="1"/>
  <c r="S229" i="1" a="1"/>
  <c r="S229" i="1" s="1"/>
  <c r="S483" i="1" a="1"/>
  <c r="S483" i="1" s="1"/>
  <c r="S226" i="1" a="1"/>
  <c r="S226" i="1" s="1"/>
  <c r="S137" i="1" a="1"/>
  <c r="S137" i="1" s="1"/>
  <c r="S476" i="1" a="1"/>
  <c r="S476" i="1" s="1"/>
  <c r="S986" i="1" a="1"/>
  <c r="S986" i="1" s="1"/>
  <c r="S404" i="1" a="1"/>
  <c r="S404" i="1" s="1"/>
  <c r="S887" i="1" a="1"/>
  <c r="S887" i="1" s="1"/>
  <c r="S88" i="1" a="1"/>
  <c r="S88" i="1" s="1"/>
  <c r="S491" i="1" a="1"/>
  <c r="S491" i="1" s="1"/>
  <c r="S717" i="1" a="1"/>
  <c r="S717" i="1" s="1"/>
  <c r="S747" i="1" a="1"/>
  <c r="S747" i="1" s="1"/>
  <c r="S302" i="1" a="1"/>
  <c r="S302" i="1" s="1"/>
  <c r="S350" i="1" a="1"/>
  <c r="S350" i="1" s="1"/>
  <c r="S970" i="1" a="1"/>
  <c r="S970" i="1" s="1"/>
  <c r="S97" i="1" a="1"/>
  <c r="S97" i="1" s="1"/>
  <c r="S369" i="1" a="1"/>
  <c r="S369" i="1" s="1"/>
  <c r="S757" i="1" a="1"/>
  <c r="S757" i="1" s="1"/>
  <c r="S613" i="1" a="1"/>
  <c r="S613" i="1" s="1"/>
  <c r="S842" i="1" a="1"/>
  <c r="S842" i="1" s="1"/>
  <c r="S973" i="1" a="1"/>
  <c r="S973" i="1" s="1"/>
  <c r="S615" i="1" a="1"/>
  <c r="S615" i="1" s="1"/>
  <c r="S775" i="1" a="1"/>
  <c r="S775" i="1" s="1"/>
  <c r="S529" i="1" a="1"/>
  <c r="S529" i="1" s="1"/>
  <c r="S138" i="1" a="1"/>
  <c r="S138" i="1" s="1"/>
  <c r="S727" i="1" a="1"/>
  <c r="S727" i="1" s="1"/>
  <c r="S54" i="1" a="1"/>
  <c r="S54" i="1" s="1"/>
  <c r="S802" i="1" a="1"/>
  <c r="S802" i="1" s="1"/>
  <c r="S661" i="1" a="1"/>
  <c r="S661" i="1" s="1"/>
  <c r="S680" i="1" a="1"/>
  <c r="S680" i="1" s="1"/>
  <c r="S144" i="1" a="1"/>
  <c r="S144" i="1" s="1"/>
  <c r="S176" i="1" a="1"/>
  <c r="S176" i="1" s="1"/>
  <c r="S524" i="1" a="1"/>
  <c r="S524" i="1" s="1"/>
  <c r="S211" i="1" a="1"/>
  <c r="S211" i="1" s="1"/>
  <c r="S68" i="1" a="1"/>
  <c r="S68" i="1" s="1"/>
  <c r="S669" i="1" a="1"/>
  <c r="S669" i="1" s="1"/>
  <c r="S399" i="1" a="1"/>
  <c r="S399" i="1" s="1"/>
  <c r="S241" i="1" a="1"/>
  <c r="S241" i="1" s="1"/>
  <c r="S553" i="1" a="1"/>
  <c r="S553" i="1" s="1"/>
  <c r="S764" i="1" a="1"/>
  <c r="S764" i="1" s="1"/>
  <c r="S200" i="1" a="1"/>
  <c r="S200" i="1" s="1"/>
  <c r="S567" i="1" a="1"/>
  <c r="S567" i="1" s="1"/>
  <c r="S167" i="1" a="1"/>
  <c r="S167" i="1" s="1"/>
  <c r="S141" i="1" a="1"/>
  <c r="S141" i="1" s="1"/>
  <c r="S273" i="1" a="1"/>
  <c r="S273" i="1" s="1"/>
  <c r="S154" i="1" a="1"/>
  <c r="S154" i="1" s="1"/>
  <c r="S334" i="1" a="1"/>
  <c r="S334" i="1" s="1"/>
  <c r="S803" i="1" a="1"/>
  <c r="S803" i="1" s="1"/>
  <c r="S151" i="1" a="1"/>
  <c r="S151" i="1" s="1"/>
  <c r="S17" i="1" a="1"/>
  <c r="S17" i="1" s="1"/>
  <c r="S440" i="1" a="1"/>
  <c r="S440" i="1" s="1"/>
  <c r="S956" i="1" a="1"/>
  <c r="S956" i="1" s="1"/>
  <c r="S98" i="1" a="1"/>
  <c r="S98" i="1" s="1"/>
  <c r="S470" i="1" a="1"/>
  <c r="S470" i="1" s="1"/>
  <c r="S929" i="1" a="1"/>
  <c r="S929" i="1" s="1"/>
  <c r="S249" i="1" a="1"/>
  <c r="S249" i="1" s="1"/>
  <c r="S525" i="1" a="1"/>
  <c r="S525" i="1" s="1"/>
  <c r="S761" i="1" a="1"/>
  <c r="S761" i="1" s="1"/>
  <c r="S597" i="1" a="1"/>
  <c r="S597" i="1" s="1"/>
  <c r="S28" i="1" a="1"/>
  <c r="S28" i="1" s="1"/>
  <c r="S632" i="1" a="1"/>
  <c r="S632" i="1" s="1"/>
  <c r="S179" i="1" a="1"/>
  <c r="S179" i="1" s="1"/>
  <c r="S864" i="1" a="1"/>
  <c r="S864" i="1" s="1"/>
  <c r="S84" i="1" a="1"/>
  <c r="S84" i="1" s="1"/>
  <c r="S295" i="1" a="1"/>
  <c r="S295" i="1" s="1"/>
  <c r="S978" i="1" a="1"/>
  <c r="S978" i="1" s="1"/>
  <c r="S510" i="1" a="1"/>
  <c r="S510" i="1" s="1"/>
  <c r="S370" i="1" a="1"/>
  <c r="S370" i="1" s="1"/>
  <c r="S829" i="1" a="1"/>
  <c r="S829" i="1" s="1"/>
  <c r="S389" i="1" a="1"/>
  <c r="S389" i="1" s="1"/>
  <c r="S471" i="1" a="1"/>
  <c r="S471" i="1" s="1"/>
  <c r="S458" i="1" a="1"/>
  <c r="S458" i="1" s="1"/>
  <c r="S769" i="1" a="1"/>
  <c r="S769" i="1" s="1"/>
  <c r="S915" i="1" a="1"/>
  <c r="S915" i="1" s="1"/>
  <c r="S18" i="1" a="1"/>
  <c r="S18" i="1" s="1"/>
  <c r="S791" i="1" a="1"/>
  <c r="S791" i="1" s="1"/>
  <c r="S157" i="1" a="1"/>
  <c r="S157" i="1" s="1"/>
  <c r="S322" i="1" a="1"/>
  <c r="S322" i="1" s="1"/>
  <c r="S507" i="1" a="1"/>
  <c r="S507" i="1" s="1"/>
  <c r="S993" i="1" a="1"/>
  <c r="S993" i="1" s="1"/>
  <c r="S587" i="1" a="1"/>
  <c r="S587" i="1" s="1"/>
  <c r="S73" i="1" a="1"/>
  <c r="S73" i="1" s="1"/>
  <c r="S382" i="1" a="1"/>
  <c r="S382" i="1" s="1"/>
  <c r="S497" i="1" a="1"/>
  <c r="S497" i="1" s="1"/>
  <c r="S366" i="1" a="1"/>
  <c r="S366" i="1" s="1"/>
  <c r="S630" i="1" a="1"/>
  <c r="S630" i="1" s="1"/>
  <c r="S425" i="1" a="1"/>
  <c r="S425" i="1" s="1"/>
  <c r="S55" i="1" a="1"/>
  <c r="S55" i="1" s="1"/>
  <c r="S242" i="1" a="1"/>
  <c r="S242" i="1" s="1"/>
  <c r="S801" i="1" a="1"/>
  <c r="S801" i="1" s="1"/>
  <c r="S409" i="1" a="1"/>
  <c r="S409" i="1" s="1"/>
  <c r="S463" i="1" a="1"/>
  <c r="S463" i="1" s="1"/>
  <c r="S456" i="1" a="1"/>
  <c r="S456" i="1" s="1"/>
  <c r="S386" i="1" a="1"/>
  <c r="S386" i="1" s="1"/>
  <c r="S749" i="1" a="1"/>
  <c r="S749" i="1" s="1"/>
  <c r="S957" i="1" a="1"/>
  <c r="S957" i="1" s="1"/>
  <c r="S325" i="1" a="1"/>
  <c r="S325" i="1" s="1"/>
  <c r="S531" i="1" a="1"/>
  <c r="S531" i="1" s="1"/>
  <c r="S983" i="1" a="1"/>
  <c r="S983" i="1" s="1"/>
  <c r="S312" i="1" a="1"/>
  <c r="S312" i="1" s="1"/>
  <c r="S795" i="1" a="1"/>
  <c r="S795" i="1" s="1"/>
  <c r="S400" i="1" a="1"/>
  <c r="S400" i="1" s="1"/>
  <c r="S342" i="1" a="1"/>
  <c r="S342" i="1" s="1"/>
  <c r="S818" i="1" a="1"/>
  <c r="S818" i="1" s="1"/>
  <c r="S441" i="1" a="1"/>
  <c r="S441" i="1" s="1"/>
  <c r="S823" i="1" a="1"/>
  <c r="S823" i="1" s="1"/>
  <c r="S343" i="1" a="1"/>
  <c r="S343" i="1" s="1"/>
  <c r="S765" i="1" a="1"/>
  <c r="S765" i="1" s="1"/>
  <c r="S85" i="1" a="1"/>
  <c r="S85" i="1" s="1"/>
  <c r="S177" i="1" a="1"/>
  <c r="S177" i="1" s="1"/>
  <c r="S304" i="1" a="1"/>
  <c r="S304" i="1" s="1"/>
  <c r="S353" i="1" a="1"/>
  <c r="S353" i="1" s="1"/>
  <c r="S429" i="1" a="1"/>
  <c r="S429" i="1" s="1"/>
  <c r="S234" i="1" a="1"/>
  <c r="S234" i="1" s="1"/>
  <c r="S417" i="1" a="1"/>
  <c r="S417" i="1" s="1"/>
  <c r="S286" i="1" a="1"/>
  <c r="S286" i="1" s="1"/>
  <c r="S132" i="1" a="1"/>
  <c r="S132" i="1" s="1"/>
  <c r="S907" i="1" a="1"/>
  <c r="S907" i="1" s="1"/>
  <c r="S113" i="1" a="1"/>
  <c r="S113" i="1" s="1"/>
  <c r="S649" i="1" a="1"/>
  <c r="S649" i="1" s="1"/>
  <c r="S930" i="1" a="1"/>
  <c r="S930" i="1" s="1"/>
  <c r="S371" i="1" a="1"/>
  <c r="S371" i="1" s="1"/>
  <c r="S863" i="1" a="1"/>
  <c r="S863" i="1" s="1"/>
  <c r="S420" i="1" a="1"/>
  <c r="S420" i="1" s="1"/>
  <c r="S843" i="1" a="1"/>
  <c r="S843" i="1" s="1"/>
  <c r="S118" i="1" a="1"/>
  <c r="S118" i="1" s="1"/>
  <c r="S836" i="1" a="1"/>
  <c r="S836" i="1" s="1"/>
  <c r="S897" i="1" a="1"/>
  <c r="S897" i="1" s="1"/>
  <c r="S280" i="1" a="1"/>
  <c r="S280" i="1" s="1"/>
  <c r="S161" i="1" a="1"/>
  <c r="S161" i="1" s="1"/>
  <c r="S635" i="1" a="1"/>
  <c r="S635" i="1" s="1"/>
  <c r="S219" i="1" a="1"/>
  <c r="S219" i="1" s="1"/>
  <c r="S559" i="1" a="1"/>
  <c r="S559" i="1" s="1"/>
  <c r="S145" i="1" a="1"/>
  <c r="S145" i="1" s="1"/>
  <c r="S237" i="1" a="1"/>
  <c r="S237" i="1" s="1"/>
  <c r="S944" i="1" a="1"/>
  <c r="S944" i="1" s="1"/>
  <c r="S698" i="1" a="1"/>
  <c r="S698" i="1" s="1"/>
  <c r="S815" i="1" a="1"/>
  <c r="S815" i="1" s="1"/>
  <c r="S931" i="1" a="1"/>
  <c r="S931" i="1" s="1"/>
  <c r="S421" i="1" a="1"/>
  <c r="S421" i="1" s="1"/>
  <c r="S139" i="1" a="1"/>
  <c r="S139" i="1" s="1"/>
  <c r="S962" i="1" a="1"/>
  <c r="S962" i="1" s="1"/>
  <c r="S158" i="1" a="1"/>
  <c r="S158" i="1" s="1"/>
  <c r="S871" i="1" a="1"/>
  <c r="S871" i="1" s="1"/>
  <c r="S542" i="1" a="1"/>
  <c r="S542" i="1" s="1"/>
  <c r="S223" i="1" a="1"/>
  <c r="S223" i="1" s="1"/>
  <c r="S950" i="1" a="1"/>
  <c r="S950" i="1" s="1"/>
  <c r="S208" i="1" a="1"/>
  <c r="S208" i="1" s="1"/>
  <c r="S35" i="1" a="1"/>
  <c r="S35" i="1" s="1"/>
  <c r="S689" i="1" a="1"/>
  <c r="S689" i="1" s="1"/>
  <c r="S316" i="1" a="1"/>
  <c r="S316" i="1" s="1"/>
  <c r="S339" i="1" a="1"/>
  <c r="S339" i="1" s="1"/>
  <c r="S506" i="1" a="1"/>
  <c r="S506" i="1" s="1"/>
  <c r="S642" i="1" a="1"/>
  <c r="S642" i="1" s="1"/>
  <c r="S196" i="1" a="1"/>
  <c r="S196" i="1" s="1"/>
  <c r="S854" i="1" a="1"/>
  <c r="S854" i="1" s="1"/>
  <c r="S974" i="1" a="1"/>
  <c r="S974" i="1" s="1"/>
  <c r="S89" i="1" a="1"/>
  <c r="S89" i="1" s="1"/>
  <c r="S250" i="1" a="1"/>
  <c r="S250" i="1" s="1"/>
  <c r="S636" i="1" a="1"/>
  <c r="S636" i="1" s="1"/>
  <c r="S693" i="1" a="1"/>
  <c r="S693" i="1" s="1"/>
  <c r="S536" i="1" a="1"/>
  <c r="S536" i="1" s="1"/>
  <c r="S78" i="1" a="1"/>
  <c r="S78" i="1" s="1"/>
  <c r="S994" i="1" a="1"/>
  <c r="S994" i="1" s="1"/>
  <c r="S865" i="1" a="1"/>
  <c r="S865" i="1" s="1"/>
  <c r="S588" i="1" a="1"/>
  <c r="S588" i="1" s="1"/>
  <c r="S626" i="1" a="1"/>
  <c r="S626" i="1" s="1"/>
  <c r="S508" i="1" a="1"/>
  <c r="S508" i="1" s="1"/>
  <c r="S504" i="1" a="1"/>
  <c r="S504" i="1" s="1"/>
  <c r="S129" i="1" a="1"/>
  <c r="S129" i="1" s="1"/>
  <c r="S74" i="1" a="1"/>
  <c r="S74" i="1" s="1"/>
  <c r="S816" i="1" a="1"/>
  <c r="S816" i="1" s="1"/>
  <c r="S766" i="1" a="1"/>
  <c r="S766" i="1" s="1"/>
  <c r="S921" i="1" a="1"/>
  <c r="S921" i="1" s="1"/>
  <c r="S251" i="1" a="1"/>
  <c r="S251" i="1" s="1"/>
  <c r="S866" i="1" a="1"/>
  <c r="S866" i="1" s="1"/>
  <c r="S776" i="1" a="1"/>
  <c r="S776" i="1" s="1"/>
  <c r="S338" i="1" a="1"/>
  <c r="S338" i="1" s="1"/>
  <c r="S577" i="1" a="1"/>
  <c r="S577" i="1" s="1"/>
  <c r="S326" i="1" a="1"/>
  <c r="S326" i="1" s="1"/>
  <c r="S891" i="1" a="1"/>
  <c r="S891" i="1" s="1"/>
  <c r="S951" i="1" a="1"/>
  <c r="S951" i="1" s="1"/>
  <c r="S130" i="1" a="1"/>
  <c r="S130" i="1" s="1"/>
  <c r="S770" i="1" a="1"/>
  <c r="S770" i="1" s="1"/>
  <c r="S719" i="1" a="1"/>
  <c r="S719" i="1" s="1"/>
  <c r="S590" i="1" a="1"/>
  <c r="S590" i="1" s="1"/>
  <c r="S939" i="1" a="1"/>
  <c r="S939" i="1" s="1"/>
  <c r="S351" i="1" a="1"/>
  <c r="S351" i="1" s="1"/>
  <c r="S532" i="1" a="1"/>
  <c r="S532" i="1" s="1"/>
  <c r="S892" i="1" a="1"/>
  <c r="S892" i="1" s="1"/>
  <c r="S224" i="1" a="1"/>
  <c r="S224" i="1" s="1"/>
  <c r="S999" i="1" a="1"/>
  <c r="S999" i="1" s="1"/>
  <c r="S847" i="1" a="1"/>
  <c r="S847" i="1" s="1"/>
  <c r="S323" i="1" a="1"/>
  <c r="S323" i="1" s="1"/>
  <c r="S916" i="1" a="1"/>
  <c r="S916" i="1" s="1"/>
  <c r="S387" i="1" a="1"/>
  <c r="S387" i="1" s="1"/>
  <c r="S777" i="1" a="1"/>
  <c r="S777" i="1" s="1"/>
  <c r="S345" i="1" a="1"/>
  <c r="S345" i="1" s="1"/>
  <c r="S276" i="1" a="1"/>
  <c r="S276" i="1" s="1"/>
  <c r="S657" i="1" a="1"/>
  <c r="S657" i="1" s="1"/>
  <c r="S230" i="1" a="1"/>
  <c r="S230" i="1" s="1"/>
  <c r="S294" i="1" a="1"/>
  <c r="S294" i="1" s="1"/>
  <c r="S627" i="1" a="1"/>
  <c r="S627" i="1" s="1"/>
  <c r="S166" i="1" a="1"/>
  <c r="S166" i="1" s="1"/>
  <c r="S227" i="1" a="1"/>
  <c r="S227" i="1" s="1"/>
  <c r="S146" i="1" a="1"/>
  <c r="S146" i="1" s="1"/>
  <c r="S917" i="1" a="1"/>
  <c r="S917" i="1" s="1"/>
  <c r="S1000" i="1" a="1"/>
  <c r="S1000" i="1" s="1"/>
  <c r="S426" i="1" a="1"/>
  <c r="S426" i="1" s="1"/>
  <c r="S620" i="1" a="1"/>
  <c r="S620" i="1"/>
  <c r="S492" i="1" a="1"/>
  <c r="S492" i="1" s="1"/>
  <c r="S195" i="1" a="1"/>
  <c r="S195" i="1" s="1"/>
  <c r="S44" i="1" a="1"/>
  <c r="S44" i="1" s="1"/>
  <c r="S595" i="1" a="1"/>
  <c r="S595" i="1" s="1"/>
  <c r="S477" i="1" a="1"/>
  <c r="S477" i="1" s="1"/>
  <c r="S743" i="1" a="1"/>
  <c r="S743" i="1" s="1"/>
  <c r="S99" i="1" a="1"/>
  <c r="S99" i="1"/>
  <c r="S681" i="1" a="1"/>
  <c r="S681" i="1" s="1"/>
  <c r="S498" i="1" a="1"/>
  <c r="S498" i="1" s="1"/>
  <c r="S124" i="1" a="1"/>
  <c r="S124" i="1" s="1"/>
  <c r="S578" i="1" a="1"/>
  <c r="S578" i="1" s="1"/>
  <c r="S22" i="1" a="1"/>
  <c r="S22" i="1" s="1"/>
  <c r="S767" i="1" a="1"/>
  <c r="S767" i="1" s="1"/>
  <c r="S231" i="1" a="1"/>
  <c r="S231" i="1" s="1"/>
  <c r="S257" i="1" a="1"/>
  <c r="S257" i="1" s="1"/>
  <c r="S52" i="1" a="1"/>
  <c r="S52" i="1" s="1"/>
  <c r="S771" i="1" a="1"/>
  <c r="S771" i="1" s="1"/>
  <c r="S888" i="1" a="1"/>
  <c r="S888" i="1" s="1"/>
  <c r="S702" i="1" a="1"/>
  <c r="S702" i="1" s="1"/>
  <c r="S183" i="1" a="1"/>
  <c r="S183" i="1" s="1"/>
  <c r="S291" i="1" a="1"/>
  <c r="S291" i="1" s="1"/>
  <c r="S549" i="1" a="1"/>
  <c r="S549" i="1" s="1"/>
  <c r="S479" i="1" a="1"/>
  <c r="S479" i="1" s="1"/>
  <c r="S785" i="1" a="1"/>
  <c r="S785" i="1" s="1"/>
  <c r="S478" i="1" a="1"/>
  <c r="S478" i="1" s="1"/>
  <c r="S653" i="1" a="1"/>
  <c r="S653" i="1" s="1"/>
  <c r="S258" i="1" a="1"/>
  <c r="S258" i="1" s="1"/>
  <c r="S201" i="1" a="1"/>
  <c r="S201" i="1" s="1"/>
  <c r="S643" i="1" a="1"/>
  <c r="S643" i="1" s="1"/>
  <c r="S582" i="1" a="1"/>
  <c r="S582" i="1" s="1"/>
  <c r="S45" i="1" a="1"/>
  <c r="S45" i="1" s="1"/>
  <c r="S23" i="1" a="1"/>
  <c r="S23" i="1" s="1"/>
  <c r="S579" i="1" a="1"/>
  <c r="S579" i="1" s="1"/>
  <c r="S927" i="1" a="1"/>
  <c r="S927" i="1" s="1"/>
  <c r="S140" i="1" a="1"/>
  <c r="S140" i="1" s="1"/>
  <c r="S759" i="1" a="1"/>
  <c r="S759" i="1" s="1"/>
  <c r="S867" i="1" a="1"/>
  <c r="S867" i="1" s="1"/>
  <c r="S711" i="1" a="1"/>
  <c r="S711" i="1" s="1"/>
  <c r="S281" i="1" a="1"/>
  <c r="S281" i="1" s="1"/>
  <c r="S691" i="1" a="1"/>
  <c r="S691" i="1" s="1"/>
  <c r="S390" i="1" a="1"/>
  <c r="S390" i="1" s="1"/>
  <c r="S830" i="1" a="1"/>
  <c r="S830" i="1" s="1"/>
  <c r="S444" i="1" a="1"/>
  <c r="S444" i="1"/>
  <c r="S772" i="1" a="1"/>
  <c r="S772" i="1" s="1"/>
  <c r="S152" i="1" a="1"/>
  <c r="S152" i="1" s="1"/>
  <c r="S245" i="1" a="1"/>
  <c r="S245" i="1" s="1"/>
  <c r="S614" i="1" a="1"/>
  <c r="S614" i="1" s="1"/>
  <c r="S768" i="1" a="1"/>
  <c r="S768" i="1" s="1"/>
  <c r="S650" i="1" a="1"/>
  <c r="S650" i="1" s="1"/>
  <c r="S564" i="1" a="1"/>
  <c r="S564" i="1" s="1"/>
  <c r="S202" i="1" a="1"/>
  <c r="S202" i="1" s="1"/>
  <c r="S526" i="1" a="1"/>
  <c r="S526" i="1" s="1"/>
  <c r="S277" i="1" a="1"/>
  <c r="S277" i="1" s="1"/>
  <c r="S393" i="1" a="1"/>
  <c r="S393" i="1" s="1"/>
  <c r="S32" i="1" a="1"/>
  <c r="S32" i="1" s="1"/>
  <c r="S780" i="1" a="1"/>
  <c r="S780" i="1" s="1"/>
  <c r="S69" i="1" a="1"/>
  <c r="S69" i="1" s="1"/>
  <c r="S372" i="1" a="1"/>
  <c r="S372" i="1" s="1"/>
  <c r="S908" i="1" a="1"/>
  <c r="S908" i="1" s="1"/>
  <c r="S844" i="1" a="1"/>
  <c r="S844" i="1" s="1"/>
  <c r="S427" i="1" a="1"/>
  <c r="S427" i="1" s="1"/>
  <c r="S519" i="1" a="1"/>
  <c r="S519" i="1" s="1"/>
  <c r="S255" i="1" a="1"/>
  <c r="S255" i="1" s="1"/>
  <c r="S898" i="1" a="1"/>
  <c r="S898" i="1" s="1"/>
  <c r="S284" i="1" a="1"/>
  <c r="S284" i="1" s="1"/>
  <c r="S868" i="1" a="1"/>
  <c r="S868" i="1" s="1"/>
  <c r="S715" i="1" a="1"/>
  <c r="S715" i="1" s="1"/>
  <c r="S808" i="1" a="1"/>
  <c r="S808" i="1" s="1"/>
  <c r="S654" i="1" a="1"/>
  <c r="S654" i="1" s="1"/>
  <c r="S119" i="1" a="1"/>
  <c r="S119" i="1" s="1"/>
  <c r="S61" i="1" a="1"/>
  <c r="S61" i="1" s="1"/>
  <c r="S690" i="1" a="1"/>
  <c r="S690" i="1" s="1"/>
  <c r="S133" i="1" a="1"/>
  <c r="S133" i="1" s="1"/>
  <c r="S472" i="1" a="1"/>
  <c r="S472" i="1" s="1"/>
  <c r="S628" i="1" a="1"/>
  <c r="S628" i="1" s="1"/>
  <c r="S503" i="1" a="1"/>
  <c r="S503" i="1" s="1"/>
  <c r="S36" i="1" a="1"/>
  <c r="S36" i="1" s="1"/>
  <c r="S831" i="1" a="1"/>
  <c r="S831" i="1" s="1"/>
  <c r="S923" i="1" a="1"/>
  <c r="S923" i="1" s="1"/>
  <c r="S598" i="1" a="1"/>
  <c r="S598" i="1" s="1"/>
  <c r="S987" i="1" a="1"/>
  <c r="S987" i="1" s="1"/>
  <c r="S405" i="1" a="1"/>
  <c r="S405" i="1" s="1"/>
  <c r="S530" i="1" a="1"/>
  <c r="S530" i="1" s="1"/>
  <c r="S893" i="1" a="1"/>
  <c r="S893" i="1" s="1"/>
  <c r="S520" i="1" a="1"/>
  <c r="S520" i="1" s="1"/>
  <c r="S967" i="1" a="1"/>
  <c r="S967" i="1" s="1"/>
  <c r="S352" i="1" a="1"/>
  <c r="S352" i="1" s="1"/>
  <c r="S543" i="1" a="1"/>
  <c r="S543" i="1" s="1"/>
  <c r="S792" i="1" a="1"/>
  <c r="S792" i="1" s="1"/>
  <c r="S49" i="1" a="1"/>
  <c r="S49" i="1" s="1"/>
  <c r="S909" i="1" a="1"/>
  <c r="S909" i="1" s="1"/>
  <c r="S937" i="1" a="1"/>
  <c r="S937" i="1" s="1"/>
  <c r="S677" i="1" a="1"/>
  <c r="S677" i="1" s="1"/>
  <c r="S599" i="1" a="1"/>
  <c r="S599" i="1" s="1"/>
  <c r="S817" i="1" a="1"/>
  <c r="S817" i="1" s="1"/>
  <c r="S31" i="1" a="1"/>
  <c r="S31" i="1"/>
  <c r="S2" i="1" a="1"/>
  <c r="S2" i="1" s="1"/>
  <c r="S633" i="1" a="1"/>
  <c r="S633" i="1" s="1"/>
  <c r="S904" i="1" a="1"/>
  <c r="S904" i="1" s="1"/>
  <c r="S670" i="1" a="1"/>
  <c r="S670" i="1" s="1"/>
  <c r="S48" i="1" a="1"/>
  <c r="S48" i="1" s="1"/>
  <c r="S42" i="1" a="1"/>
  <c r="S42" i="1" s="1"/>
  <c r="S62" i="1" a="1"/>
  <c r="S62" i="1"/>
  <c r="S94" i="1" a="1"/>
  <c r="S94" i="1" s="1"/>
  <c r="S271" i="1" a="1"/>
  <c r="S271" i="1" s="1"/>
  <c r="S975" i="1" a="1"/>
  <c r="S975" i="1" s="1"/>
  <c r="S100" i="1" a="1"/>
  <c r="S100" i="1" s="1"/>
  <c r="S811" i="1" a="1"/>
  <c r="S811" i="1" s="1"/>
  <c r="S703" i="1" a="1"/>
  <c r="S703" i="1" s="1"/>
  <c r="S488" i="1" a="1"/>
  <c r="S488" i="1" s="1"/>
  <c r="S303" i="1" a="1"/>
  <c r="S303" i="1" s="1"/>
  <c r="S422" i="1" a="1"/>
  <c r="S422" i="1" s="1"/>
  <c r="S554" i="1" a="1"/>
  <c r="S554" i="1" s="1"/>
  <c r="S687" i="1" a="1"/>
  <c r="S687" i="1" s="1"/>
  <c r="S43" i="1" a="1"/>
  <c r="S43" i="1" s="1"/>
  <c r="S114" i="1" a="1"/>
  <c r="S114" i="1" s="1"/>
  <c r="S555" i="1" a="1"/>
  <c r="S555" i="1" s="1"/>
  <c r="S858" i="1" a="1"/>
  <c r="S858" i="1" s="1"/>
  <c r="S442" i="1" a="1"/>
  <c r="S442" i="1" s="1"/>
  <c r="S580" i="1" a="1"/>
  <c r="S580" i="1" s="1"/>
  <c r="S641" i="1" a="1"/>
  <c r="S641" i="1" s="1"/>
  <c r="S225" i="1" a="1"/>
  <c r="S225" i="1" s="1"/>
  <c r="S75" i="1" a="1"/>
  <c r="S75" i="1" s="1"/>
  <c r="S120" i="1" a="1"/>
  <c r="S120" i="1" s="1"/>
  <c r="S637" i="1" a="1"/>
  <c r="S637" i="1" s="1"/>
  <c r="S185" i="1" a="1"/>
  <c r="S185" i="1" s="1"/>
  <c r="S623" i="1" a="1"/>
  <c r="S623" i="1" s="1"/>
  <c r="S952" i="1" a="1"/>
  <c r="S952" i="1" s="1"/>
  <c r="S571" i="1" a="1"/>
  <c r="S571" i="1" s="1"/>
  <c r="S159" i="1" a="1"/>
  <c r="S159" i="1" s="1"/>
  <c r="S741" i="1" a="1"/>
  <c r="S741" i="1" s="1"/>
  <c r="S910" i="1" a="1"/>
  <c r="S910" i="1" s="1"/>
  <c r="S750" i="1" a="1"/>
  <c r="S750" i="1" s="1"/>
  <c r="S12" i="1" a="1"/>
  <c r="S12" i="1" s="1"/>
  <c r="S209" i="1" a="1"/>
  <c r="S209" i="1" s="1"/>
  <c r="S265" i="1" a="1"/>
  <c r="S265" i="1" s="1"/>
  <c r="S651" i="1" a="1"/>
  <c r="S651" i="1" s="1"/>
  <c r="S259" i="1" a="1"/>
  <c r="S259" i="1" s="1"/>
  <c r="S361" i="1" a="1"/>
  <c r="S361" i="1" s="1"/>
  <c r="S299" i="1" a="1"/>
  <c r="S299" i="1" s="1"/>
  <c r="S805" i="1" a="1"/>
  <c r="S805" i="1" s="1"/>
  <c r="S920" i="1" a="1"/>
  <c r="S920" i="1" s="1"/>
  <c r="S600" i="1" a="1"/>
  <c r="S600" i="1" s="1"/>
  <c r="S565" i="1" a="1"/>
  <c r="S565" i="1" s="1"/>
  <c r="S19" i="1" a="1"/>
  <c r="S19" i="1" s="1"/>
  <c r="S737" i="1" a="1"/>
  <c r="S737" i="1" s="1"/>
  <c r="S435" i="1" a="1"/>
  <c r="S435" i="1" s="1"/>
  <c r="S203" i="1" a="1"/>
  <c r="S203" i="1" s="1"/>
  <c r="S638" i="1" a="1"/>
  <c r="S638" i="1" s="1"/>
  <c r="S924" i="1" a="1"/>
  <c r="S924" i="1" s="1"/>
  <c r="S90" i="1" a="1"/>
  <c r="S90" i="1" s="1"/>
  <c r="S499" i="1" a="1"/>
  <c r="S499" i="1" s="1"/>
  <c r="S287" i="1" a="1"/>
  <c r="S287" i="1" s="1"/>
  <c r="S684" i="1" a="1"/>
  <c r="S684" i="1" s="1"/>
  <c r="S875" i="1" a="1"/>
  <c r="S875" i="1" s="1"/>
  <c r="S428" i="1" a="1"/>
  <c r="S428" i="1" s="1"/>
  <c r="S41" i="1" a="1"/>
  <c r="S41" i="1" s="1"/>
  <c r="S662" i="1" a="1"/>
  <c r="S662" i="1" s="1"/>
  <c r="S278" i="1" a="1"/>
  <c r="S278" i="1" s="1"/>
  <c r="S39" i="1" a="1"/>
  <c r="S39" i="1" s="1"/>
  <c r="S979" i="1" a="1"/>
  <c r="S979" i="1" s="1"/>
  <c r="S252" i="1" a="1"/>
  <c r="S252" i="1" s="1"/>
  <c r="S115" i="1" a="1"/>
  <c r="S115" i="1" s="1"/>
  <c r="S300" i="1" a="1"/>
  <c r="S300" i="1" s="1"/>
  <c r="S188" i="1" a="1"/>
  <c r="S188" i="1" s="1"/>
  <c r="S91" i="1" a="1"/>
  <c r="S91" i="1" s="1"/>
  <c r="S282" i="1" a="1"/>
  <c r="S282" i="1" s="1"/>
  <c r="S692" i="1" a="1"/>
  <c r="S692" i="1" s="1"/>
  <c r="S6" i="1" a="1"/>
  <c r="S6" i="1" s="1"/>
  <c r="S216" i="1" a="1"/>
  <c r="S216" i="1" s="1"/>
  <c r="S546" i="1" a="1"/>
  <c r="S546" i="1" s="1"/>
  <c r="S824" i="1" a="1"/>
  <c r="S824" i="1" s="1"/>
  <c r="S305" i="1" a="1"/>
  <c r="S305" i="1" s="1"/>
  <c r="S712" i="1" a="1"/>
  <c r="S712" i="1" s="1"/>
  <c r="S413" i="1" a="1"/>
  <c r="S413" i="1" s="1"/>
  <c r="S228" i="1" a="1"/>
  <c r="S228" i="1" s="1"/>
  <c r="S162" i="1" a="1"/>
  <c r="S162" i="1" s="1"/>
  <c r="S940" i="1" a="1"/>
  <c r="S940" i="1" s="1"/>
  <c r="S583" i="1" a="1"/>
  <c r="S583" i="1" s="1"/>
  <c r="S106" i="1" a="1"/>
  <c r="S106" i="1" s="1"/>
  <c r="S911" i="1" a="1"/>
  <c r="S911" i="1" s="1"/>
  <c r="S938" i="1" a="1"/>
  <c r="S938" i="1" s="1"/>
  <c r="S832" i="1" a="1"/>
  <c r="S832" i="1" s="1"/>
  <c r="S373" i="1" a="1"/>
  <c r="S373" i="1" s="1"/>
  <c r="S876" i="1" a="1"/>
  <c r="S876" i="1" s="1"/>
  <c r="S621" i="1" a="1"/>
  <c r="S621" i="1" s="1"/>
  <c r="S86" i="1" a="1"/>
  <c r="S86" i="1" s="1"/>
  <c r="S980" i="1" a="1"/>
  <c r="S980" i="1" s="1"/>
  <c r="S948" i="1" a="1"/>
  <c r="S948" i="1" s="1"/>
  <c r="S101" i="1" a="1"/>
  <c r="S101" i="1" s="1"/>
  <c r="S732" i="1" a="1"/>
  <c r="S732" i="1" s="1"/>
  <c r="S317" i="1" a="1"/>
  <c r="S317" i="1" s="1"/>
  <c r="S402" i="1" a="1"/>
  <c r="S402" i="1" s="1"/>
  <c r="S163" i="1" a="1"/>
  <c r="S163" i="1" s="1"/>
  <c r="S622" i="1" a="1"/>
  <c r="S622" i="1" s="1"/>
  <c r="S378" i="1" a="1"/>
  <c r="S378" i="1" s="1"/>
  <c r="S204" i="1" a="1"/>
  <c r="S204" i="1" s="1"/>
  <c r="S236" i="1" a="1"/>
  <c r="S236" i="1" s="1"/>
  <c r="S329" i="1" a="1"/>
  <c r="S329" i="1" s="1"/>
  <c r="S288" i="1" a="1"/>
  <c r="S288" i="1" s="1"/>
  <c r="S729" i="1" a="1"/>
  <c r="S729" i="1" s="1"/>
  <c r="S3" i="1" a="1"/>
  <c r="S3" i="1" s="1"/>
  <c r="S547" i="1" a="1"/>
  <c r="S547" i="1" s="1"/>
  <c r="S266" i="1" a="1"/>
  <c r="S266" i="1" s="1"/>
  <c r="S168" i="1" a="1"/>
  <c r="S168" i="1" s="1"/>
  <c r="S591" i="1" a="1"/>
  <c r="S591" i="1" s="1"/>
  <c r="S548" i="1" a="1"/>
  <c r="S548" i="1" s="1"/>
  <c r="S243" i="1" a="1"/>
  <c r="S243" i="1" s="1"/>
  <c r="S540" i="1" a="1"/>
  <c r="S540" i="1" s="1"/>
  <c r="S142" i="1" a="1"/>
  <c r="S142" i="1" s="1"/>
  <c r="S509" i="1" a="1"/>
  <c r="S509" i="1" s="1"/>
  <c r="S63" i="1" a="1"/>
  <c r="S63" i="1" s="1"/>
  <c r="S134" i="1" a="1"/>
  <c r="S134" i="1" s="1"/>
  <c r="S572" i="1" a="1"/>
  <c r="S572" i="1" s="1"/>
  <c r="S786" i="1" a="1"/>
  <c r="S786" i="1" s="1"/>
  <c r="S33" i="1" a="1"/>
  <c r="S33" i="1" s="1"/>
  <c r="S13" i="1" a="1"/>
  <c r="S13" i="1" s="1"/>
  <c r="S778" i="1" a="1"/>
  <c r="S778" i="1" s="1"/>
  <c r="S544" i="1" a="1"/>
  <c r="S544" i="1" s="1"/>
  <c r="S4" i="1" a="1"/>
  <c r="S4" i="1" s="1"/>
  <c r="S80" i="1" a="1"/>
  <c r="S80" i="1" s="1"/>
  <c r="S601" i="1" a="1"/>
  <c r="S601" i="1" s="1"/>
  <c r="S111" i="1" a="1"/>
  <c r="S111" i="1" s="1"/>
  <c r="S102" i="1" a="1"/>
  <c r="S102" i="1" s="1"/>
  <c r="S394" i="1" a="1"/>
  <c r="S394" i="1" s="1"/>
  <c r="S616" i="1" a="1"/>
  <c r="S616" i="1" s="1"/>
  <c r="S385" i="1" a="1"/>
  <c r="S385" i="1" s="1"/>
  <c r="S663" i="1" a="1"/>
  <c r="S663" i="1" s="1"/>
  <c r="S92" i="1" a="1"/>
  <c r="S92" i="1" s="1"/>
  <c r="S346" i="1" a="1"/>
  <c r="S346" i="1" s="1"/>
  <c r="S872" i="1" a="1"/>
  <c r="S872" i="1" s="1"/>
  <c r="S313" i="1" a="1"/>
  <c r="S313" i="1" s="1"/>
  <c r="S819" i="1" a="1"/>
  <c r="S819" i="1" s="1"/>
  <c r="S963" i="1" a="1"/>
  <c r="S963" i="1" s="1"/>
  <c r="S533" i="1" a="1"/>
  <c r="S533" i="1" s="1"/>
  <c r="S301" i="1" a="1"/>
  <c r="S301" i="1" s="1"/>
  <c r="S274" i="1" a="1"/>
  <c r="S274" i="1" s="1"/>
  <c r="S445" i="1" a="1"/>
  <c r="S445" i="1" s="1"/>
  <c r="S666" i="1" a="1"/>
  <c r="S666" i="1" s="1"/>
  <c r="S493" i="1" a="1"/>
  <c r="S493" i="1" s="1"/>
  <c r="S454" i="1" a="1"/>
  <c r="S454" i="1" s="1"/>
  <c r="S364" i="1" a="1"/>
  <c r="S364" i="1" s="1"/>
  <c r="S682" i="1" a="1"/>
  <c r="S682" i="1" s="1"/>
  <c r="S988" i="1" a="1"/>
  <c r="S988" i="1" s="1"/>
  <c r="S624" i="1" a="1"/>
  <c r="S624" i="1" s="1"/>
  <c r="S513" i="1" a="1"/>
  <c r="S513" i="1" s="1"/>
  <c r="S160" i="1" a="1"/>
  <c r="S160" i="1" s="1"/>
  <c r="S189" i="1" a="1"/>
  <c r="S189" i="1" s="1"/>
  <c r="S825" i="1" a="1"/>
  <c r="S825" i="1" s="1"/>
  <c r="S936" i="1" a="1"/>
  <c r="S936" i="1" s="1"/>
  <c r="S837" i="1" a="1"/>
  <c r="S837" i="1" s="1"/>
  <c r="S617" i="1" a="1"/>
  <c r="S617" i="1" s="1"/>
  <c r="S464" i="1" a="1"/>
  <c r="S464" i="1" s="1"/>
  <c r="S57" i="1" a="1"/>
  <c r="S57" i="1" s="1"/>
  <c r="S64" i="1" a="1"/>
  <c r="S64" i="1" s="1"/>
  <c r="S7" i="1" a="1"/>
  <c r="S7" i="1" s="1"/>
  <c r="S65" i="1" a="1"/>
  <c r="S65" i="1" s="1"/>
  <c r="S37" i="1" a="1"/>
  <c r="S37" i="1" s="1"/>
  <c r="S925" i="1" a="1"/>
  <c r="S925" i="1" s="1"/>
  <c r="S688" i="1" a="1"/>
  <c r="S688" i="1" s="1"/>
  <c r="S324" i="1" a="1"/>
  <c r="S324" i="1" s="1"/>
  <c r="S992" i="1" a="1"/>
  <c r="S992" i="1" s="1"/>
  <c r="S521" i="1" a="1"/>
  <c r="S521" i="1" s="1"/>
  <c r="S812" i="1" a="1"/>
  <c r="S812" i="1" s="1"/>
  <c r="S604" i="1" a="1"/>
  <c r="S604" i="1" s="1"/>
  <c r="S495" i="1" a="1"/>
  <c r="S495" i="1" s="1"/>
  <c r="S806" i="1" a="1"/>
  <c r="S806" i="1" s="1"/>
  <c r="S674" i="1" a="1"/>
  <c r="S674" i="1" s="1"/>
  <c r="S122" i="1" a="1"/>
  <c r="S122" i="1" s="1"/>
  <c r="S869" i="1" a="1"/>
  <c r="S869" i="1" s="1"/>
  <c r="S694" i="1" a="1"/>
  <c r="S694" i="1" s="1"/>
  <c r="S912" i="1" a="1"/>
  <c r="S912" i="1" s="1"/>
  <c r="S612" i="1" a="1"/>
  <c r="S612" i="1" s="1"/>
  <c r="S296" i="1" a="1"/>
  <c r="S296" i="1" s="1"/>
  <c r="S813" i="1" a="1"/>
  <c r="S813" i="1" s="1"/>
  <c r="S726" i="1" a="1"/>
  <c r="S726" i="1" s="1"/>
  <c r="S396" i="1" a="1"/>
  <c r="S396" i="1" s="1"/>
  <c r="S107" i="1" a="1"/>
  <c r="S107" i="1" s="1"/>
  <c r="S596" i="1" a="1"/>
  <c r="S596" i="1" s="1"/>
  <c r="S212" i="1" a="1"/>
  <c r="S212" i="1" s="1"/>
  <c r="S933" i="1" a="1"/>
  <c r="S933" i="1" s="1"/>
  <c r="S602" i="1" a="1"/>
  <c r="S602" i="1" s="1"/>
  <c r="S534" i="1" a="1"/>
  <c r="S534" i="1" s="1"/>
  <c r="S418" i="1" a="1"/>
  <c r="S418" i="1" s="1"/>
  <c r="S235" i="1" a="1"/>
  <c r="S235" i="1" s="1"/>
  <c r="S751" i="1" a="1"/>
  <c r="S751" i="1" s="1"/>
  <c r="S8" i="1" a="1"/>
  <c r="S8" i="1" s="1"/>
  <c r="S704" i="1" a="1"/>
  <c r="S704" i="1" s="1"/>
  <c r="S473" i="1" a="1"/>
  <c r="S473" i="1" s="1"/>
  <c r="S880" i="1" a="1"/>
  <c r="S880" i="1" s="1"/>
  <c r="S781" i="1" a="1"/>
  <c r="S781" i="1" s="1"/>
  <c r="S164" i="1" a="1"/>
  <c r="S164" i="1" s="1"/>
  <c r="S671" i="1" a="1"/>
  <c r="S671" i="1" s="1"/>
  <c r="S93" i="1" a="1"/>
  <c r="S93" i="1" s="1"/>
  <c r="S186" i="1" a="1"/>
  <c r="S186" i="1" s="1"/>
  <c r="S443" i="1" a="1"/>
  <c r="S443" i="1" s="1"/>
  <c r="S348" i="1" a="1"/>
  <c r="S348" i="1" s="1"/>
  <c r="S430" i="1" a="1"/>
  <c r="S430" i="1" s="1"/>
  <c r="S958" i="1" a="1"/>
  <c r="S958" i="1" s="1"/>
  <c r="S968" i="1" a="1"/>
  <c r="S968" i="1" s="1"/>
  <c r="S706" i="1" a="1"/>
  <c r="S706" i="1" s="1"/>
  <c r="S856" i="1" a="1"/>
  <c r="S856" i="1" s="1"/>
  <c r="S173" i="1" a="1"/>
  <c r="S173" i="1" s="1"/>
  <c r="S644" i="1" a="1"/>
  <c r="S644" i="1" s="1"/>
  <c r="S862" i="1" a="1"/>
  <c r="S862" i="1" s="1"/>
  <c r="S744" i="1" a="1"/>
  <c r="S744" i="1" s="1"/>
  <c r="S634" i="1" a="1"/>
  <c r="S634" i="1" s="1"/>
  <c r="S899" i="1" a="1"/>
  <c r="S899" i="1" s="1"/>
  <c r="S123" i="1" a="1"/>
  <c r="S123" i="1" s="1"/>
  <c r="S446" i="1" a="1"/>
  <c r="S446" i="1" s="1"/>
  <c r="S355" i="1" a="1"/>
  <c r="S355" i="1" s="1"/>
  <c r="S928" i="1" a="1"/>
  <c r="S928" i="1" s="1"/>
  <c r="S220" i="1" a="1"/>
  <c r="S220" i="1" s="1"/>
  <c r="S561" i="1" a="1"/>
  <c r="S561" i="1" s="1"/>
  <c r="S934" i="1" a="1"/>
  <c r="S934" i="1" s="1"/>
  <c r="S197" i="1" a="1"/>
  <c r="S197" i="1" s="1"/>
  <c r="S605" i="1" a="1"/>
  <c r="S605" i="1" s="1"/>
  <c r="S397" i="1" a="1"/>
  <c r="S397" i="1" s="1"/>
  <c r="S450" i="1" a="1"/>
  <c r="S450" i="1" s="1"/>
  <c r="S335" i="1" a="1"/>
  <c r="S335" i="1" s="1"/>
  <c r="S838" i="1" a="1"/>
  <c r="S838" i="1" s="1"/>
  <c r="S522" i="1" a="1"/>
  <c r="S522" i="1" s="1"/>
  <c r="S459" i="1" a="1"/>
  <c r="S459" i="1" s="1"/>
  <c r="S357" i="1" a="1"/>
  <c r="S357" i="1" s="1"/>
  <c r="S1001" i="1" a="1"/>
  <c r="S1001" i="1" s="1"/>
  <c r="S181" i="1" a="1"/>
  <c r="S181" i="1" s="1"/>
  <c r="S655" i="1" a="1"/>
  <c r="S655" i="1" s="1"/>
  <c r="S82" i="1" a="1"/>
  <c r="S82" i="1" s="1"/>
  <c r="S745" i="1" a="1"/>
  <c r="S745" i="1" s="1"/>
  <c r="S336" i="1" a="1"/>
  <c r="S336" i="1" s="1"/>
  <c r="S480" i="1" a="1"/>
  <c r="S480" i="1" s="1"/>
  <c r="S431" i="1" a="1"/>
  <c r="S431" i="1" s="1"/>
  <c r="S70" i="1" a="1"/>
  <c r="S70" i="1" s="1"/>
  <c r="S738" i="1" a="1"/>
  <c r="S738" i="1" s="1"/>
  <c r="S609" i="1" a="1"/>
  <c r="S609" i="1" s="1"/>
  <c r="S619" i="1" a="1"/>
  <c r="S619" i="1" s="1"/>
  <c r="S773" i="1" a="1"/>
  <c r="S773" i="1" s="1"/>
  <c r="S121" i="1" a="1"/>
  <c r="S121" i="1" s="1"/>
  <c r="S406" i="1" a="1"/>
  <c r="S406" i="1" s="1"/>
  <c r="S411" i="1" a="1"/>
  <c r="S411" i="1" s="1"/>
  <c r="S733" i="1" a="1"/>
  <c r="S733" i="1" s="1"/>
  <c r="S581" i="1" a="1"/>
  <c r="S581" i="1" s="1"/>
  <c r="S34" i="1" a="1"/>
  <c r="S34" i="1" s="1"/>
  <c r="S238" i="1" a="1"/>
  <c r="S238" i="1" s="1"/>
  <c r="S474" i="1" a="1"/>
  <c r="S474" i="1" s="1"/>
  <c r="S645" i="1" a="1"/>
  <c r="S645" i="1" s="1"/>
  <c r="S358" i="1" a="1"/>
  <c r="S358" i="1" s="1"/>
  <c r="S447" i="1" a="1"/>
  <c r="S447" i="1"/>
  <c r="S432" i="1" a="1"/>
  <c r="S432" i="1" s="1"/>
  <c r="S14" i="1" a="1"/>
  <c r="S14" i="1" s="1"/>
  <c r="S895" i="1" a="1"/>
  <c r="S895" i="1" s="1"/>
  <c r="S568" i="1" a="1"/>
  <c r="S568" i="1"/>
  <c r="S194" i="1" a="1"/>
  <c r="S194" i="1" s="1"/>
  <c r="S260" i="1" a="1"/>
  <c r="S260" i="1" s="1"/>
  <c r="S267" i="1" a="1"/>
  <c r="S267" i="1" s="1"/>
  <c r="S314" i="1" a="1"/>
  <c r="S314" i="1" s="1"/>
  <c r="S793" i="1" a="1"/>
  <c r="S793" i="1" s="1"/>
  <c r="S71" i="1" a="1"/>
  <c r="S71" i="1" s="1"/>
  <c r="S127" i="1" a="1"/>
  <c r="S127" i="1"/>
  <c r="S516" i="1" a="1"/>
  <c r="S516" i="1" s="1"/>
  <c r="S523" i="1" a="1"/>
  <c r="S523" i="1" s="1"/>
  <c r="S327" i="1" a="1"/>
  <c r="S327" i="1" s="1"/>
  <c r="S984" i="1" a="1"/>
  <c r="S984" i="1" s="1"/>
  <c r="S401" i="1" a="1"/>
  <c r="S401" i="1" s="1"/>
  <c r="S76" i="1" a="1"/>
  <c r="S76" i="1" s="1"/>
  <c r="S433" i="1" a="1"/>
  <c r="S433" i="1" s="1"/>
  <c r="S664" i="1" a="1"/>
  <c r="S664" i="1" s="1"/>
  <c r="S827" i="1" a="1"/>
  <c r="S827" i="1" s="1"/>
  <c r="S789" i="1" a="1"/>
  <c r="S789" i="1" s="1"/>
  <c r="S782" i="1" a="1"/>
  <c r="S782" i="1" s="1"/>
  <c r="S584" i="1" a="1"/>
  <c r="S584" i="1" s="1"/>
  <c r="S128" i="1" a="1"/>
  <c r="S128" i="1" s="1"/>
  <c r="S820" i="1" a="1"/>
  <c r="S820" i="1" s="1"/>
  <c r="S752" i="1" a="1"/>
  <c r="S752" i="1" s="1"/>
  <c r="S174" i="1" a="1"/>
  <c r="S174" i="1" s="1"/>
  <c r="S941" i="1" a="1"/>
  <c r="S941" i="1" s="1"/>
  <c r="S340" i="1" a="1"/>
  <c r="S340" i="1" s="1"/>
  <c r="S839" i="1" a="1"/>
  <c r="S839" i="1" s="1"/>
  <c r="S718" i="1" a="1"/>
  <c r="S718" i="1" s="1"/>
  <c r="S995" i="1" a="1"/>
  <c r="S995" i="1" s="1"/>
  <c r="S253" i="1" a="1"/>
  <c r="S253" i="1" s="1"/>
  <c r="S423" i="1" a="1"/>
  <c r="S423" i="1" s="1"/>
  <c r="S739" i="1" a="1"/>
  <c r="S739" i="1" s="1"/>
  <c r="S697" i="1" a="1"/>
  <c r="S697" i="1" s="1"/>
  <c r="S309" i="1" a="1"/>
  <c r="S309" i="1" s="1"/>
  <c r="S374" i="1" a="1"/>
  <c r="S374" i="1" s="1"/>
  <c r="S840" i="1" a="1"/>
  <c r="S840" i="1" s="1"/>
  <c r="S279" i="1" a="1"/>
  <c r="S279" i="1" s="1"/>
  <c r="S877" i="1" a="1"/>
  <c r="S877" i="1" s="1"/>
  <c r="S147" i="1" a="1"/>
  <c r="S147" i="1" s="1"/>
  <c r="S675" i="1" a="1"/>
  <c r="S675" i="1" s="1"/>
  <c r="S391" i="1" a="1"/>
  <c r="S391" i="1" s="1"/>
  <c r="S954" i="1" a="1"/>
  <c r="S954" i="1" s="1"/>
  <c r="S26" i="1" a="1"/>
  <c r="S26" i="1" s="1"/>
  <c r="S881" i="1" a="1"/>
  <c r="S881" i="1" s="1"/>
  <c r="S639" i="1" a="1"/>
  <c r="S639" i="1" s="1"/>
  <c r="S310" i="1" a="1"/>
  <c r="S310" i="1" s="1"/>
  <c r="S573" i="1" a="1"/>
  <c r="S573" i="1" s="1"/>
  <c r="S451" i="1" a="1"/>
  <c r="S451" i="1" s="1"/>
  <c r="S349" i="1" a="1"/>
  <c r="S349" i="1" s="1"/>
  <c r="S989" i="1" a="1"/>
  <c r="S989" i="1" s="1"/>
  <c r="S603" i="1" a="1"/>
  <c r="S603" i="1" s="1"/>
  <c r="S283" i="1" a="1"/>
  <c r="S283" i="1" s="1"/>
  <c r="S678" i="1" a="1"/>
  <c r="S678" i="1" s="1"/>
  <c r="S918" i="1" a="1"/>
  <c r="S918" i="1" s="1"/>
  <c r="S95" i="1" a="1"/>
  <c r="S95" i="1" s="1"/>
  <c r="S640" i="1" a="1"/>
  <c r="S640" i="1" s="1"/>
  <c r="S392" i="1" a="1"/>
  <c r="S392" i="1" s="1"/>
  <c r="S337" i="1" a="1"/>
  <c r="S337" i="1" s="1"/>
  <c r="S720" i="1" a="1"/>
  <c r="S720" i="1" s="1"/>
  <c r="S753" i="1" a="1"/>
  <c r="S753" i="1" s="1"/>
  <c r="S77" i="1" a="1"/>
  <c r="S77" i="1" s="1"/>
  <c r="S362" i="1" a="1"/>
  <c r="S362" i="1" s="1"/>
  <c r="S556" i="1" a="1"/>
  <c r="S556" i="1" s="1"/>
  <c r="S699" i="1" a="1"/>
  <c r="S699" i="1" s="1"/>
  <c r="S169" i="1" a="1"/>
  <c r="S169" i="1" s="1"/>
  <c r="S292" i="1" a="1"/>
  <c r="S292" i="1" s="1"/>
  <c r="S331" i="1" a="1"/>
  <c r="S331" i="1" s="1"/>
  <c r="S452" i="1" a="1"/>
  <c r="S452" i="1" s="1"/>
  <c r="S9" i="1" a="1"/>
  <c r="S9" i="1" s="1"/>
  <c r="S187" i="1" a="1"/>
  <c r="S187" i="1" s="1"/>
  <c r="S969" i="1" a="1"/>
  <c r="S969" i="1" s="1"/>
  <c r="S354" i="1" a="1"/>
  <c r="S354" i="1" s="1"/>
  <c r="S981" i="1" a="1"/>
  <c r="S981" i="1" s="1"/>
  <c r="S707" i="1" a="1"/>
  <c r="S707" i="1" s="1"/>
  <c r="S722" i="1" a="1"/>
  <c r="S722" i="1" s="1"/>
  <c r="S247" i="1" a="1"/>
  <c r="S247" i="1" s="1"/>
  <c r="S760" i="1" a="1"/>
  <c r="S760" i="1" s="1"/>
  <c r="S40" i="1" a="1"/>
  <c r="S40" i="1" s="1"/>
  <c r="S919" i="1" a="1"/>
  <c r="S919" i="1" s="1"/>
  <c r="S332" i="1" a="1"/>
  <c r="S332" i="1" s="1"/>
  <c r="S734" i="1" a="1"/>
  <c r="S734" i="1" s="1"/>
  <c r="S466" i="1" a="1"/>
  <c r="S466" i="1" s="1"/>
  <c r="S672" i="1" a="1"/>
  <c r="S672" i="1" s="1"/>
  <c r="S58" i="1" a="1"/>
  <c r="S58" i="1" s="1"/>
  <c r="S658" i="1" a="1"/>
  <c r="S658" i="1" s="1"/>
  <c r="S964" i="1" a="1"/>
  <c r="S964" i="1" s="1"/>
  <c r="S631" i="1" a="1"/>
  <c r="S631" i="1" s="1"/>
  <c r="S87" i="1" a="1"/>
  <c r="S87" i="1" s="1"/>
  <c r="S537" i="1" a="1"/>
  <c r="S537" i="1" s="1"/>
  <c r="S414" i="1" a="1"/>
  <c r="S414" i="1" s="1"/>
  <c r="S878" i="1" a="1"/>
  <c r="S878" i="1" s="1"/>
  <c r="S213" i="1" a="1"/>
  <c r="S213" i="1" s="1"/>
  <c r="S585" i="1" a="1"/>
  <c r="S585" i="1" s="1"/>
  <c r="S965" i="1" a="1"/>
  <c r="S965" i="1" s="1"/>
  <c r="S198" i="1" a="1"/>
  <c r="S198" i="1" s="1"/>
  <c r="S594" i="1" a="1"/>
  <c r="S594" i="1" s="1"/>
  <c r="S527" i="1" a="1"/>
  <c r="S527" i="1" s="1"/>
  <c r="S610" i="1" a="1"/>
  <c r="S610" i="1" s="1"/>
  <c r="S879" i="1" a="1"/>
  <c r="S879" i="1" s="1"/>
  <c r="S489" i="1" a="1"/>
  <c r="S489" i="1" s="1"/>
  <c r="S673" i="1" a="1"/>
  <c r="S673" i="1" s="1"/>
  <c r="S894" i="1" a="1"/>
  <c r="S894" i="1" s="1"/>
  <c r="S882" i="1" a="1"/>
  <c r="S882" i="1" s="1"/>
  <c r="S109" i="1" a="1"/>
  <c r="S109" i="1" s="1"/>
  <c r="S318" i="1" a="1"/>
  <c r="S318" i="1" s="1"/>
  <c r="S971" i="1" a="1"/>
  <c r="S971" i="1" s="1"/>
  <c r="S804" i="1" a="1"/>
  <c r="S804" i="1" s="1"/>
  <c r="S779" i="1" a="1"/>
  <c r="S779" i="1" s="1"/>
  <c r="S20" i="1" a="1"/>
  <c r="S20" i="1" s="1"/>
  <c r="S646" i="1" a="1"/>
  <c r="S646" i="1" s="1"/>
  <c r="S403" i="1" a="1"/>
  <c r="S403" i="1" s="1"/>
  <c r="S306" i="1" a="1"/>
  <c r="S306" i="1" s="1"/>
  <c r="S855" i="1" a="1"/>
  <c r="S855" i="1" s="1"/>
  <c r="S848" i="1" a="1"/>
  <c r="S848" i="1" s="1"/>
  <c r="S959" i="1" a="1"/>
  <c r="S959" i="1" s="1"/>
  <c r="S297" i="1" a="1"/>
  <c r="S297" i="1" s="1"/>
  <c r="S618" i="1" a="1"/>
  <c r="S618" i="1" s="1"/>
  <c r="S569" i="1" a="1"/>
  <c r="S569" i="1" s="1"/>
  <c r="S730" i="1" a="1"/>
  <c r="S730" i="1" s="1"/>
  <c r="S794" i="1" a="1"/>
  <c r="S794" i="1" s="1"/>
  <c r="S538" i="1" a="1"/>
  <c r="S538" i="1" s="1"/>
  <c r="S359" i="1" a="1"/>
  <c r="S359" i="1" s="1"/>
  <c r="S367" i="1" a="1"/>
  <c r="S367" i="1" s="1"/>
  <c r="S562" i="1" a="1"/>
  <c r="S562" i="1" s="1"/>
  <c r="S205" i="1" a="1"/>
  <c r="S205" i="1" s="1"/>
  <c r="S592" i="1" a="1"/>
  <c r="S592" i="1" s="1"/>
  <c r="S239" i="1" a="1"/>
  <c r="S239" i="1" s="1"/>
  <c r="S758" i="1" a="1"/>
  <c r="S758" i="1" s="1"/>
  <c r="S550" i="1" a="1"/>
  <c r="S550" i="1" s="1"/>
  <c r="S148" i="1" a="1"/>
  <c r="S148" i="1" s="1"/>
  <c r="S790" i="1" a="1"/>
  <c r="S790" i="1" s="1"/>
  <c r="S960" i="1" a="1"/>
  <c r="S960" i="1" s="1"/>
  <c r="S996" i="1" a="1"/>
  <c r="S996" i="1" s="1"/>
  <c r="S629" i="1" a="1"/>
  <c r="S629" i="1" s="1"/>
  <c r="S679" i="1" a="1"/>
  <c r="S679" i="1" s="1"/>
  <c r="S762" i="1" a="1"/>
  <c r="S762" i="1" s="1"/>
  <c r="S723" i="1" a="1"/>
  <c r="S723" i="1" s="1"/>
  <c r="S110" i="1" a="1"/>
  <c r="S110" i="1" s="1"/>
  <c r="S686" i="1" a="1"/>
  <c r="S686" i="1" s="1"/>
  <c r="S21" i="1" a="1"/>
  <c r="S21" i="1" s="1"/>
  <c r="S356" i="1" a="1"/>
  <c r="S356" i="1" s="1"/>
  <c r="S116" i="1" a="1"/>
  <c r="S116" i="1" s="1"/>
  <c r="S683" i="1" a="1"/>
  <c r="S683" i="1" s="1"/>
  <c r="S606" i="1" a="1"/>
  <c r="S606" i="1" s="1"/>
  <c r="S700" i="1" a="1"/>
  <c r="S700" i="1" s="1"/>
  <c r="S841" i="1" a="1"/>
  <c r="S841" i="1" s="1"/>
  <c r="S388" i="1" a="1"/>
  <c r="S388" i="1" s="1"/>
  <c r="S902" i="1" a="1"/>
  <c r="S902" i="1" s="1"/>
  <c r="S490" i="1" a="1"/>
  <c r="S490" i="1" s="1"/>
  <c r="S246" i="1" a="1"/>
  <c r="S246" i="1" s="1"/>
  <c r="S926" i="1" a="1"/>
  <c r="S926" i="1" s="1"/>
  <c r="S511" i="1" a="1"/>
  <c r="S511" i="1"/>
  <c r="S319" i="1" a="1"/>
  <c r="S319" i="1" s="1"/>
  <c r="S625" i="1" a="1"/>
  <c r="S625" i="1" s="1"/>
  <c r="S942" i="1" a="1"/>
  <c r="S942" i="1" s="1"/>
  <c r="S821" i="1" a="1"/>
  <c r="S821" i="1" s="1"/>
  <c r="S410" i="1" a="1"/>
  <c r="S410" i="1" s="1"/>
  <c r="S272" i="1" a="1"/>
  <c r="S272" i="1" s="1"/>
  <c r="S721" i="1" a="1"/>
  <c r="S721" i="1"/>
  <c r="S845" i="1" a="1"/>
  <c r="S845" i="1" s="1"/>
  <c r="S903" i="1" a="1"/>
  <c r="S903" i="1" s="1"/>
  <c r="S460" i="1" a="1"/>
  <c r="S460" i="1" s="1"/>
  <c r="S977" i="1" a="1"/>
  <c r="S977" i="1" s="1"/>
  <c r="S221" i="1" a="1"/>
  <c r="S221" i="1" s="1"/>
  <c r="S990" i="1" a="1"/>
  <c r="S990" i="1" s="1"/>
  <c r="S708" i="1" a="1"/>
  <c r="S708" i="1" s="1"/>
  <c r="S344" i="1" a="1"/>
  <c r="S344" i="1" s="1"/>
  <c r="S461" i="1" a="1"/>
  <c r="S461" i="1" s="1"/>
  <c r="S363" i="1" a="1"/>
  <c r="S363" i="1" s="1"/>
  <c r="S455" i="1" a="1"/>
  <c r="S455" i="1" s="1"/>
  <c r="S574" i="1" a="1"/>
  <c r="S574" i="1" s="1"/>
  <c r="S135" i="1" a="1"/>
  <c r="S135" i="1" s="1"/>
  <c r="S724" i="1" a="1"/>
  <c r="S724" i="1" s="1"/>
  <c r="S375" i="1" a="1"/>
  <c r="S375" i="1" s="1"/>
  <c r="S859" i="1" a="1"/>
  <c r="S859" i="1" s="1"/>
  <c r="S972" i="1" a="1"/>
  <c r="S972" i="1" s="1"/>
  <c r="S656" i="1" a="1"/>
  <c r="S656" i="1" s="1"/>
  <c r="S913" i="1" a="1"/>
  <c r="S913" i="1" s="1"/>
  <c r="S15" i="1" a="1"/>
  <c r="S15" i="1" s="1"/>
  <c r="S465" i="1" a="1"/>
  <c r="S465" i="1" s="1"/>
  <c r="S436" i="1" a="1"/>
  <c r="S436" i="1" s="1"/>
  <c r="S949" i="1" a="1"/>
  <c r="S949" i="1" s="1"/>
  <c r="S809" i="1" a="1"/>
  <c r="S809" i="1" s="1"/>
  <c r="S539" i="1" a="1"/>
  <c r="S539" i="1" s="1"/>
  <c r="T59" i="1" a="1"/>
  <c r="T59" i="1" s="1"/>
  <c r="T298" i="1" a="1"/>
  <c r="T298" i="1" s="1"/>
  <c r="T873" i="1" a="1"/>
  <c r="T873" i="1" s="1"/>
  <c r="T81" i="1" a="1"/>
  <c r="T81" i="1" s="1"/>
  <c r="T494" i="1" a="1"/>
  <c r="T494" i="1" s="1"/>
  <c r="T593" i="1" a="1"/>
  <c r="T593" i="1" s="1"/>
  <c r="T716" i="1" a="1"/>
  <c r="T716" i="1" s="1"/>
  <c r="T232" i="1" a="1"/>
  <c r="T232" i="1" s="1"/>
  <c r="T398" i="1" a="1"/>
  <c r="T398" i="1" s="1"/>
  <c r="T83" i="1" a="1"/>
  <c r="T83" i="1" s="1"/>
  <c r="T496" i="1" a="1"/>
  <c r="T496" i="1" s="1"/>
  <c r="T557" i="1" a="1"/>
  <c r="T557" i="1" s="1"/>
  <c r="T112" i="1" a="1"/>
  <c r="T112" i="1" s="1"/>
  <c r="T935" i="1" a="1"/>
  <c r="T935" i="1" s="1"/>
  <c r="T900" i="1" a="1"/>
  <c r="T900" i="1" s="1"/>
  <c r="T647" i="1" a="1"/>
  <c r="T647" i="1" s="1"/>
  <c r="T56" i="1" a="1"/>
  <c r="T56" i="1" s="1"/>
  <c r="T799" i="1" a="1"/>
  <c r="T799" i="1" s="1"/>
  <c r="T857" i="1" a="1"/>
  <c r="T857" i="1" s="1"/>
  <c r="T175" i="1" a="1"/>
  <c r="T175" i="1" s="1"/>
  <c r="T528" i="1" a="1"/>
  <c r="T528" i="1" s="1"/>
  <c r="T746" i="1" a="1"/>
  <c r="T746" i="1" s="1"/>
  <c r="T874" i="1" a="1"/>
  <c r="T874" i="1" s="1"/>
  <c r="T740" i="1" a="1"/>
  <c r="T740" i="1" s="1"/>
  <c r="T514" i="1" a="1"/>
  <c r="T514" i="1" s="1"/>
  <c r="T998" i="1" a="1"/>
  <c r="T998" i="1" s="1"/>
  <c r="T826" i="1" a="1"/>
  <c r="T826" i="1" s="1"/>
  <c r="T320" i="1" a="1"/>
  <c r="T320" i="1" s="1"/>
  <c r="T607" i="1" a="1"/>
  <c r="T607" i="1" s="1"/>
  <c r="T570" i="1" a="1"/>
  <c r="T570" i="1" s="1"/>
  <c r="T50" i="1" a="1"/>
  <c r="T50" i="1" s="1"/>
  <c r="T368" i="1" a="1"/>
  <c r="T368" i="1" s="1"/>
  <c r="T849" i="1" a="1"/>
  <c r="T849" i="1" s="1"/>
  <c r="T783" i="1" a="1"/>
  <c r="T783" i="1" s="1"/>
  <c r="T210" i="1" a="1"/>
  <c r="T210" i="1" s="1"/>
  <c r="T833" i="1" a="1"/>
  <c r="T833" i="1" s="1"/>
  <c r="T667" i="1" a="1"/>
  <c r="T667" i="1" s="1"/>
  <c r="T484" i="1" a="1"/>
  <c r="T484" i="1" s="1"/>
  <c r="T705" i="1" a="1"/>
  <c r="T705" i="1" s="1"/>
  <c r="T149" i="1" a="1"/>
  <c r="T149" i="1" s="1"/>
  <c r="T29" i="1" a="1"/>
  <c r="T29" i="1" s="1"/>
  <c r="T563" i="1" a="1"/>
  <c r="T563" i="1" s="1"/>
  <c r="T289" i="1" a="1"/>
  <c r="T289" i="1" s="1"/>
  <c r="T800" i="1" a="1"/>
  <c r="T800" i="1" s="1"/>
  <c r="T982" i="1" a="1"/>
  <c r="T982" i="1" s="1"/>
  <c r="T412" i="1" a="1"/>
  <c r="T412" i="1" s="1"/>
  <c r="T222" i="1" a="1"/>
  <c r="T222" i="1" s="1"/>
  <c r="T178" i="1" a="1"/>
  <c r="T178" i="1" s="1"/>
  <c r="T870" i="1" a="1"/>
  <c r="T870" i="1" s="1"/>
  <c r="T233" i="1" a="1"/>
  <c r="T233" i="1" s="1"/>
  <c r="T566" i="1" a="1"/>
  <c r="T566" i="1" s="1"/>
  <c r="T914" i="1" a="1"/>
  <c r="T914" i="1" s="1"/>
  <c r="T500" i="1" a="1"/>
  <c r="T500" i="1" s="1"/>
  <c r="T883" i="1" a="1"/>
  <c r="T883" i="1" s="1"/>
  <c r="T415" i="1" a="1"/>
  <c r="T415" i="1" s="1"/>
  <c r="T851" i="1" a="1"/>
  <c r="T851" i="1" s="1"/>
  <c r="T24" i="1" a="1"/>
  <c r="T24" i="1" s="1"/>
  <c r="T945" i="1" a="1"/>
  <c r="T945" i="1" s="1"/>
  <c r="T27" i="1" a="1"/>
  <c r="T27" i="1" s="1"/>
  <c r="T796" i="1" a="1"/>
  <c r="T796" i="1" s="1"/>
  <c r="T834" i="1" a="1"/>
  <c r="T834" i="1" s="1"/>
  <c r="T611" i="1" a="1"/>
  <c r="T611" i="1" s="1"/>
  <c r="T725" i="1" a="1"/>
  <c r="T725" i="1" s="1"/>
  <c r="T307" i="1" a="1"/>
  <c r="T307" i="1" s="1"/>
  <c r="T290" i="1" a="1"/>
  <c r="T290" i="1" s="1"/>
  <c r="T985" i="1" a="1"/>
  <c r="T985" i="1" s="1"/>
  <c r="T884" i="1" a="1"/>
  <c r="T884" i="1" s="1"/>
  <c r="T376" i="1" a="1"/>
  <c r="T376" i="1" s="1"/>
  <c r="T125" i="1" a="1"/>
  <c r="T125" i="1" s="1"/>
  <c r="T946" i="1" a="1"/>
  <c r="T946" i="1" s="1"/>
  <c r="T155" i="1" a="1"/>
  <c r="T155" i="1" s="1"/>
  <c r="T467" i="1" a="1"/>
  <c r="T467" i="1" s="1"/>
  <c r="T261" i="1" a="1"/>
  <c r="T261" i="1" s="1"/>
  <c r="T889" i="1" a="1"/>
  <c r="T889" i="1" s="1"/>
  <c r="T217" i="1" a="1"/>
  <c r="T217" i="1" s="1"/>
  <c r="T347" i="1" a="1"/>
  <c r="T347" i="1" s="1"/>
  <c r="T165" i="1" a="1"/>
  <c r="T165" i="1" s="1"/>
  <c r="T218" i="1" a="1"/>
  <c r="T218" i="1" s="1"/>
  <c r="T551" i="1" a="1"/>
  <c r="T551" i="1" s="1"/>
  <c r="T560" i="1" a="1"/>
  <c r="T560" i="1" s="1"/>
  <c r="T143" i="1" a="1"/>
  <c r="T143" i="1" s="1"/>
  <c r="T784" i="1" a="1"/>
  <c r="T784" i="1" s="1"/>
  <c r="T240" i="1" a="1"/>
  <c r="T240" i="1" s="1"/>
  <c r="T517" i="1" a="1"/>
  <c r="T517" i="1" s="1"/>
  <c r="T709" i="1" a="1"/>
  <c r="T709" i="1" s="1"/>
  <c r="T453" i="1" a="1"/>
  <c r="T453" i="1" s="1"/>
  <c r="T47" i="1" a="1"/>
  <c r="T47" i="1" s="1"/>
  <c r="T742" i="1" a="1"/>
  <c r="T742" i="1" s="1"/>
  <c r="T25" i="1" a="1"/>
  <c r="T25" i="1" s="1"/>
  <c r="T199" i="1" a="1"/>
  <c r="T199" i="1" s="1"/>
  <c r="T468" i="1" a="1"/>
  <c r="T468" i="1" s="1"/>
  <c r="T170" i="1" a="1"/>
  <c r="T170" i="1" s="1"/>
  <c r="T731" i="1" a="1"/>
  <c r="T731" i="1" s="1"/>
  <c r="T735" i="1" a="1"/>
  <c r="T735" i="1" s="1"/>
  <c r="T51" i="1" a="1"/>
  <c r="T51" i="1" s="1"/>
  <c r="T457" i="1" a="1"/>
  <c r="T457" i="1" s="1"/>
  <c r="T462" i="1" a="1"/>
  <c r="T462" i="1" s="1"/>
  <c r="T501" i="1" a="1"/>
  <c r="T501" i="1" s="1"/>
  <c r="T748" i="1" a="1"/>
  <c r="T748" i="1" s="1"/>
  <c r="T512" i="1" a="1"/>
  <c r="T512" i="1" s="1"/>
  <c r="T701" i="1" a="1"/>
  <c r="T701" i="1" s="1"/>
  <c r="T262" i="1" a="1"/>
  <c r="T262" i="1" s="1"/>
  <c r="T103" i="1" a="1"/>
  <c r="T103" i="1" s="1"/>
  <c r="T485" i="1" a="1"/>
  <c r="T485" i="1" s="1"/>
  <c r="T214" i="1" a="1"/>
  <c r="T214" i="1" s="1"/>
  <c r="T860" i="1" a="1"/>
  <c r="T860" i="1" s="1"/>
  <c r="T30" i="1" a="1"/>
  <c r="T30" i="1" s="1"/>
  <c r="T136" i="1" a="1"/>
  <c r="T136" i="1" s="1"/>
  <c r="T814" i="1" a="1"/>
  <c r="T814" i="1" s="1"/>
  <c r="T275" i="1" a="1"/>
  <c r="T275" i="1" s="1"/>
  <c r="T535" i="1" a="1"/>
  <c r="T535" i="1" s="1"/>
  <c r="T608" i="1" a="1"/>
  <c r="T608" i="1" s="1"/>
  <c r="T541" i="1" a="1"/>
  <c r="T541" i="1" s="1"/>
  <c r="T850" i="1" a="1"/>
  <c r="T850" i="1" s="1"/>
  <c r="T285" i="1" a="1"/>
  <c r="T285" i="1" s="1"/>
  <c r="T263" i="1" a="1"/>
  <c r="T263" i="1" s="1"/>
  <c r="T835" i="1" a="1"/>
  <c r="T835" i="1" s="1"/>
  <c r="T407" i="1" a="1"/>
  <c r="T407" i="1" s="1"/>
  <c r="T315" i="1" a="1"/>
  <c r="T315" i="1" s="1"/>
  <c r="T383" i="1" a="1"/>
  <c r="T383" i="1" s="1"/>
  <c r="T424" i="1" a="1"/>
  <c r="T424" i="1" s="1"/>
  <c r="T437" i="1" a="1"/>
  <c r="T437" i="1" s="1"/>
  <c r="T774" i="1" a="1"/>
  <c r="T774" i="1" s="1"/>
  <c r="T268" i="1" a="1"/>
  <c r="T268" i="1" s="1"/>
  <c r="T947" i="1" a="1"/>
  <c r="T947" i="1" s="1"/>
  <c r="T416" i="1" a="1"/>
  <c r="T416" i="1" s="1"/>
  <c r="T206" i="1" a="1"/>
  <c r="T206" i="1" s="1"/>
  <c r="T104" i="1" a="1"/>
  <c r="T104" i="1" s="1"/>
  <c r="T736" i="1" a="1"/>
  <c r="T736" i="1" s="1"/>
  <c r="T264" i="1" a="1"/>
  <c r="T264" i="1" s="1"/>
  <c r="T419" i="1" a="1"/>
  <c r="T419" i="1" s="1"/>
  <c r="T728" i="1" a="1"/>
  <c r="T728" i="1" s="1"/>
  <c r="T150" i="1" a="1"/>
  <c r="T150" i="1" s="1"/>
  <c r="T269" i="1" a="1"/>
  <c r="T269" i="1" s="1"/>
  <c r="T180" i="1" a="1"/>
  <c r="T180" i="1" s="1"/>
  <c r="T797" i="1" a="1"/>
  <c r="T797" i="1" s="1"/>
  <c r="T665" i="1" a="1"/>
  <c r="T665" i="1" s="1"/>
  <c r="T659" i="1" a="1"/>
  <c r="T659" i="1" s="1"/>
  <c r="T502" i="1" a="1"/>
  <c r="T502" i="1" s="1"/>
  <c r="T448" i="1" a="1"/>
  <c r="T448" i="1" s="1"/>
  <c r="T885" i="1" a="1"/>
  <c r="T885" i="1" s="1"/>
  <c r="T182" i="1" a="1"/>
  <c r="T182" i="1" s="1"/>
  <c r="T434" i="1" a="1"/>
  <c r="T434" i="1" s="1"/>
  <c r="T518" i="1" a="1"/>
  <c r="T518" i="1" s="1"/>
  <c r="T384" i="1" a="1"/>
  <c r="T384" i="1" s="1"/>
  <c r="T955" i="1" a="1"/>
  <c r="T955" i="1" s="1"/>
  <c r="T695" i="1" a="1"/>
  <c r="T695" i="1" s="1"/>
  <c r="T207" i="1" a="1"/>
  <c r="T207" i="1" s="1"/>
  <c r="T807" i="1" a="1"/>
  <c r="T807" i="1" s="1"/>
  <c r="T60" i="1" a="1"/>
  <c r="T60" i="1" s="1"/>
  <c r="T360" i="1" a="1"/>
  <c r="T360" i="1" s="1"/>
  <c r="T215" i="1" a="1"/>
  <c r="T215" i="1" s="1"/>
  <c r="T853" i="1" a="1"/>
  <c r="T853" i="1" s="1"/>
  <c r="T365" i="1" a="1"/>
  <c r="T365" i="1" s="1"/>
  <c r="T438" i="1" a="1"/>
  <c r="T438" i="1" s="1"/>
  <c r="T890" i="1" a="1"/>
  <c r="T890" i="1" s="1"/>
  <c r="T754" i="1" a="1"/>
  <c r="T754" i="1" s="1"/>
  <c r="T190" i="1" a="1"/>
  <c r="T190" i="1" s="1"/>
  <c r="T991" i="1" a="1"/>
  <c r="T991" i="1" s="1"/>
  <c r="T486" i="1" a="1"/>
  <c r="T486" i="1" s="1"/>
  <c r="T66" i="1" a="1"/>
  <c r="T66" i="1" s="1"/>
  <c r="T270" i="1" a="1"/>
  <c r="T270" i="1" s="1"/>
  <c r="T38" i="1" a="1"/>
  <c r="T38" i="1" s="1"/>
  <c r="T72" i="1" a="1"/>
  <c r="T72" i="1" s="1"/>
  <c r="T10" i="1" a="1"/>
  <c r="T10" i="1" s="1"/>
  <c r="T810" i="1" a="1"/>
  <c r="T810" i="1" s="1"/>
  <c r="T997" i="1" a="1"/>
  <c r="T997" i="1" s="1"/>
  <c r="T966" i="1" a="1"/>
  <c r="T966" i="1" s="1"/>
  <c r="T976" i="1" a="1"/>
  <c r="T976" i="1" s="1"/>
  <c r="T341" i="1" a="1"/>
  <c r="T341" i="1" s="1"/>
  <c r="T896" i="1" a="1"/>
  <c r="T896" i="1" s="1"/>
  <c r="T117" i="1" a="1"/>
  <c r="T117" i="1" s="1"/>
  <c r="T153" i="1" a="1"/>
  <c r="T153" i="1" s="1"/>
  <c r="T763" i="1" a="1"/>
  <c r="T763" i="1" s="1"/>
  <c r="T156" i="1" a="1"/>
  <c r="T156" i="1" s="1"/>
  <c r="T171" i="1" a="1"/>
  <c r="T171" i="1" s="1"/>
  <c r="T668" i="1" a="1"/>
  <c r="T668" i="1" s="1"/>
  <c r="T861" i="1" a="1"/>
  <c r="T861" i="1" s="1"/>
  <c r="T475" i="1" a="1"/>
  <c r="T475" i="1" s="1"/>
  <c r="T191" i="1" a="1"/>
  <c r="T191" i="1" s="1"/>
  <c r="T932" i="1" a="1"/>
  <c r="T932" i="1" s="1"/>
  <c r="T589" i="1" a="1"/>
  <c r="T589" i="1" s="1"/>
  <c r="T922" i="1" a="1"/>
  <c r="T922" i="1" s="1"/>
  <c r="T449" i="1" a="1"/>
  <c r="T449" i="1" s="1"/>
  <c r="T901" i="1" a="1"/>
  <c r="T901" i="1" s="1"/>
  <c r="T586" i="1" a="1"/>
  <c r="T586" i="1" s="1"/>
  <c r="T379" i="1" a="1"/>
  <c r="T379" i="1" s="1"/>
  <c r="T380" i="1" a="1"/>
  <c r="T380" i="1" s="1"/>
  <c r="T244" i="1" a="1"/>
  <c r="T244" i="1" s="1"/>
  <c r="T381" i="1" a="1"/>
  <c r="T381" i="1" s="1"/>
  <c r="T105" i="1" a="1"/>
  <c r="T105" i="1" s="1"/>
  <c r="T652" i="1" a="1"/>
  <c r="T652" i="1" s="1"/>
  <c r="T905" i="1" a="1"/>
  <c r="T905" i="1" s="1"/>
  <c r="T487" i="1" a="1"/>
  <c r="T487" i="1" s="1"/>
  <c r="T333" i="1" a="1"/>
  <c r="T333" i="1" s="1"/>
  <c r="T886" i="1" a="1"/>
  <c r="T886" i="1" s="1"/>
  <c r="T575" i="1" a="1"/>
  <c r="T575" i="1" s="1"/>
  <c r="T481" i="1" a="1"/>
  <c r="T481" i="1" s="1"/>
  <c r="T822" i="1" a="1"/>
  <c r="T822" i="1" s="1"/>
  <c r="T515" i="1" a="1"/>
  <c r="T515" i="1" s="1"/>
  <c r="T576" i="1" a="1"/>
  <c r="T576" i="1" s="1"/>
  <c r="T408" i="1" a="1"/>
  <c r="T408" i="1" s="1"/>
  <c r="T696" i="1" a="1"/>
  <c r="T696" i="1" s="1"/>
  <c r="T755" i="1" a="1"/>
  <c r="T755" i="1" s="1"/>
  <c r="T108" i="1" a="1"/>
  <c r="T108" i="1" s="1"/>
  <c r="T828" i="1" a="1"/>
  <c r="T828" i="1" s="1"/>
  <c r="T192" i="1" a="1"/>
  <c r="T192" i="1"/>
  <c r="T254" i="1" a="1"/>
  <c r="T254" i="1" s="1"/>
  <c r="T79" i="1" a="1"/>
  <c r="T79" i="1" s="1"/>
  <c r="T96" i="1" a="1"/>
  <c r="T96" i="1" s="1"/>
  <c r="T131" i="1" a="1"/>
  <c r="T131" i="1" s="1"/>
  <c r="T330" i="1" a="1"/>
  <c r="T330" i="1" s="1"/>
  <c r="T685" i="1" a="1"/>
  <c r="T685" i="1" s="1"/>
  <c r="T676" i="1" a="1"/>
  <c r="T676" i="1" s="1"/>
  <c r="T710" i="1" a="1"/>
  <c r="T710" i="1" s="1"/>
  <c r="T256" i="1" a="1"/>
  <c r="T256" i="1" s="1"/>
  <c r="T395" i="1" a="1"/>
  <c r="T395" i="1" s="1"/>
  <c r="T46" i="1" a="1"/>
  <c r="T46" i="1" s="1"/>
  <c r="T11" i="1" a="1"/>
  <c r="T11" i="1" s="1"/>
  <c r="T852" i="1" a="1"/>
  <c r="T852" i="1" s="1"/>
  <c r="T5" i="1" a="1"/>
  <c r="T5" i="1" s="1"/>
  <c r="T943" i="1" a="1"/>
  <c r="T943" i="1" s="1"/>
  <c r="T67" i="1" a="1"/>
  <c r="T67" i="1" s="1"/>
  <c r="T184" i="1" a="1"/>
  <c r="T184" i="1" s="1"/>
  <c r="T482" i="1" a="1"/>
  <c r="T482" i="1" s="1"/>
  <c r="T756" i="1" a="1"/>
  <c r="T756" i="1" s="1"/>
  <c r="T311" i="1" a="1"/>
  <c r="T311" i="1" s="1"/>
  <c r="T558" i="1" a="1"/>
  <c r="T558" i="1" s="1"/>
  <c r="T439" i="1" a="1"/>
  <c r="T439" i="1" s="1"/>
  <c r="T545" i="1" a="1"/>
  <c r="T545" i="1" s="1"/>
  <c r="T798" i="1" a="1"/>
  <c r="T798" i="1" s="1"/>
  <c r="T293" i="1" a="1"/>
  <c r="T293" i="1" s="1"/>
  <c r="T713" i="1" a="1"/>
  <c r="T713" i="1" s="1"/>
  <c r="T172" i="1" a="1"/>
  <c r="T172" i="1" s="1"/>
  <c r="T787" i="1" a="1"/>
  <c r="T787" i="1" s="1"/>
  <c r="T788" i="1" a="1"/>
  <c r="T788" i="1" s="1"/>
  <c r="T953" i="1" a="1"/>
  <c r="T953" i="1" s="1"/>
  <c r="T846" i="1" a="1"/>
  <c r="T846" i="1" s="1"/>
  <c r="T248" i="1" a="1"/>
  <c r="T248" i="1" s="1"/>
  <c r="T660" i="1" a="1"/>
  <c r="T660" i="1" s="1"/>
  <c r="T377" i="1" a="1"/>
  <c r="T377" i="1" s="1"/>
  <c r="T328" i="1" a="1"/>
  <c r="T328" i="1" s="1"/>
  <c r="T193" i="1" a="1"/>
  <c r="T193" i="1" s="1"/>
  <c r="T648" i="1" a="1"/>
  <c r="T648" i="1" s="1"/>
  <c r="T53" i="1" a="1"/>
  <c r="T53" i="1" s="1"/>
  <c r="T469" i="1" a="1"/>
  <c r="T469" i="1" s="1"/>
  <c r="T505" i="1" a="1"/>
  <c r="T505" i="1" s="1"/>
  <c r="T321" i="1" a="1"/>
  <c r="T321" i="1" s="1"/>
  <c r="T126" i="1" a="1"/>
  <c r="T126" i="1" s="1"/>
  <c r="T714" i="1" a="1"/>
  <c r="T714" i="1" s="1"/>
  <c r="T961" i="1" a="1"/>
  <c r="T961" i="1" s="1"/>
  <c r="T308" i="1" a="1"/>
  <c r="T308" i="1" s="1"/>
  <c r="T906" i="1" a="1"/>
  <c r="T906" i="1" s="1"/>
  <c r="T552" i="1" a="1"/>
  <c r="T552" i="1" s="1"/>
  <c r="T16" i="1" a="1"/>
  <c r="T16" i="1" s="1"/>
  <c r="T229" i="1" a="1"/>
  <c r="T229" i="1" s="1"/>
  <c r="T483" i="1" a="1"/>
  <c r="T483" i="1" s="1"/>
  <c r="T226" i="1" a="1"/>
  <c r="T226" i="1" s="1"/>
  <c r="T137" i="1" a="1"/>
  <c r="T137" i="1" s="1"/>
  <c r="T476" i="1" a="1"/>
  <c r="T476" i="1" s="1"/>
  <c r="T986" i="1" a="1"/>
  <c r="T986" i="1" s="1"/>
  <c r="T404" i="1" a="1"/>
  <c r="T404" i="1" s="1"/>
  <c r="T887" i="1" a="1"/>
  <c r="T887" i="1" s="1"/>
  <c r="T88" i="1" a="1"/>
  <c r="T88" i="1" s="1"/>
  <c r="T491" i="1" a="1"/>
  <c r="T491" i="1" s="1"/>
  <c r="T717" i="1" a="1"/>
  <c r="T717" i="1" s="1"/>
  <c r="T747" i="1" a="1"/>
  <c r="T747" i="1" s="1"/>
  <c r="T302" i="1" a="1"/>
  <c r="T302" i="1" s="1"/>
  <c r="T350" i="1" a="1"/>
  <c r="T350" i="1" s="1"/>
  <c r="T970" i="1" a="1"/>
  <c r="T970" i="1" s="1"/>
  <c r="T97" i="1" a="1"/>
  <c r="T97" i="1" s="1"/>
  <c r="T369" i="1" a="1"/>
  <c r="T369" i="1" s="1"/>
  <c r="T757" i="1" a="1"/>
  <c r="T757" i="1" s="1"/>
  <c r="T613" i="1" a="1"/>
  <c r="T613" i="1" s="1"/>
  <c r="T842" i="1" a="1"/>
  <c r="T842" i="1" s="1"/>
  <c r="T973" i="1" a="1"/>
  <c r="T973" i="1" s="1"/>
  <c r="T615" i="1" a="1"/>
  <c r="T615" i="1" s="1"/>
  <c r="T775" i="1" a="1"/>
  <c r="T775" i="1" s="1"/>
  <c r="T529" i="1" a="1"/>
  <c r="T529" i="1" s="1"/>
  <c r="T138" i="1" a="1"/>
  <c r="T138" i="1" s="1"/>
  <c r="T727" i="1" a="1"/>
  <c r="T727" i="1" s="1"/>
  <c r="T54" i="1" a="1"/>
  <c r="T54" i="1" s="1"/>
  <c r="T802" i="1" a="1"/>
  <c r="T802" i="1" s="1"/>
  <c r="T661" i="1" a="1"/>
  <c r="T661" i="1" s="1"/>
  <c r="T680" i="1" a="1"/>
  <c r="T680" i="1" s="1"/>
  <c r="T144" i="1" a="1"/>
  <c r="T144" i="1" s="1"/>
  <c r="T176" i="1" a="1"/>
  <c r="T176" i="1" s="1"/>
  <c r="T524" i="1" a="1"/>
  <c r="T524" i="1" s="1"/>
  <c r="T211" i="1" a="1"/>
  <c r="T211" i="1" s="1"/>
  <c r="T68" i="1" a="1"/>
  <c r="T68" i="1" s="1"/>
  <c r="T669" i="1" a="1"/>
  <c r="T669" i="1" s="1"/>
  <c r="T399" i="1" a="1"/>
  <c r="T399" i="1" s="1"/>
  <c r="T241" i="1" a="1"/>
  <c r="T241" i="1" s="1"/>
  <c r="T553" i="1" a="1"/>
  <c r="T553" i="1" s="1"/>
  <c r="T764" i="1" a="1"/>
  <c r="T764" i="1" s="1"/>
  <c r="T200" i="1" a="1"/>
  <c r="T200" i="1" s="1"/>
  <c r="T567" i="1" a="1"/>
  <c r="T567" i="1" s="1"/>
  <c r="T167" i="1" a="1"/>
  <c r="T167" i="1" s="1"/>
  <c r="T141" i="1" a="1"/>
  <c r="T141" i="1" s="1"/>
  <c r="T273" i="1" a="1"/>
  <c r="T273" i="1" s="1"/>
  <c r="T154" i="1" a="1"/>
  <c r="T154" i="1" s="1"/>
  <c r="T334" i="1" a="1"/>
  <c r="T334" i="1" s="1"/>
  <c r="T803" i="1" a="1"/>
  <c r="T803" i="1" s="1"/>
  <c r="T151" i="1" a="1"/>
  <c r="T151" i="1" s="1"/>
  <c r="T17" i="1" a="1"/>
  <c r="T17" i="1" s="1"/>
  <c r="T440" i="1" a="1"/>
  <c r="T440" i="1" s="1"/>
  <c r="T956" i="1" a="1"/>
  <c r="T956" i="1" s="1"/>
  <c r="T98" i="1" a="1"/>
  <c r="T98" i="1" s="1"/>
  <c r="T470" i="1" a="1"/>
  <c r="T470" i="1" s="1"/>
  <c r="T929" i="1" a="1"/>
  <c r="T929" i="1" s="1"/>
  <c r="T249" i="1" a="1"/>
  <c r="T249" i="1" s="1"/>
  <c r="T525" i="1" a="1"/>
  <c r="T525" i="1" s="1"/>
  <c r="T761" i="1" a="1"/>
  <c r="T761" i="1" s="1"/>
  <c r="T597" i="1" a="1"/>
  <c r="T597" i="1" s="1"/>
  <c r="T28" i="1" a="1"/>
  <c r="T28" i="1" s="1"/>
  <c r="T632" i="1" a="1"/>
  <c r="T632" i="1" s="1"/>
  <c r="T179" i="1" a="1"/>
  <c r="T179" i="1" s="1"/>
  <c r="T864" i="1" a="1"/>
  <c r="T864" i="1" s="1"/>
  <c r="T84" i="1" a="1"/>
  <c r="T84" i="1" s="1"/>
  <c r="T295" i="1" a="1"/>
  <c r="T295" i="1" s="1"/>
  <c r="T978" i="1" a="1"/>
  <c r="T978" i="1" s="1"/>
  <c r="T510" i="1" a="1"/>
  <c r="T510" i="1" s="1"/>
  <c r="T370" i="1" a="1"/>
  <c r="T370" i="1" s="1"/>
  <c r="T829" i="1" a="1"/>
  <c r="T829" i="1" s="1"/>
  <c r="T389" i="1" a="1"/>
  <c r="T389" i="1" s="1"/>
  <c r="T471" i="1" a="1"/>
  <c r="T471" i="1" s="1"/>
  <c r="T458" i="1" a="1"/>
  <c r="T458" i="1" s="1"/>
  <c r="T769" i="1" a="1"/>
  <c r="T769" i="1" s="1"/>
  <c r="T915" i="1" a="1"/>
  <c r="T915" i="1" s="1"/>
  <c r="T18" i="1" a="1"/>
  <c r="T18" i="1" s="1"/>
  <c r="T791" i="1" a="1"/>
  <c r="T791" i="1" s="1"/>
  <c r="T157" i="1" a="1"/>
  <c r="T157" i="1" s="1"/>
  <c r="T322" i="1" a="1"/>
  <c r="T322" i="1" s="1"/>
  <c r="T507" i="1" a="1"/>
  <c r="T507" i="1" s="1"/>
  <c r="T993" i="1" a="1"/>
  <c r="T993" i="1" s="1"/>
  <c r="T587" i="1" a="1"/>
  <c r="T587" i="1" s="1"/>
  <c r="T73" i="1" a="1"/>
  <c r="T73" i="1" s="1"/>
  <c r="T382" i="1" a="1"/>
  <c r="T382" i="1" s="1"/>
  <c r="T497" i="1" a="1"/>
  <c r="T497" i="1" s="1"/>
  <c r="T366" i="1" a="1"/>
  <c r="T366" i="1" s="1"/>
  <c r="T630" i="1" a="1"/>
  <c r="T630" i="1" s="1"/>
  <c r="T425" i="1" a="1"/>
  <c r="T425" i="1" s="1"/>
  <c r="T55" i="1" a="1"/>
  <c r="T55" i="1" s="1"/>
  <c r="T242" i="1" a="1"/>
  <c r="T242" i="1" s="1"/>
  <c r="T801" i="1" a="1"/>
  <c r="T801" i="1" s="1"/>
  <c r="T409" i="1" a="1"/>
  <c r="T409" i="1" s="1"/>
  <c r="T463" i="1" a="1"/>
  <c r="T463" i="1" s="1"/>
  <c r="T456" i="1" a="1"/>
  <c r="T456" i="1" s="1"/>
  <c r="T386" i="1" a="1"/>
  <c r="T386" i="1" s="1"/>
  <c r="T749" i="1" a="1"/>
  <c r="T749" i="1" s="1"/>
  <c r="T957" i="1" a="1"/>
  <c r="T957" i="1" s="1"/>
  <c r="T325" i="1" a="1"/>
  <c r="T325" i="1" s="1"/>
  <c r="T531" i="1" a="1"/>
  <c r="T531" i="1" s="1"/>
  <c r="T983" i="1" a="1"/>
  <c r="T983" i="1" s="1"/>
  <c r="T312" i="1" a="1"/>
  <c r="T312" i="1" s="1"/>
  <c r="T795" i="1" a="1"/>
  <c r="T795" i="1" s="1"/>
  <c r="T400" i="1" a="1"/>
  <c r="T400" i="1" s="1"/>
  <c r="T342" i="1" a="1"/>
  <c r="T342" i="1" s="1"/>
  <c r="T818" i="1" a="1"/>
  <c r="T818" i="1" s="1"/>
  <c r="T441" i="1" a="1"/>
  <c r="T441" i="1" s="1"/>
  <c r="T823" i="1" a="1"/>
  <c r="T823" i="1" s="1"/>
  <c r="T343" i="1" a="1"/>
  <c r="T343" i="1" s="1"/>
  <c r="T765" i="1" a="1"/>
  <c r="T765" i="1" s="1"/>
  <c r="T85" i="1" a="1"/>
  <c r="T85" i="1" s="1"/>
  <c r="T177" i="1" a="1"/>
  <c r="T177" i="1" s="1"/>
  <c r="T304" i="1" a="1"/>
  <c r="T304" i="1" s="1"/>
  <c r="T353" i="1" a="1"/>
  <c r="T353" i="1" s="1"/>
  <c r="T429" i="1" a="1"/>
  <c r="T429" i="1" s="1"/>
  <c r="T234" i="1" a="1"/>
  <c r="T234" i="1" s="1"/>
  <c r="T417" i="1" a="1"/>
  <c r="T417" i="1" s="1"/>
  <c r="T286" i="1" a="1"/>
  <c r="T286" i="1" s="1"/>
  <c r="T132" i="1" a="1"/>
  <c r="T132" i="1" s="1"/>
  <c r="T907" i="1" a="1"/>
  <c r="T907" i="1" s="1"/>
  <c r="T113" i="1" a="1"/>
  <c r="T113" i="1" s="1"/>
  <c r="T649" i="1" a="1"/>
  <c r="T649" i="1" s="1"/>
  <c r="T930" i="1" a="1"/>
  <c r="T930" i="1" s="1"/>
  <c r="T371" i="1" a="1"/>
  <c r="T371" i="1" s="1"/>
  <c r="T863" i="1" a="1"/>
  <c r="T863" i="1" s="1"/>
  <c r="T420" i="1" a="1"/>
  <c r="T420" i="1" s="1"/>
  <c r="T843" i="1" a="1"/>
  <c r="T843" i="1"/>
  <c r="T118" i="1" a="1"/>
  <c r="T118" i="1" s="1"/>
  <c r="T836" i="1" a="1"/>
  <c r="T836" i="1" s="1"/>
  <c r="T897" i="1" a="1"/>
  <c r="T897" i="1" s="1"/>
  <c r="T280" i="1" a="1"/>
  <c r="T280" i="1" s="1"/>
  <c r="T161" i="1" a="1"/>
  <c r="T161" i="1" s="1"/>
  <c r="T635" i="1" a="1"/>
  <c r="T635" i="1" s="1"/>
  <c r="T219" i="1" a="1"/>
  <c r="T219" i="1" s="1"/>
  <c r="T559" i="1" a="1"/>
  <c r="T559" i="1" s="1"/>
  <c r="T145" i="1" a="1"/>
  <c r="T145" i="1" s="1"/>
  <c r="T237" i="1" a="1"/>
  <c r="T237" i="1" s="1"/>
  <c r="T944" i="1" a="1"/>
  <c r="T944" i="1" s="1"/>
  <c r="T698" i="1" a="1"/>
  <c r="T698" i="1" s="1"/>
  <c r="T815" i="1" a="1"/>
  <c r="T815" i="1" s="1"/>
  <c r="T931" i="1" a="1"/>
  <c r="T931" i="1" s="1"/>
  <c r="T421" i="1" a="1"/>
  <c r="T421" i="1" s="1"/>
  <c r="T139" i="1" a="1"/>
  <c r="T139" i="1" s="1"/>
  <c r="T962" i="1" a="1"/>
  <c r="T962" i="1" s="1"/>
  <c r="T158" i="1" a="1"/>
  <c r="T158" i="1" s="1"/>
  <c r="T871" i="1" a="1"/>
  <c r="T871" i="1" s="1"/>
  <c r="T542" i="1" a="1"/>
  <c r="T542" i="1" s="1"/>
  <c r="T223" i="1" a="1"/>
  <c r="T223" i="1" s="1"/>
  <c r="T950" i="1" a="1"/>
  <c r="T950" i="1" s="1"/>
  <c r="T208" i="1" a="1"/>
  <c r="T208" i="1" s="1"/>
  <c r="T35" i="1" a="1"/>
  <c r="T35" i="1" s="1"/>
  <c r="T689" i="1" a="1"/>
  <c r="T689" i="1" s="1"/>
  <c r="T316" i="1" a="1"/>
  <c r="T316" i="1" s="1"/>
  <c r="T339" i="1" a="1"/>
  <c r="T339" i="1" s="1"/>
  <c r="T506" i="1" a="1"/>
  <c r="T506" i="1" s="1"/>
  <c r="T642" i="1" a="1"/>
  <c r="T642" i="1" s="1"/>
  <c r="T196" i="1" a="1"/>
  <c r="T196" i="1" s="1"/>
  <c r="T854" i="1" a="1"/>
  <c r="T854" i="1" s="1"/>
  <c r="T974" i="1" a="1"/>
  <c r="T974" i="1" s="1"/>
  <c r="T89" i="1" a="1"/>
  <c r="T89" i="1" s="1"/>
  <c r="T250" i="1" a="1"/>
  <c r="T250" i="1" s="1"/>
  <c r="T636" i="1" a="1"/>
  <c r="T636" i="1" s="1"/>
  <c r="T693" i="1" a="1"/>
  <c r="T693" i="1" s="1"/>
  <c r="T536" i="1" a="1"/>
  <c r="T536" i="1" s="1"/>
  <c r="T78" i="1" a="1"/>
  <c r="T78" i="1" s="1"/>
  <c r="T994" i="1" a="1"/>
  <c r="T994" i="1" s="1"/>
  <c r="T865" i="1" a="1"/>
  <c r="T865" i="1" s="1"/>
  <c r="T588" i="1" a="1"/>
  <c r="T588" i="1" s="1"/>
  <c r="T626" i="1" a="1"/>
  <c r="T626" i="1" s="1"/>
  <c r="T508" i="1" a="1"/>
  <c r="T508" i="1" s="1"/>
  <c r="T504" i="1" a="1"/>
  <c r="T504" i="1" s="1"/>
  <c r="T129" i="1" a="1"/>
  <c r="T129" i="1" s="1"/>
  <c r="T74" i="1" a="1"/>
  <c r="T74" i="1" s="1"/>
  <c r="T816" i="1" a="1"/>
  <c r="T816" i="1" s="1"/>
  <c r="T766" i="1" a="1"/>
  <c r="T766" i="1" s="1"/>
  <c r="T921" i="1" a="1"/>
  <c r="T921" i="1" s="1"/>
  <c r="T251" i="1" a="1"/>
  <c r="T251" i="1" s="1"/>
  <c r="T866" i="1" a="1"/>
  <c r="T866" i="1" s="1"/>
  <c r="T776" i="1" a="1"/>
  <c r="T776" i="1" s="1"/>
  <c r="T338" i="1" a="1"/>
  <c r="T338" i="1" s="1"/>
  <c r="T577" i="1" a="1"/>
  <c r="T577" i="1" s="1"/>
  <c r="T326" i="1" a="1"/>
  <c r="T326" i="1" s="1"/>
  <c r="T891" i="1" a="1"/>
  <c r="T891" i="1" s="1"/>
  <c r="T951" i="1" a="1"/>
  <c r="T951" i="1" s="1"/>
  <c r="T130" i="1" a="1"/>
  <c r="T130" i="1" s="1"/>
  <c r="T770" i="1" a="1"/>
  <c r="T770" i="1" s="1"/>
  <c r="T719" i="1" a="1"/>
  <c r="T719" i="1" s="1"/>
  <c r="T590" i="1" a="1"/>
  <c r="T590" i="1" s="1"/>
  <c r="T939" i="1" a="1"/>
  <c r="T939" i="1" s="1"/>
  <c r="T351" i="1" a="1"/>
  <c r="T351" i="1" s="1"/>
  <c r="T532" i="1" a="1"/>
  <c r="T532" i="1" s="1"/>
  <c r="T892" i="1" a="1"/>
  <c r="T892" i="1" s="1"/>
  <c r="T224" i="1" a="1"/>
  <c r="T224" i="1" s="1"/>
  <c r="T999" i="1" a="1"/>
  <c r="T999" i="1" s="1"/>
  <c r="T847" i="1" a="1"/>
  <c r="T847" i="1" s="1"/>
  <c r="T323" i="1" a="1"/>
  <c r="T323" i="1" s="1"/>
  <c r="T916" i="1" a="1"/>
  <c r="T916" i="1" s="1"/>
  <c r="T387" i="1" a="1"/>
  <c r="T387" i="1" s="1"/>
  <c r="T777" i="1" a="1"/>
  <c r="T777" i="1" s="1"/>
  <c r="T345" i="1" a="1"/>
  <c r="T345" i="1" s="1"/>
  <c r="T276" i="1" a="1"/>
  <c r="T276" i="1" s="1"/>
  <c r="T657" i="1" a="1"/>
  <c r="T657" i="1" s="1"/>
  <c r="T230" i="1" a="1"/>
  <c r="T230" i="1" s="1"/>
  <c r="T294" i="1" a="1"/>
  <c r="T294" i="1" s="1"/>
  <c r="T627" i="1" a="1"/>
  <c r="T627" i="1" s="1"/>
  <c r="T166" i="1" a="1"/>
  <c r="T166" i="1" s="1"/>
  <c r="T227" i="1" a="1"/>
  <c r="T227" i="1" s="1"/>
  <c r="T146" i="1" a="1"/>
  <c r="T146" i="1" s="1"/>
  <c r="T917" i="1" a="1"/>
  <c r="T917" i="1" s="1"/>
  <c r="T1000" i="1" a="1"/>
  <c r="T1000" i="1" s="1"/>
  <c r="T426" i="1" a="1"/>
  <c r="T426" i="1" s="1"/>
  <c r="T620" i="1" a="1"/>
  <c r="T620" i="1" s="1"/>
  <c r="T492" i="1" a="1"/>
  <c r="T492" i="1" s="1"/>
  <c r="T195" i="1" a="1"/>
  <c r="T195" i="1" s="1"/>
  <c r="T44" i="1" a="1"/>
  <c r="T44" i="1" s="1"/>
  <c r="T595" i="1" a="1"/>
  <c r="T595" i="1" s="1"/>
  <c r="T477" i="1" a="1"/>
  <c r="T477" i="1" s="1"/>
  <c r="T743" i="1" a="1"/>
  <c r="T743" i="1" s="1"/>
  <c r="T99" i="1" a="1"/>
  <c r="T99" i="1" s="1"/>
  <c r="T681" i="1" a="1"/>
  <c r="T681" i="1" s="1"/>
  <c r="T498" i="1" a="1"/>
  <c r="T498" i="1" s="1"/>
  <c r="T124" i="1" a="1"/>
  <c r="T124" i="1" s="1"/>
  <c r="T578" i="1" a="1"/>
  <c r="T578" i="1" s="1"/>
  <c r="T22" i="1" a="1"/>
  <c r="T22" i="1" s="1"/>
  <c r="T767" i="1" a="1"/>
  <c r="T767" i="1" s="1"/>
  <c r="T231" i="1" a="1"/>
  <c r="T231" i="1" s="1"/>
  <c r="T257" i="1" a="1"/>
  <c r="T257" i="1" s="1"/>
  <c r="T52" i="1" a="1"/>
  <c r="T52" i="1" s="1"/>
  <c r="T771" i="1" a="1"/>
  <c r="T771" i="1" s="1"/>
  <c r="T888" i="1" a="1"/>
  <c r="T888" i="1" s="1"/>
  <c r="T702" i="1" a="1"/>
  <c r="T702" i="1" s="1"/>
  <c r="T183" i="1" a="1"/>
  <c r="T183" i="1" s="1"/>
  <c r="T291" i="1" a="1"/>
  <c r="T291" i="1" s="1"/>
  <c r="T549" i="1" a="1"/>
  <c r="T549" i="1" s="1"/>
  <c r="T479" i="1" a="1"/>
  <c r="T479" i="1" s="1"/>
  <c r="T785" i="1" a="1"/>
  <c r="T785" i="1" s="1"/>
  <c r="T478" i="1" a="1"/>
  <c r="T478" i="1" s="1"/>
  <c r="T653" i="1" a="1"/>
  <c r="T653" i="1" s="1"/>
  <c r="T258" i="1" a="1"/>
  <c r="T258" i="1" s="1"/>
  <c r="T201" i="1" a="1"/>
  <c r="T201" i="1" s="1"/>
  <c r="T643" i="1" a="1"/>
  <c r="T643" i="1" s="1"/>
  <c r="T582" i="1" a="1"/>
  <c r="T582" i="1" s="1"/>
  <c r="T45" i="1" a="1"/>
  <c r="T45" i="1" s="1"/>
  <c r="T23" i="1" a="1"/>
  <c r="T23" i="1" s="1"/>
  <c r="T579" i="1" a="1"/>
  <c r="T579" i="1" s="1"/>
  <c r="T927" i="1" a="1"/>
  <c r="T927" i="1" s="1"/>
  <c r="T140" i="1" a="1"/>
  <c r="T140" i="1" s="1"/>
  <c r="T759" i="1" a="1"/>
  <c r="T759" i="1" s="1"/>
  <c r="T867" i="1" a="1"/>
  <c r="T867" i="1" s="1"/>
  <c r="T711" i="1" a="1"/>
  <c r="T711" i="1" s="1"/>
  <c r="T281" i="1" a="1"/>
  <c r="T281" i="1" s="1"/>
  <c r="T691" i="1" a="1"/>
  <c r="T691" i="1" s="1"/>
  <c r="T390" i="1" a="1"/>
  <c r="T390" i="1" s="1"/>
  <c r="T830" i="1" a="1"/>
  <c r="T830" i="1" s="1"/>
  <c r="T444" i="1" a="1"/>
  <c r="T444" i="1" s="1"/>
  <c r="T772" i="1" a="1"/>
  <c r="T772" i="1" s="1"/>
  <c r="T152" i="1" a="1"/>
  <c r="T152" i="1" s="1"/>
  <c r="T245" i="1" a="1"/>
  <c r="T245" i="1" s="1"/>
  <c r="T614" i="1" a="1"/>
  <c r="T614" i="1" s="1"/>
  <c r="T768" i="1" a="1"/>
  <c r="T768" i="1" s="1"/>
  <c r="T650" i="1" a="1"/>
  <c r="T650" i="1" s="1"/>
  <c r="T564" i="1" a="1"/>
  <c r="T564" i="1" s="1"/>
  <c r="T202" i="1" a="1"/>
  <c r="T202" i="1" s="1"/>
  <c r="T526" i="1" a="1"/>
  <c r="T526" i="1" s="1"/>
  <c r="T277" i="1" a="1"/>
  <c r="T277" i="1" s="1"/>
  <c r="T393" i="1" a="1"/>
  <c r="T393" i="1" s="1"/>
  <c r="T32" i="1" a="1"/>
  <c r="T32" i="1" s="1"/>
  <c r="T780" i="1" a="1"/>
  <c r="T780" i="1" s="1"/>
  <c r="T69" i="1" a="1"/>
  <c r="T69" i="1" s="1"/>
  <c r="T372" i="1" a="1"/>
  <c r="T372" i="1" s="1"/>
  <c r="T908" i="1" a="1"/>
  <c r="T908" i="1" s="1"/>
  <c r="T844" i="1" a="1"/>
  <c r="T844" i="1" s="1"/>
  <c r="T427" i="1" a="1"/>
  <c r="T427" i="1" s="1"/>
  <c r="T519" i="1" a="1"/>
  <c r="T519" i="1" s="1"/>
  <c r="T255" i="1" a="1"/>
  <c r="T255" i="1" s="1"/>
  <c r="T898" i="1" a="1"/>
  <c r="T898" i="1" s="1"/>
  <c r="T284" i="1" a="1"/>
  <c r="T284" i="1" s="1"/>
  <c r="T868" i="1" a="1"/>
  <c r="T868" i="1" s="1"/>
  <c r="T715" i="1" a="1"/>
  <c r="T715" i="1" s="1"/>
  <c r="T808" i="1" a="1"/>
  <c r="T808" i="1" s="1"/>
  <c r="T654" i="1" a="1"/>
  <c r="T654" i="1" s="1"/>
  <c r="T119" i="1" a="1"/>
  <c r="T119" i="1" s="1"/>
  <c r="T61" i="1" a="1"/>
  <c r="T61" i="1" s="1"/>
  <c r="T690" i="1" a="1"/>
  <c r="T690" i="1" s="1"/>
  <c r="T133" i="1" a="1"/>
  <c r="T133" i="1" s="1"/>
  <c r="T472" i="1" a="1"/>
  <c r="T472" i="1" s="1"/>
  <c r="T628" i="1" a="1"/>
  <c r="T628" i="1" s="1"/>
  <c r="T503" i="1" a="1"/>
  <c r="T503" i="1" s="1"/>
  <c r="T36" i="1" a="1"/>
  <c r="T36" i="1" s="1"/>
  <c r="T831" i="1" a="1"/>
  <c r="T831" i="1" s="1"/>
  <c r="T923" i="1" a="1"/>
  <c r="T923" i="1" s="1"/>
  <c r="T598" i="1" a="1"/>
  <c r="T598" i="1" s="1"/>
  <c r="T987" i="1" a="1"/>
  <c r="T987" i="1" s="1"/>
  <c r="T405" i="1" a="1"/>
  <c r="T405" i="1" s="1"/>
  <c r="T530" i="1" a="1"/>
  <c r="T530" i="1" s="1"/>
  <c r="T893" i="1" a="1"/>
  <c r="T893" i="1"/>
  <c r="T520" i="1" a="1"/>
  <c r="T520" i="1" s="1"/>
  <c r="T967" i="1" a="1"/>
  <c r="T967" i="1" s="1"/>
  <c r="T352" i="1" a="1"/>
  <c r="T352" i="1" s="1"/>
  <c r="T543" i="1" a="1"/>
  <c r="T543" i="1" s="1"/>
  <c r="T792" i="1" a="1"/>
  <c r="T792" i="1" s="1"/>
  <c r="T49" i="1" a="1"/>
  <c r="T49" i="1" s="1"/>
  <c r="T909" i="1" a="1"/>
  <c r="T909" i="1" s="1"/>
  <c r="T937" i="1" a="1"/>
  <c r="T937" i="1" s="1"/>
  <c r="T677" i="1" a="1"/>
  <c r="T677" i="1" s="1"/>
  <c r="T599" i="1" a="1"/>
  <c r="T599" i="1" s="1"/>
  <c r="T817" i="1" a="1"/>
  <c r="T817" i="1" s="1"/>
  <c r="T31" i="1" a="1"/>
  <c r="T31" i="1" s="1"/>
  <c r="T2" i="1" a="1"/>
  <c r="T2" i="1" s="1"/>
  <c r="T633" i="1" a="1"/>
  <c r="T633" i="1" s="1"/>
  <c r="T904" i="1" a="1"/>
  <c r="T904" i="1" s="1"/>
  <c r="T670" i="1" a="1"/>
  <c r="T670" i="1"/>
  <c r="T48" i="1" a="1"/>
  <c r="T48" i="1" s="1"/>
  <c r="T42" i="1" a="1"/>
  <c r="T42" i="1" s="1"/>
  <c r="T62" i="1" a="1"/>
  <c r="T62" i="1" s="1"/>
  <c r="T94" i="1" a="1"/>
  <c r="T94" i="1" s="1"/>
  <c r="T271" i="1" a="1"/>
  <c r="T271" i="1" s="1"/>
  <c r="T975" i="1" a="1"/>
  <c r="T975" i="1" s="1"/>
  <c r="T100" i="1" a="1"/>
  <c r="T100" i="1" s="1"/>
  <c r="T811" i="1" a="1"/>
  <c r="T811" i="1" s="1"/>
  <c r="T703" i="1" a="1"/>
  <c r="T703" i="1" s="1"/>
  <c r="T488" i="1" a="1"/>
  <c r="T488" i="1" s="1"/>
  <c r="T303" i="1" a="1"/>
  <c r="T303" i="1" s="1"/>
  <c r="T422" i="1" a="1"/>
  <c r="T422" i="1" s="1"/>
  <c r="T554" i="1" a="1"/>
  <c r="T554" i="1" s="1"/>
  <c r="T687" i="1" a="1"/>
  <c r="T687" i="1" s="1"/>
  <c r="T43" i="1" a="1"/>
  <c r="T43" i="1" s="1"/>
  <c r="T114" i="1" a="1"/>
  <c r="T114" i="1" s="1"/>
  <c r="T555" i="1" a="1"/>
  <c r="T555" i="1" s="1"/>
  <c r="T858" i="1" a="1"/>
  <c r="T858" i="1" s="1"/>
  <c r="T442" i="1" a="1"/>
  <c r="T442" i="1" s="1"/>
  <c r="T580" i="1" a="1"/>
  <c r="T580" i="1" s="1"/>
  <c r="T641" i="1" a="1"/>
  <c r="T641" i="1" s="1"/>
  <c r="T225" i="1" a="1"/>
  <c r="T225" i="1" s="1"/>
  <c r="T75" i="1" a="1"/>
  <c r="T75" i="1" s="1"/>
  <c r="T120" i="1" a="1"/>
  <c r="T120" i="1" s="1"/>
  <c r="T637" i="1" a="1"/>
  <c r="T637" i="1" s="1"/>
  <c r="T185" i="1" a="1"/>
  <c r="T185" i="1" s="1"/>
  <c r="T623" i="1" a="1"/>
  <c r="T623" i="1" s="1"/>
  <c r="T952" i="1" a="1"/>
  <c r="T952" i="1" s="1"/>
  <c r="T571" i="1" a="1"/>
  <c r="T571" i="1" s="1"/>
  <c r="T159" i="1" a="1"/>
  <c r="T159" i="1" s="1"/>
  <c r="T741" i="1" a="1"/>
  <c r="T741" i="1" s="1"/>
  <c r="T910" i="1" a="1"/>
  <c r="T910" i="1" s="1"/>
  <c r="T750" i="1" a="1"/>
  <c r="T750" i="1" s="1"/>
  <c r="T12" i="1" a="1"/>
  <c r="T12" i="1" s="1"/>
  <c r="T209" i="1" a="1"/>
  <c r="T209" i="1" s="1"/>
  <c r="T265" i="1" a="1"/>
  <c r="T265" i="1" s="1"/>
  <c r="T651" i="1" a="1"/>
  <c r="T651" i="1" s="1"/>
  <c r="T259" i="1" a="1"/>
  <c r="T259" i="1" s="1"/>
  <c r="T361" i="1" a="1"/>
  <c r="T361" i="1" s="1"/>
  <c r="T299" i="1" a="1"/>
  <c r="T299" i="1" s="1"/>
  <c r="T805" i="1" a="1"/>
  <c r="T805" i="1" s="1"/>
  <c r="T920" i="1" a="1"/>
  <c r="T920" i="1" s="1"/>
  <c r="T600" i="1" a="1"/>
  <c r="T600" i="1" s="1"/>
  <c r="T565" i="1" a="1"/>
  <c r="T565" i="1" s="1"/>
  <c r="T19" i="1" a="1"/>
  <c r="T19" i="1" s="1"/>
  <c r="T737" i="1" a="1"/>
  <c r="T737" i="1" s="1"/>
  <c r="T435" i="1" a="1"/>
  <c r="T435" i="1" s="1"/>
  <c r="T203" i="1" a="1"/>
  <c r="T203" i="1" s="1"/>
  <c r="T638" i="1" a="1"/>
  <c r="T638" i="1" s="1"/>
  <c r="T924" i="1" a="1"/>
  <c r="T924" i="1" s="1"/>
  <c r="T90" i="1" a="1"/>
  <c r="T90" i="1" s="1"/>
  <c r="T499" i="1" a="1"/>
  <c r="T499" i="1" s="1"/>
  <c r="T287" i="1" a="1"/>
  <c r="T287" i="1" s="1"/>
  <c r="T684" i="1" a="1"/>
  <c r="T684" i="1"/>
  <c r="T875" i="1" a="1"/>
  <c r="T875" i="1" s="1"/>
  <c r="T428" i="1" a="1"/>
  <c r="T428" i="1" s="1"/>
  <c r="T41" i="1" a="1"/>
  <c r="T41" i="1" s="1"/>
  <c r="T662" i="1" a="1"/>
  <c r="T662" i="1" s="1"/>
  <c r="T278" i="1" a="1"/>
  <c r="T278" i="1" s="1"/>
  <c r="T39" i="1" a="1"/>
  <c r="T39" i="1" s="1"/>
  <c r="T979" i="1" a="1"/>
  <c r="T979" i="1" s="1"/>
  <c r="T252" i="1" a="1"/>
  <c r="T252" i="1" s="1"/>
  <c r="T115" i="1" a="1"/>
  <c r="T115" i="1" s="1"/>
  <c r="T300" i="1" a="1"/>
  <c r="T300" i="1" s="1"/>
  <c r="T188" i="1" a="1"/>
  <c r="T188" i="1" s="1"/>
  <c r="T91" i="1" a="1"/>
  <c r="T91" i="1" s="1"/>
  <c r="T282" i="1" a="1"/>
  <c r="T282" i="1" s="1"/>
  <c r="T692" i="1" a="1"/>
  <c r="T692" i="1" s="1"/>
  <c r="T6" i="1" a="1"/>
  <c r="T6" i="1" s="1"/>
  <c r="T216" i="1" a="1"/>
  <c r="T216" i="1" s="1"/>
  <c r="T546" i="1" a="1"/>
  <c r="T546" i="1" s="1"/>
  <c r="T824" i="1" a="1"/>
  <c r="T824" i="1" s="1"/>
  <c r="T305" i="1" a="1"/>
  <c r="T305" i="1" s="1"/>
  <c r="T712" i="1" a="1"/>
  <c r="T712" i="1" s="1"/>
  <c r="T413" i="1" a="1"/>
  <c r="T413" i="1" s="1"/>
  <c r="T228" i="1" a="1"/>
  <c r="T228" i="1" s="1"/>
  <c r="T162" i="1" a="1"/>
  <c r="T162" i="1" s="1"/>
  <c r="T940" i="1" a="1"/>
  <c r="T940" i="1" s="1"/>
  <c r="T583" i="1" a="1"/>
  <c r="T583" i="1" s="1"/>
  <c r="T106" i="1" a="1"/>
  <c r="T106" i="1" s="1"/>
  <c r="T911" i="1" a="1"/>
  <c r="T911" i="1" s="1"/>
  <c r="T938" i="1" a="1"/>
  <c r="T938" i="1" s="1"/>
  <c r="T832" i="1" a="1"/>
  <c r="T832" i="1" s="1"/>
  <c r="T373" i="1" a="1"/>
  <c r="T373" i="1" s="1"/>
  <c r="T876" i="1" a="1"/>
  <c r="T876" i="1" s="1"/>
  <c r="T621" i="1" a="1"/>
  <c r="T621" i="1" s="1"/>
  <c r="T86" i="1" a="1"/>
  <c r="T86" i="1" s="1"/>
  <c r="T980" i="1" a="1"/>
  <c r="T980" i="1" s="1"/>
  <c r="T948" i="1" a="1"/>
  <c r="T948" i="1" s="1"/>
  <c r="T101" i="1" a="1"/>
  <c r="T101" i="1" s="1"/>
  <c r="T732" i="1" a="1"/>
  <c r="T732" i="1" s="1"/>
  <c r="T317" i="1" a="1"/>
  <c r="T317" i="1" s="1"/>
  <c r="T402" i="1" a="1"/>
  <c r="T402" i="1" s="1"/>
  <c r="T163" i="1" a="1"/>
  <c r="T163" i="1" s="1"/>
  <c r="T622" i="1" a="1"/>
  <c r="T622" i="1" s="1"/>
  <c r="T378" i="1" a="1"/>
  <c r="T378" i="1"/>
  <c r="T204" i="1" a="1"/>
  <c r="T204" i="1" s="1"/>
  <c r="T236" i="1" a="1"/>
  <c r="T236" i="1" s="1"/>
  <c r="T329" i="1" a="1"/>
  <c r="T329" i="1" s="1"/>
  <c r="T288" i="1" a="1"/>
  <c r="T288" i="1"/>
  <c r="T729" i="1" a="1"/>
  <c r="T729" i="1" s="1"/>
  <c r="T3" i="1" a="1"/>
  <c r="T3" i="1"/>
  <c r="T547" i="1" a="1"/>
  <c r="T547" i="1" s="1"/>
  <c r="T266" i="1" a="1"/>
  <c r="T266" i="1" s="1"/>
  <c r="T168" i="1" a="1"/>
  <c r="T168" i="1" s="1"/>
  <c r="T591" i="1" a="1"/>
  <c r="T591" i="1" s="1"/>
  <c r="T548" i="1" a="1"/>
  <c r="T548" i="1" s="1"/>
  <c r="T243" i="1" a="1"/>
  <c r="T243" i="1" s="1"/>
  <c r="T540" i="1" a="1"/>
  <c r="T540" i="1" s="1"/>
  <c r="T142" i="1" a="1"/>
  <c r="T142" i="1" s="1"/>
  <c r="T509" i="1" a="1"/>
  <c r="T509" i="1" s="1"/>
  <c r="T63" i="1" a="1"/>
  <c r="T63" i="1" s="1"/>
  <c r="T134" i="1" a="1"/>
  <c r="T134" i="1" s="1"/>
  <c r="T572" i="1" a="1"/>
  <c r="T572" i="1"/>
  <c r="T786" i="1" a="1"/>
  <c r="T786" i="1" s="1"/>
  <c r="T33" i="1" a="1"/>
  <c r="T33" i="1" s="1"/>
  <c r="T13" i="1" a="1"/>
  <c r="T13" i="1" s="1"/>
  <c r="T778" i="1" a="1"/>
  <c r="T778" i="1" s="1"/>
  <c r="T544" i="1" a="1"/>
  <c r="T544" i="1" s="1"/>
  <c r="T4" i="1" a="1"/>
  <c r="T4" i="1" s="1"/>
  <c r="T80" i="1" a="1"/>
  <c r="T80" i="1" s="1"/>
  <c r="T601" i="1" a="1"/>
  <c r="T601" i="1" s="1"/>
  <c r="T111" i="1" a="1"/>
  <c r="T111" i="1" s="1"/>
  <c r="T102" i="1" a="1"/>
  <c r="T102" i="1" s="1"/>
  <c r="T394" i="1" a="1"/>
  <c r="T394" i="1" s="1"/>
  <c r="T616" i="1" a="1"/>
  <c r="T616" i="1" s="1"/>
  <c r="T385" i="1" a="1"/>
  <c r="T385" i="1" s="1"/>
  <c r="T663" i="1" a="1"/>
  <c r="T663" i="1" s="1"/>
  <c r="T92" i="1" a="1"/>
  <c r="T92" i="1" s="1"/>
  <c r="T346" i="1" a="1"/>
  <c r="T346" i="1" s="1"/>
  <c r="T872" i="1" a="1"/>
  <c r="T872" i="1" s="1"/>
  <c r="T313" i="1" a="1"/>
  <c r="T313" i="1" s="1"/>
  <c r="T819" i="1" a="1"/>
  <c r="T819" i="1" s="1"/>
  <c r="T963" i="1" a="1"/>
  <c r="T963" i="1" s="1"/>
  <c r="T533" i="1" a="1"/>
  <c r="T533" i="1" s="1"/>
  <c r="T301" i="1" a="1"/>
  <c r="T301" i="1" s="1"/>
  <c r="T274" i="1" a="1"/>
  <c r="T274" i="1" s="1"/>
  <c r="T445" i="1" a="1"/>
  <c r="T445" i="1" s="1"/>
  <c r="T666" i="1" a="1"/>
  <c r="T666" i="1" s="1"/>
  <c r="T493" i="1" a="1"/>
  <c r="T493" i="1" s="1"/>
  <c r="T454" i="1" a="1"/>
  <c r="T454" i="1" s="1"/>
  <c r="T364" i="1" a="1"/>
  <c r="T364" i="1" s="1"/>
  <c r="T682" i="1" a="1"/>
  <c r="T682" i="1" s="1"/>
  <c r="T988" i="1" a="1"/>
  <c r="T988" i="1" s="1"/>
  <c r="T624" i="1" a="1"/>
  <c r="T624" i="1" s="1"/>
  <c r="T513" i="1" a="1"/>
  <c r="T513" i="1" s="1"/>
  <c r="T160" i="1" a="1"/>
  <c r="T160" i="1" s="1"/>
  <c r="T189" i="1" a="1"/>
  <c r="T189" i="1" s="1"/>
  <c r="T825" i="1" a="1"/>
  <c r="T825" i="1" s="1"/>
  <c r="T936" i="1" a="1"/>
  <c r="T936" i="1" s="1"/>
  <c r="T837" i="1" a="1"/>
  <c r="T837" i="1" s="1"/>
  <c r="T617" i="1" a="1"/>
  <c r="T617" i="1" s="1"/>
  <c r="T464" i="1" a="1"/>
  <c r="T464" i="1" s="1"/>
  <c r="T57" i="1" a="1"/>
  <c r="T57" i="1" s="1"/>
  <c r="T64" i="1" a="1"/>
  <c r="T64" i="1" s="1"/>
  <c r="T7" i="1" a="1"/>
  <c r="T7" i="1" s="1"/>
  <c r="T65" i="1" a="1"/>
  <c r="T65" i="1" s="1"/>
  <c r="T37" i="1" a="1"/>
  <c r="T37" i="1"/>
  <c r="T925" i="1" a="1"/>
  <c r="T925" i="1" s="1"/>
  <c r="T688" i="1" a="1"/>
  <c r="T688" i="1" s="1"/>
  <c r="T324" i="1" a="1"/>
  <c r="T324" i="1" s="1"/>
  <c r="T992" i="1" a="1"/>
  <c r="T992" i="1" s="1"/>
  <c r="T521" i="1" a="1"/>
  <c r="T521" i="1" s="1"/>
  <c r="T812" i="1" a="1"/>
  <c r="T812" i="1" s="1"/>
  <c r="T604" i="1" a="1"/>
  <c r="T604" i="1" s="1"/>
  <c r="T495" i="1" a="1"/>
  <c r="T495" i="1" s="1"/>
  <c r="T806" i="1" a="1"/>
  <c r="T806" i="1" s="1"/>
  <c r="T674" i="1" a="1"/>
  <c r="T674" i="1" s="1"/>
  <c r="T122" i="1" a="1"/>
  <c r="T122" i="1" s="1"/>
  <c r="T869" i="1" a="1"/>
  <c r="T869" i="1" s="1"/>
  <c r="T694" i="1" a="1"/>
  <c r="T694" i="1" s="1"/>
  <c r="T912" i="1" a="1"/>
  <c r="T912" i="1" s="1"/>
  <c r="T612" i="1" a="1"/>
  <c r="T612" i="1" s="1"/>
  <c r="T296" i="1" a="1"/>
  <c r="T296" i="1" s="1"/>
  <c r="T813" i="1" a="1"/>
  <c r="T813" i="1" s="1"/>
  <c r="T726" i="1" a="1"/>
  <c r="T726" i="1" s="1"/>
  <c r="T396" i="1" a="1"/>
  <c r="T396" i="1" s="1"/>
  <c r="T107" i="1" a="1"/>
  <c r="T107" i="1" s="1"/>
  <c r="T596" i="1" a="1"/>
  <c r="T596" i="1" s="1"/>
  <c r="T212" i="1" a="1"/>
  <c r="T212" i="1" s="1"/>
  <c r="T933" i="1" a="1"/>
  <c r="T933" i="1" s="1"/>
  <c r="T602" i="1" a="1"/>
  <c r="T602" i="1" s="1"/>
  <c r="T534" i="1" a="1"/>
  <c r="T534" i="1" s="1"/>
  <c r="T418" i="1" a="1"/>
  <c r="T418" i="1" s="1"/>
  <c r="T235" i="1" a="1"/>
  <c r="T235" i="1" s="1"/>
  <c r="T751" i="1" a="1"/>
  <c r="T751" i="1" s="1"/>
  <c r="T8" i="1" a="1"/>
  <c r="T8" i="1" s="1"/>
  <c r="T704" i="1" a="1"/>
  <c r="T704" i="1" s="1"/>
  <c r="T473" i="1" a="1"/>
  <c r="T473" i="1" s="1"/>
  <c r="T880" i="1" a="1"/>
  <c r="T880" i="1" s="1"/>
  <c r="T781" i="1" a="1"/>
  <c r="T781" i="1" s="1"/>
  <c r="T164" i="1" a="1"/>
  <c r="T164" i="1" s="1"/>
  <c r="T671" i="1" a="1"/>
  <c r="T671" i="1" s="1"/>
  <c r="T93" i="1" a="1"/>
  <c r="T93" i="1" s="1"/>
  <c r="T186" i="1" a="1"/>
  <c r="T186" i="1" s="1"/>
  <c r="T443" i="1" a="1"/>
  <c r="T443" i="1" s="1"/>
  <c r="T348" i="1" a="1"/>
  <c r="T348" i="1" s="1"/>
  <c r="T430" i="1" a="1"/>
  <c r="T430" i="1" s="1"/>
  <c r="T958" i="1" a="1"/>
  <c r="T958" i="1" s="1"/>
  <c r="T968" i="1" a="1"/>
  <c r="T968" i="1" s="1"/>
  <c r="T706" i="1" a="1"/>
  <c r="T706" i="1" s="1"/>
  <c r="T856" i="1" a="1"/>
  <c r="T856" i="1" s="1"/>
  <c r="T173" i="1" a="1"/>
  <c r="T173" i="1" s="1"/>
  <c r="T644" i="1" a="1"/>
  <c r="T644" i="1" s="1"/>
  <c r="T862" i="1" a="1"/>
  <c r="T862" i="1" s="1"/>
  <c r="T744" i="1" a="1"/>
  <c r="T744" i="1" s="1"/>
  <c r="T634" i="1" a="1"/>
  <c r="T634" i="1" s="1"/>
  <c r="T899" i="1" a="1"/>
  <c r="T899" i="1" s="1"/>
  <c r="T123" i="1" a="1"/>
  <c r="T123" i="1" s="1"/>
  <c r="T446" i="1" a="1"/>
  <c r="T446" i="1" s="1"/>
  <c r="T355" i="1" a="1"/>
  <c r="T355" i="1" s="1"/>
  <c r="T928" i="1" a="1"/>
  <c r="T928" i="1" s="1"/>
  <c r="T220" i="1" a="1"/>
  <c r="T220" i="1" s="1"/>
  <c r="T561" i="1" a="1"/>
  <c r="T561" i="1" s="1"/>
  <c r="T934" i="1" a="1"/>
  <c r="T934" i="1" s="1"/>
  <c r="T197" i="1" a="1"/>
  <c r="T197" i="1" s="1"/>
  <c r="T605" i="1" a="1"/>
  <c r="T605" i="1" s="1"/>
  <c r="T397" i="1" a="1"/>
  <c r="T397" i="1" s="1"/>
  <c r="T450" i="1" a="1"/>
  <c r="T450" i="1" s="1"/>
  <c r="T335" i="1" a="1"/>
  <c r="T335" i="1" s="1"/>
  <c r="T838" i="1" a="1"/>
  <c r="T838" i="1" s="1"/>
  <c r="T522" i="1" a="1"/>
  <c r="T522" i="1" s="1"/>
  <c r="T459" i="1" a="1"/>
  <c r="T459" i="1" s="1"/>
  <c r="T357" i="1" a="1"/>
  <c r="T357" i="1" s="1"/>
  <c r="T1001" i="1" a="1"/>
  <c r="T1001" i="1" s="1"/>
  <c r="T181" i="1" a="1"/>
  <c r="T181" i="1" s="1"/>
  <c r="T655" i="1" a="1"/>
  <c r="T655" i="1" s="1"/>
  <c r="T82" i="1" a="1"/>
  <c r="T82" i="1" s="1"/>
  <c r="T745" i="1" a="1"/>
  <c r="T745" i="1" s="1"/>
  <c r="T336" i="1" a="1"/>
  <c r="T336" i="1" s="1"/>
  <c r="T480" i="1" a="1"/>
  <c r="T480" i="1" s="1"/>
  <c r="T431" i="1" a="1"/>
  <c r="T431" i="1" s="1"/>
  <c r="T70" i="1" a="1"/>
  <c r="T70" i="1" s="1"/>
  <c r="T738" i="1" a="1"/>
  <c r="T738" i="1" s="1"/>
  <c r="T609" i="1" a="1"/>
  <c r="T609" i="1" s="1"/>
  <c r="T619" i="1" a="1"/>
  <c r="T619" i="1" s="1"/>
  <c r="T773" i="1" a="1"/>
  <c r="T773" i="1" s="1"/>
  <c r="T121" i="1" a="1"/>
  <c r="T121" i="1" s="1"/>
  <c r="T406" i="1" a="1"/>
  <c r="T406" i="1" s="1"/>
  <c r="T411" i="1" a="1"/>
  <c r="T411" i="1" s="1"/>
  <c r="T733" i="1" a="1"/>
  <c r="T733" i="1" s="1"/>
  <c r="T581" i="1" a="1"/>
  <c r="T581" i="1" s="1"/>
  <c r="T34" i="1" a="1"/>
  <c r="T34" i="1" s="1"/>
  <c r="T238" i="1" a="1"/>
  <c r="T238" i="1" s="1"/>
  <c r="T474" i="1" a="1"/>
  <c r="T474" i="1" s="1"/>
  <c r="T645" i="1" a="1"/>
  <c r="T645" i="1" s="1"/>
  <c r="T358" i="1" a="1"/>
  <c r="T358" i="1" s="1"/>
  <c r="T447" i="1" a="1"/>
  <c r="T447" i="1" s="1"/>
  <c r="T432" i="1" a="1"/>
  <c r="T432" i="1" s="1"/>
  <c r="T14" i="1" a="1"/>
  <c r="T14" i="1" s="1"/>
  <c r="T895" i="1" a="1"/>
  <c r="T895" i="1" s="1"/>
  <c r="T568" i="1" a="1"/>
  <c r="T568" i="1" s="1"/>
  <c r="T194" i="1" a="1"/>
  <c r="T194" i="1" s="1"/>
  <c r="T260" i="1" a="1"/>
  <c r="T260" i="1" s="1"/>
  <c r="T267" i="1" a="1"/>
  <c r="T267" i="1" s="1"/>
  <c r="T314" i="1" a="1"/>
  <c r="T314" i="1" s="1"/>
  <c r="T793" i="1" a="1"/>
  <c r="T793" i="1" s="1"/>
  <c r="T71" i="1" a="1"/>
  <c r="T71" i="1" s="1"/>
  <c r="T127" i="1" a="1"/>
  <c r="T127" i="1" s="1"/>
  <c r="T516" i="1" a="1"/>
  <c r="T516" i="1" s="1"/>
  <c r="T523" i="1" a="1"/>
  <c r="T523" i="1" s="1"/>
  <c r="T327" i="1" a="1"/>
  <c r="T327" i="1" s="1"/>
  <c r="T984" i="1" a="1"/>
  <c r="T984" i="1" s="1"/>
  <c r="T401" i="1" a="1"/>
  <c r="T401" i="1" s="1"/>
  <c r="T76" i="1" a="1"/>
  <c r="T76" i="1" s="1"/>
  <c r="T433" i="1" a="1"/>
  <c r="T433" i="1" s="1"/>
  <c r="T664" i="1" a="1"/>
  <c r="T664" i="1" s="1"/>
  <c r="T827" i="1" a="1"/>
  <c r="T827" i="1" s="1"/>
  <c r="T789" i="1" a="1"/>
  <c r="T789" i="1" s="1"/>
  <c r="T782" i="1" a="1"/>
  <c r="T782" i="1" s="1"/>
  <c r="T584" i="1" a="1"/>
  <c r="T584" i="1" s="1"/>
  <c r="T128" i="1" a="1"/>
  <c r="T128" i="1" s="1"/>
  <c r="T820" i="1" a="1"/>
  <c r="T820" i="1" s="1"/>
  <c r="T752" i="1" a="1"/>
  <c r="T752" i="1" s="1"/>
  <c r="T174" i="1" a="1"/>
  <c r="T174" i="1" s="1"/>
  <c r="T941" i="1" a="1"/>
  <c r="T941" i="1" s="1"/>
  <c r="T340" i="1" a="1"/>
  <c r="T340" i="1" s="1"/>
  <c r="T839" i="1" a="1"/>
  <c r="T839" i="1" s="1"/>
  <c r="T718" i="1" a="1"/>
  <c r="T718" i="1" s="1"/>
  <c r="T995" i="1" a="1"/>
  <c r="T995" i="1" s="1"/>
  <c r="T253" i="1" a="1"/>
  <c r="T253" i="1" s="1"/>
  <c r="T423" i="1" a="1"/>
  <c r="T423" i="1" s="1"/>
  <c r="T739" i="1" a="1"/>
  <c r="T739" i="1" s="1"/>
  <c r="T697" i="1" a="1"/>
  <c r="T697" i="1" s="1"/>
  <c r="T309" i="1" a="1"/>
  <c r="T309" i="1" s="1"/>
  <c r="T374" i="1" a="1"/>
  <c r="T374" i="1" s="1"/>
  <c r="T840" i="1" a="1"/>
  <c r="T840" i="1" s="1"/>
  <c r="T279" i="1" a="1"/>
  <c r="T279" i="1" s="1"/>
  <c r="T877" i="1" a="1"/>
  <c r="T877" i="1" s="1"/>
  <c r="T147" i="1" a="1"/>
  <c r="T147" i="1" s="1"/>
  <c r="T675" i="1" a="1"/>
  <c r="T675" i="1" s="1"/>
  <c r="T391" i="1" a="1"/>
  <c r="T391" i="1" s="1"/>
  <c r="T954" i="1" a="1"/>
  <c r="T954" i="1" s="1"/>
  <c r="T26" i="1" a="1"/>
  <c r="T26" i="1" s="1"/>
  <c r="T881" i="1" a="1"/>
  <c r="T881" i="1" s="1"/>
  <c r="T639" i="1" a="1"/>
  <c r="T639" i="1" s="1"/>
  <c r="T310" i="1" a="1"/>
  <c r="T310" i="1" s="1"/>
  <c r="T573" i="1" a="1"/>
  <c r="T573" i="1" s="1"/>
  <c r="T451" i="1" a="1"/>
  <c r="T451" i="1" s="1"/>
  <c r="T349" i="1" a="1"/>
  <c r="T349" i="1" s="1"/>
  <c r="T989" i="1" a="1"/>
  <c r="T989" i="1" s="1"/>
  <c r="T603" i="1" a="1"/>
  <c r="T603" i="1" s="1"/>
  <c r="T283" i="1" a="1"/>
  <c r="T283" i="1" s="1"/>
  <c r="T678" i="1" a="1"/>
  <c r="T678" i="1" s="1"/>
  <c r="T918" i="1" a="1"/>
  <c r="T918" i="1" s="1"/>
  <c r="T95" i="1" a="1"/>
  <c r="T95" i="1" s="1"/>
  <c r="T640" i="1" a="1"/>
  <c r="T640" i="1" s="1"/>
  <c r="T392" i="1" a="1"/>
  <c r="T392" i="1" s="1"/>
  <c r="T337" i="1" a="1"/>
  <c r="T337" i="1" s="1"/>
  <c r="T720" i="1" a="1"/>
  <c r="T720" i="1" s="1"/>
  <c r="T753" i="1" a="1"/>
  <c r="T753" i="1" s="1"/>
  <c r="T77" i="1" a="1"/>
  <c r="T77" i="1" s="1"/>
  <c r="T362" i="1" a="1"/>
  <c r="T362" i="1" s="1"/>
  <c r="T556" i="1" a="1"/>
  <c r="T556" i="1" s="1"/>
  <c r="T699" i="1" a="1"/>
  <c r="T699" i="1" s="1"/>
  <c r="T169" i="1" a="1"/>
  <c r="T169" i="1" s="1"/>
  <c r="T292" i="1" a="1"/>
  <c r="T292" i="1" s="1"/>
  <c r="T331" i="1" a="1"/>
  <c r="T331" i="1" s="1"/>
  <c r="T452" i="1" a="1"/>
  <c r="T452" i="1" s="1"/>
  <c r="T9" i="1" a="1"/>
  <c r="T9" i="1" s="1"/>
  <c r="T187" i="1" a="1"/>
  <c r="T187" i="1" s="1"/>
  <c r="T969" i="1" a="1"/>
  <c r="T969" i="1" s="1"/>
  <c r="T354" i="1" a="1"/>
  <c r="T354" i="1"/>
  <c r="T981" i="1" a="1"/>
  <c r="T981" i="1" s="1"/>
  <c r="T707" i="1" a="1"/>
  <c r="T707" i="1" s="1"/>
  <c r="T722" i="1" a="1"/>
  <c r="T722" i="1" s="1"/>
  <c r="T247" i="1" a="1"/>
  <c r="T247" i="1" s="1"/>
  <c r="T760" i="1" a="1"/>
  <c r="T760" i="1" s="1"/>
  <c r="T40" i="1" a="1"/>
  <c r="T40" i="1" s="1"/>
  <c r="T919" i="1" a="1"/>
  <c r="T919" i="1" s="1"/>
  <c r="T332" i="1" a="1"/>
  <c r="T332" i="1" s="1"/>
  <c r="T734" i="1" a="1"/>
  <c r="T734" i="1" s="1"/>
  <c r="T466" i="1" a="1"/>
  <c r="T466" i="1" s="1"/>
  <c r="T672" i="1" a="1"/>
  <c r="T672" i="1" s="1"/>
  <c r="T58" i="1" a="1"/>
  <c r="T58" i="1" s="1"/>
  <c r="T658" i="1" a="1"/>
  <c r="T658" i="1" s="1"/>
  <c r="T964" i="1" a="1"/>
  <c r="T964" i="1" s="1"/>
  <c r="T631" i="1" a="1"/>
  <c r="T631" i="1" s="1"/>
  <c r="T87" i="1" a="1"/>
  <c r="T87" i="1" s="1"/>
  <c r="T537" i="1" a="1"/>
  <c r="T537" i="1" s="1"/>
  <c r="T414" i="1" a="1"/>
  <c r="T414" i="1" s="1"/>
  <c r="T878" i="1" a="1"/>
  <c r="T878" i="1" s="1"/>
  <c r="T213" i="1" a="1"/>
  <c r="T213" i="1" s="1"/>
  <c r="T585" i="1" a="1"/>
  <c r="T585" i="1" s="1"/>
  <c r="T965" i="1" a="1"/>
  <c r="T965" i="1" s="1"/>
  <c r="T198" i="1" a="1"/>
  <c r="T198" i="1" s="1"/>
  <c r="T594" i="1" a="1"/>
  <c r="T594" i="1" s="1"/>
  <c r="T527" i="1" a="1"/>
  <c r="T527" i="1" s="1"/>
  <c r="T610" i="1" a="1"/>
  <c r="T610" i="1" s="1"/>
  <c r="T879" i="1" a="1"/>
  <c r="T879" i="1" s="1"/>
  <c r="T489" i="1" a="1"/>
  <c r="T489" i="1" s="1"/>
  <c r="T673" i="1" a="1"/>
  <c r="T673" i="1" s="1"/>
  <c r="T894" i="1" a="1"/>
  <c r="T894" i="1" s="1"/>
  <c r="T882" i="1" a="1"/>
  <c r="T882" i="1" s="1"/>
  <c r="T109" i="1" a="1"/>
  <c r="T109" i="1" s="1"/>
  <c r="T318" i="1" a="1"/>
  <c r="T318" i="1" s="1"/>
  <c r="T971" i="1" a="1"/>
  <c r="T971" i="1" s="1"/>
  <c r="T804" i="1" a="1"/>
  <c r="T804" i="1" s="1"/>
  <c r="T779" i="1" a="1"/>
  <c r="T779" i="1" s="1"/>
  <c r="T20" i="1" a="1"/>
  <c r="T20" i="1" s="1"/>
  <c r="T646" i="1" a="1"/>
  <c r="T646" i="1" s="1"/>
  <c r="T403" i="1" a="1"/>
  <c r="T403" i="1" s="1"/>
  <c r="T306" i="1" a="1"/>
  <c r="T306" i="1" s="1"/>
  <c r="T855" i="1" a="1"/>
  <c r="T855" i="1" s="1"/>
  <c r="T848" i="1" a="1"/>
  <c r="T848" i="1" s="1"/>
  <c r="T959" i="1" a="1"/>
  <c r="T959" i="1" s="1"/>
  <c r="T297" i="1" a="1"/>
  <c r="T297" i="1" s="1"/>
  <c r="T618" i="1" a="1"/>
  <c r="T618" i="1" s="1"/>
  <c r="T569" i="1" a="1"/>
  <c r="T569" i="1" s="1"/>
  <c r="T730" i="1" a="1"/>
  <c r="T730" i="1" s="1"/>
  <c r="T794" i="1" a="1"/>
  <c r="T794" i="1" s="1"/>
  <c r="T538" i="1" a="1"/>
  <c r="T538" i="1" s="1"/>
  <c r="T359" i="1" a="1"/>
  <c r="T359" i="1" s="1"/>
  <c r="T367" i="1" a="1"/>
  <c r="T367" i="1" s="1"/>
  <c r="T562" i="1" a="1"/>
  <c r="T562" i="1" s="1"/>
  <c r="T205" i="1" a="1"/>
  <c r="T205" i="1" s="1"/>
  <c r="T592" i="1" a="1"/>
  <c r="T592" i="1" s="1"/>
  <c r="T239" i="1" a="1"/>
  <c r="T239" i="1" s="1"/>
  <c r="T758" i="1" a="1"/>
  <c r="T758" i="1" s="1"/>
  <c r="T550" i="1" a="1"/>
  <c r="T550" i="1" s="1"/>
  <c r="T148" i="1" a="1"/>
  <c r="T148" i="1" s="1"/>
  <c r="T790" i="1" a="1"/>
  <c r="T790" i="1" s="1"/>
  <c r="T960" i="1" a="1"/>
  <c r="T960" i="1" s="1"/>
  <c r="T996" i="1" a="1"/>
  <c r="T996" i="1" s="1"/>
  <c r="T629" i="1" a="1"/>
  <c r="T629" i="1" s="1"/>
  <c r="T679" i="1" a="1"/>
  <c r="T679" i="1" s="1"/>
  <c r="T762" i="1" a="1"/>
  <c r="T762" i="1" s="1"/>
  <c r="T723" i="1" a="1"/>
  <c r="T723" i="1" s="1"/>
  <c r="T110" i="1" a="1"/>
  <c r="T110" i="1" s="1"/>
  <c r="T686" i="1" a="1"/>
  <c r="T686" i="1" s="1"/>
  <c r="T21" i="1" a="1"/>
  <c r="T21" i="1" s="1"/>
  <c r="T356" i="1" a="1"/>
  <c r="T356" i="1" s="1"/>
  <c r="T116" i="1" a="1"/>
  <c r="T116" i="1" s="1"/>
  <c r="T683" i="1" a="1"/>
  <c r="T683" i="1" s="1"/>
  <c r="T606" i="1" a="1"/>
  <c r="T606" i="1" s="1"/>
  <c r="T700" i="1" a="1"/>
  <c r="T700" i="1" s="1"/>
  <c r="T841" i="1" a="1"/>
  <c r="T841" i="1" s="1"/>
  <c r="T388" i="1" a="1"/>
  <c r="T388" i="1" s="1"/>
  <c r="T902" i="1" a="1"/>
  <c r="T902" i="1" s="1"/>
  <c r="T490" i="1" a="1"/>
  <c r="T490" i="1" s="1"/>
  <c r="T246" i="1" a="1"/>
  <c r="T246" i="1" s="1"/>
  <c r="T926" i="1" a="1"/>
  <c r="T926" i="1" s="1"/>
  <c r="T511" i="1" a="1"/>
  <c r="T511" i="1" s="1"/>
  <c r="T319" i="1" a="1"/>
  <c r="T319" i="1" s="1"/>
  <c r="T625" i="1" a="1"/>
  <c r="T625" i="1" s="1"/>
  <c r="T942" i="1" a="1"/>
  <c r="T942" i="1" s="1"/>
  <c r="T821" i="1" a="1"/>
  <c r="T821" i="1" s="1"/>
  <c r="T410" i="1" a="1"/>
  <c r="T410" i="1" s="1"/>
  <c r="T272" i="1" a="1"/>
  <c r="T272" i="1" s="1"/>
  <c r="T721" i="1" a="1"/>
  <c r="T721" i="1" s="1"/>
  <c r="T845" i="1" a="1"/>
  <c r="T845" i="1" s="1"/>
  <c r="T903" i="1" a="1"/>
  <c r="T903" i="1" s="1"/>
  <c r="T460" i="1" a="1"/>
  <c r="T460" i="1" s="1"/>
  <c r="T977" i="1" a="1"/>
  <c r="T977" i="1" s="1"/>
  <c r="T221" i="1" a="1"/>
  <c r="T221" i="1" s="1"/>
  <c r="T990" i="1" a="1"/>
  <c r="T990" i="1" s="1"/>
  <c r="T708" i="1" a="1"/>
  <c r="T708" i="1" s="1"/>
  <c r="T344" i="1" a="1"/>
  <c r="T344" i="1" s="1"/>
  <c r="T461" i="1" a="1"/>
  <c r="T461" i="1" s="1"/>
  <c r="T363" i="1" a="1"/>
  <c r="T363" i="1" s="1"/>
  <c r="T455" i="1" a="1"/>
  <c r="T455" i="1" s="1"/>
  <c r="T574" i="1" a="1"/>
  <c r="T574" i="1" s="1"/>
  <c r="T135" i="1" a="1"/>
  <c r="T135" i="1" s="1"/>
  <c r="T724" i="1" a="1"/>
  <c r="T724" i="1" s="1"/>
  <c r="T375" i="1" a="1"/>
  <c r="T375" i="1" s="1"/>
  <c r="T859" i="1" a="1"/>
  <c r="T859" i="1" s="1"/>
  <c r="T972" i="1" a="1"/>
  <c r="T972" i="1" s="1"/>
  <c r="T656" i="1" a="1"/>
  <c r="T656" i="1" s="1"/>
  <c r="T913" i="1" a="1"/>
  <c r="T913" i="1" s="1"/>
  <c r="T15" i="1" a="1"/>
  <c r="T15" i="1" s="1"/>
  <c r="T465" i="1" a="1"/>
  <c r="T465" i="1" s="1"/>
  <c r="T436" i="1" a="1"/>
  <c r="T436" i="1" s="1"/>
  <c r="T949" i="1" a="1"/>
  <c r="T949" i="1" s="1"/>
  <c r="T809" i="1" a="1"/>
  <c r="T809" i="1" s="1"/>
  <c r="T539" i="1" a="1"/>
  <c r="T539" i="1" s="1"/>
  <c r="K59" i="1" a="1"/>
  <c r="K59" i="1" s="1"/>
  <c r="M59" i="1" s="1"/>
  <c r="O59" i="1" s="1"/>
  <c r="K298" i="1" a="1"/>
  <c r="K298" i="1" s="1"/>
  <c r="M298" i="1" s="1"/>
  <c r="O298" i="1" s="1"/>
  <c r="K873" i="1" a="1"/>
  <c r="K873" i="1" s="1"/>
  <c r="M873" i="1" s="1"/>
  <c r="O873" i="1" s="1"/>
  <c r="K81" i="1" a="1"/>
  <c r="K81" i="1" s="1"/>
  <c r="M81" i="1" s="1"/>
  <c r="O81" i="1" s="1"/>
  <c r="K494" i="1" a="1"/>
  <c r="K494" i="1" s="1"/>
  <c r="M494" i="1" s="1"/>
  <c r="O494" i="1" s="1"/>
  <c r="K593" i="1" a="1"/>
  <c r="K593" i="1" s="1"/>
  <c r="M593" i="1" s="1"/>
  <c r="O593" i="1" s="1"/>
  <c r="K716" i="1" a="1"/>
  <c r="K716" i="1" s="1"/>
  <c r="M716" i="1" s="1"/>
  <c r="O716" i="1" s="1"/>
  <c r="K232" i="1" a="1"/>
  <c r="K232" i="1" s="1"/>
  <c r="M232" i="1" s="1"/>
  <c r="O232" i="1" s="1"/>
  <c r="Q232" i="1" s="1"/>
  <c r="K398" i="1" a="1"/>
  <c r="K398" i="1" s="1"/>
  <c r="M398" i="1" s="1"/>
  <c r="O398" i="1" s="1"/>
  <c r="K83" i="1" a="1"/>
  <c r="K83" i="1" s="1"/>
  <c r="M83" i="1" s="1"/>
  <c r="O83" i="1" s="1"/>
  <c r="K496" i="1" a="1"/>
  <c r="K496" i="1" s="1"/>
  <c r="M496" i="1" s="1"/>
  <c r="O496" i="1" s="1"/>
  <c r="K557" i="1" a="1"/>
  <c r="K557" i="1" s="1"/>
  <c r="M557" i="1" s="1"/>
  <c r="O557" i="1" s="1"/>
  <c r="K112" i="1" a="1"/>
  <c r="K112" i="1" s="1"/>
  <c r="M112" i="1" s="1"/>
  <c r="O112" i="1" s="1"/>
  <c r="K935" i="1" a="1"/>
  <c r="K935" i="1" s="1"/>
  <c r="M935" i="1" s="1"/>
  <c r="O935" i="1" s="1"/>
  <c r="K900" i="1" a="1"/>
  <c r="K900" i="1" s="1"/>
  <c r="M900" i="1" s="1"/>
  <c r="O900" i="1" s="1"/>
  <c r="Q900" i="1" s="1"/>
  <c r="K647" i="1" a="1"/>
  <c r="K647" i="1" s="1"/>
  <c r="M647" i="1" s="1"/>
  <c r="O647" i="1" s="1"/>
  <c r="K56" i="1" a="1"/>
  <c r="K56" i="1" s="1"/>
  <c r="M56" i="1" s="1"/>
  <c r="O56" i="1" s="1"/>
  <c r="K799" i="1" a="1"/>
  <c r="K799" i="1" s="1"/>
  <c r="M799" i="1" s="1"/>
  <c r="O799" i="1" s="1"/>
  <c r="K857" i="1" a="1"/>
  <c r="K857" i="1" s="1"/>
  <c r="M857" i="1" s="1"/>
  <c r="O857" i="1" s="1"/>
  <c r="K175" i="1" a="1"/>
  <c r="K175" i="1" s="1"/>
  <c r="M175" i="1" s="1"/>
  <c r="O175" i="1" s="1"/>
  <c r="K528" i="1" a="1"/>
  <c r="K528" i="1" s="1"/>
  <c r="M528" i="1" s="1"/>
  <c r="O528" i="1" s="1"/>
  <c r="K746" i="1" a="1"/>
  <c r="K746" i="1" s="1"/>
  <c r="M746" i="1" s="1"/>
  <c r="O746" i="1" s="1"/>
  <c r="Q746" i="1" s="1"/>
  <c r="K874" i="1" a="1"/>
  <c r="K874" i="1" s="1"/>
  <c r="M874" i="1" s="1"/>
  <c r="O874" i="1" s="1"/>
  <c r="K740" i="1" a="1"/>
  <c r="K740" i="1" s="1"/>
  <c r="M740" i="1" s="1"/>
  <c r="O740" i="1" s="1"/>
  <c r="K514" i="1" a="1"/>
  <c r="K514" i="1" s="1"/>
  <c r="M514" i="1" s="1"/>
  <c r="O514" i="1" s="1"/>
  <c r="K998" i="1" a="1"/>
  <c r="K998" i="1" s="1"/>
  <c r="M998" i="1" s="1"/>
  <c r="O998" i="1" s="1"/>
  <c r="K826" i="1" a="1"/>
  <c r="K826" i="1" s="1"/>
  <c r="M826" i="1" s="1"/>
  <c r="O826" i="1" s="1"/>
  <c r="K320" i="1" a="1"/>
  <c r="K320" i="1" s="1"/>
  <c r="M320" i="1" s="1"/>
  <c r="O320" i="1" s="1"/>
  <c r="K607" i="1" a="1"/>
  <c r="K607" i="1" s="1"/>
  <c r="M607" i="1" s="1"/>
  <c r="O607" i="1" s="1"/>
  <c r="Q607" i="1" s="1"/>
  <c r="K570" i="1" a="1"/>
  <c r="K570" i="1" s="1"/>
  <c r="M570" i="1" s="1"/>
  <c r="O570" i="1" s="1"/>
  <c r="Q570" i="1" s="1"/>
  <c r="K50" i="1" a="1"/>
  <c r="K50" i="1" s="1"/>
  <c r="M50" i="1" s="1"/>
  <c r="O50" i="1" s="1"/>
  <c r="K368" i="1" a="1"/>
  <c r="K368" i="1" s="1"/>
  <c r="M368" i="1" s="1"/>
  <c r="O368" i="1" s="1"/>
  <c r="K849" i="1" a="1"/>
  <c r="K849" i="1" s="1"/>
  <c r="M849" i="1" s="1"/>
  <c r="O849" i="1" s="1"/>
  <c r="K783" i="1" a="1"/>
  <c r="K783" i="1" s="1"/>
  <c r="M783" i="1" s="1"/>
  <c r="O783" i="1" s="1"/>
  <c r="K210" i="1" a="1"/>
  <c r="K210" i="1" s="1"/>
  <c r="M210" i="1" s="1"/>
  <c r="O210" i="1" s="1"/>
  <c r="K833" i="1" a="1"/>
  <c r="K833" i="1" s="1"/>
  <c r="M833" i="1" s="1"/>
  <c r="O833" i="1" s="1"/>
  <c r="K667" i="1" a="1"/>
  <c r="K667" i="1" s="1"/>
  <c r="M667" i="1" s="1"/>
  <c r="O667" i="1" s="1"/>
  <c r="K484" i="1" a="1"/>
  <c r="K484" i="1" s="1"/>
  <c r="M484" i="1" s="1"/>
  <c r="O484" i="1" s="1"/>
  <c r="Q484" i="1" s="1"/>
  <c r="K705" i="1" a="1"/>
  <c r="K705" i="1" s="1"/>
  <c r="M705" i="1" s="1"/>
  <c r="O705" i="1" s="1"/>
  <c r="K149" i="1" a="1"/>
  <c r="K149" i="1" s="1"/>
  <c r="M149" i="1" s="1"/>
  <c r="O149" i="1" s="1"/>
  <c r="Q149" i="1" s="1"/>
  <c r="K29" i="1" a="1"/>
  <c r="K29" i="1" s="1"/>
  <c r="M29" i="1" s="1"/>
  <c r="O29" i="1" s="1"/>
  <c r="K563" i="1" a="1"/>
  <c r="K563" i="1" s="1"/>
  <c r="M563" i="1" s="1"/>
  <c r="O563" i="1" s="1"/>
  <c r="K289" i="1" a="1"/>
  <c r="K289" i="1" s="1"/>
  <c r="M289" i="1" s="1"/>
  <c r="O289" i="1" s="1"/>
  <c r="K800" i="1" a="1"/>
  <c r="K800" i="1" s="1"/>
  <c r="M800" i="1" s="1"/>
  <c r="O800" i="1" s="1"/>
  <c r="K982" i="1" a="1"/>
  <c r="K982" i="1" s="1"/>
  <c r="M982" i="1" s="1"/>
  <c r="O982" i="1" s="1"/>
  <c r="K412" i="1" a="1"/>
  <c r="K412" i="1" s="1"/>
  <c r="M412" i="1" s="1"/>
  <c r="O412" i="1" s="1"/>
  <c r="K222" i="1" a="1"/>
  <c r="K222" i="1" s="1"/>
  <c r="M222" i="1" s="1"/>
  <c r="O222" i="1" s="1"/>
  <c r="K178" i="1" a="1"/>
  <c r="K178" i="1" s="1"/>
  <c r="M178" i="1" s="1"/>
  <c r="O178" i="1" s="1"/>
  <c r="K870" i="1" a="1"/>
  <c r="K870" i="1" s="1"/>
  <c r="M870" i="1" s="1"/>
  <c r="O870" i="1" s="1"/>
  <c r="K233" i="1" a="1"/>
  <c r="K233" i="1" s="1"/>
  <c r="M233" i="1" s="1"/>
  <c r="O233" i="1" s="1"/>
  <c r="Y233" i="1" s="1"/>
  <c r="K566" i="1" a="1"/>
  <c r="K566" i="1" s="1"/>
  <c r="M566" i="1" s="1"/>
  <c r="O566" i="1" s="1"/>
  <c r="K914" i="1" a="1"/>
  <c r="K914" i="1" s="1"/>
  <c r="M914" i="1" s="1"/>
  <c r="O914" i="1" s="1"/>
  <c r="K500" i="1" a="1"/>
  <c r="K500" i="1" s="1"/>
  <c r="M500" i="1" s="1"/>
  <c r="O500" i="1" s="1"/>
  <c r="K883" i="1" a="1"/>
  <c r="K883" i="1" s="1"/>
  <c r="M883" i="1" s="1"/>
  <c r="O883" i="1" s="1"/>
  <c r="Q883" i="1" s="1"/>
  <c r="K415" i="1" a="1"/>
  <c r="K415" i="1" s="1"/>
  <c r="M415" i="1" s="1"/>
  <c r="O415" i="1" s="1"/>
  <c r="K851" i="1" a="1"/>
  <c r="K851" i="1" s="1"/>
  <c r="M851" i="1" s="1"/>
  <c r="O851" i="1" s="1"/>
  <c r="K24" i="1" a="1"/>
  <c r="K24" i="1" s="1"/>
  <c r="M24" i="1" s="1"/>
  <c r="O24" i="1" s="1"/>
  <c r="K945" i="1" a="1"/>
  <c r="K945" i="1" s="1"/>
  <c r="M945" i="1" s="1"/>
  <c r="O945" i="1" s="1"/>
  <c r="K27" i="1" a="1"/>
  <c r="K27" i="1" s="1"/>
  <c r="M27" i="1" s="1"/>
  <c r="O27" i="1" s="1"/>
  <c r="K796" i="1" a="1"/>
  <c r="K796" i="1" s="1"/>
  <c r="M796" i="1" s="1"/>
  <c r="O796" i="1" s="1"/>
  <c r="K834" i="1" a="1"/>
  <c r="K834" i="1" s="1"/>
  <c r="M834" i="1" s="1"/>
  <c r="O834" i="1" s="1"/>
  <c r="K611" i="1" a="1"/>
  <c r="K611" i="1" s="1"/>
  <c r="M611" i="1" s="1"/>
  <c r="O611" i="1" s="1"/>
  <c r="K725" i="1" a="1"/>
  <c r="K725" i="1" s="1"/>
  <c r="M725" i="1" s="1"/>
  <c r="O725" i="1" s="1"/>
  <c r="K307" i="1" a="1"/>
  <c r="K307" i="1" s="1"/>
  <c r="M307" i="1" s="1"/>
  <c r="O307" i="1" s="1"/>
  <c r="Q307" i="1" s="1"/>
  <c r="K290" i="1" a="1"/>
  <c r="K290" i="1" s="1"/>
  <c r="M290" i="1" s="1"/>
  <c r="O290" i="1" s="1"/>
  <c r="K985" i="1" a="1"/>
  <c r="K985" i="1" s="1"/>
  <c r="M985" i="1" s="1"/>
  <c r="O985" i="1" s="1"/>
  <c r="K884" i="1" a="1"/>
  <c r="K884" i="1" s="1"/>
  <c r="M884" i="1" s="1"/>
  <c r="O884" i="1" s="1"/>
  <c r="K376" i="1" a="1"/>
  <c r="K376" i="1" s="1"/>
  <c r="M376" i="1" s="1"/>
  <c r="O376" i="1" s="1"/>
  <c r="K125" i="1" a="1"/>
  <c r="K125" i="1" s="1"/>
  <c r="M125" i="1" s="1"/>
  <c r="O125" i="1" s="1"/>
  <c r="Q125" i="1" s="1"/>
  <c r="K946" i="1" a="1"/>
  <c r="K946" i="1" s="1"/>
  <c r="M946" i="1" s="1"/>
  <c r="O946" i="1" s="1"/>
  <c r="K155" i="1" a="1"/>
  <c r="K155" i="1" s="1"/>
  <c r="M155" i="1" s="1"/>
  <c r="O155" i="1" s="1"/>
  <c r="Q155" i="1" s="1"/>
  <c r="K467" i="1" a="1"/>
  <c r="K467" i="1" s="1"/>
  <c r="M467" i="1" s="1"/>
  <c r="O467" i="1" s="1"/>
  <c r="Q467" i="1" s="1"/>
  <c r="K261" i="1" a="1"/>
  <c r="K261" i="1" s="1"/>
  <c r="M261" i="1" s="1"/>
  <c r="O261" i="1" s="1"/>
  <c r="K889" i="1" a="1"/>
  <c r="K889" i="1" s="1"/>
  <c r="M889" i="1" s="1"/>
  <c r="O889" i="1" s="1"/>
  <c r="K217" i="1" a="1"/>
  <c r="K217" i="1" s="1"/>
  <c r="M217" i="1" s="1"/>
  <c r="O217" i="1" s="1"/>
  <c r="Q217" i="1" s="1"/>
  <c r="K347" i="1" a="1"/>
  <c r="K347" i="1" s="1"/>
  <c r="M347" i="1" s="1"/>
  <c r="O347" i="1" s="1"/>
  <c r="K165" i="1" a="1"/>
  <c r="K165" i="1" s="1"/>
  <c r="M165" i="1" s="1"/>
  <c r="O165" i="1" s="1"/>
  <c r="K218" i="1" a="1"/>
  <c r="K218" i="1" s="1"/>
  <c r="M218" i="1" s="1"/>
  <c r="O218" i="1" s="1"/>
  <c r="K551" i="1" a="1"/>
  <c r="K551" i="1" s="1"/>
  <c r="M551" i="1" s="1"/>
  <c r="O551" i="1" s="1"/>
  <c r="K560" i="1" a="1"/>
  <c r="K560" i="1" s="1"/>
  <c r="M560" i="1" s="1"/>
  <c r="O560" i="1" s="1"/>
  <c r="K143" i="1" a="1"/>
  <c r="K143" i="1" s="1"/>
  <c r="M143" i="1" s="1"/>
  <c r="O143" i="1" s="1"/>
  <c r="K784" i="1" a="1"/>
  <c r="K784" i="1" s="1"/>
  <c r="M784" i="1" s="1"/>
  <c r="O784" i="1" s="1"/>
  <c r="K240" i="1" a="1"/>
  <c r="K240" i="1" s="1"/>
  <c r="M240" i="1" s="1"/>
  <c r="O240" i="1" s="1"/>
  <c r="Q240" i="1" s="1"/>
  <c r="K517" i="1" a="1"/>
  <c r="K517" i="1" s="1"/>
  <c r="M517" i="1" s="1"/>
  <c r="O517" i="1" s="1"/>
  <c r="K709" i="1" a="1"/>
  <c r="K709" i="1" s="1"/>
  <c r="M709" i="1" s="1"/>
  <c r="O709" i="1" s="1"/>
  <c r="Q709" i="1" s="1"/>
  <c r="K453" i="1" a="1"/>
  <c r="K453" i="1" s="1"/>
  <c r="M453" i="1" s="1"/>
  <c r="O453" i="1" s="1"/>
  <c r="Q453" i="1" s="1"/>
  <c r="K47" i="1" a="1"/>
  <c r="K47" i="1" s="1"/>
  <c r="M47" i="1" s="1"/>
  <c r="O47" i="1" s="1"/>
  <c r="K742" i="1" a="1"/>
  <c r="K742" i="1" s="1"/>
  <c r="M742" i="1" s="1"/>
  <c r="O742" i="1" s="1"/>
  <c r="K25" i="1" a="1"/>
  <c r="K25" i="1" s="1"/>
  <c r="M25" i="1" s="1"/>
  <c r="O25" i="1" s="1"/>
  <c r="K199" i="1" a="1"/>
  <c r="K199" i="1" s="1"/>
  <c r="M199" i="1" s="1"/>
  <c r="O199" i="1" s="1"/>
  <c r="K468" i="1" a="1"/>
  <c r="K468" i="1" s="1"/>
  <c r="M468" i="1" s="1"/>
  <c r="O468" i="1" s="1"/>
  <c r="K170" i="1" a="1"/>
  <c r="K170" i="1" s="1"/>
  <c r="M170" i="1" s="1"/>
  <c r="O170" i="1" s="1"/>
  <c r="K731" i="1" a="1"/>
  <c r="K731" i="1" s="1"/>
  <c r="M731" i="1" s="1"/>
  <c r="O731" i="1" s="1"/>
  <c r="K735" i="1" a="1"/>
  <c r="K735" i="1" s="1"/>
  <c r="M735" i="1" s="1"/>
  <c r="O735" i="1" s="1"/>
  <c r="K51" i="1" a="1"/>
  <c r="K51" i="1" s="1"/>
  <c r="M51" i="1" s="1"/>
  <c r="O51" i="1" s="1"/>
  <c r="K457" i="1" a="1"/>
  <c r="K457" i="1" s="1"/>
  <c r="M457" i="1" s="1"/>
  <c r="O457" i="1" s="1"/>
  <c r="K462" i="1" a="1"/>
  <c r="K462" i="1" s="1"/>
  <c r="M462" i="1" s="1"/>
  <c r="O462" i="1" s="1"/>
  <c r="K501" i="1" a="1"/>
  <c r="K501" i="1" s="1"/>
  <c r="M501" i="1" s="1"/>
  <c r="O501" i="1" s="1"/>
  <c r="K748" i="1" a="1"/>
  <c r="K748" i="1" s="1"/>
  <c r="M748" i="1" s="1"/>
  <c r="O748" i="1" s="1"/>
  <c r="K512" i="1" a="1"/>
  <c r="K512" i="1" s="1"/>
  <c r="M512" i="1" s="1"/>
  <c r="O512" i="1" s="1"/>
  <c r="K701" i="1" a="1"/>
  <c r="K701" i="1" s="1"/>
  <c r="M701" i="1" s="1"/>
  <c r="O701" i="1" s="1"/>
  <c r="K262" i="1" a="1"/>
  <c r="K262" i="1" s="1"/>
  <c r="M262" i="1" s="1"/>
  <c r="O262" i="1" s="1"/>
  <c r="K103" i="1" a="1"/>
  <c r="K103" i="1" s="1"/>
  <c r="M103" i="1" s="1"/>
  <c r="O103" i="1" s="1"/>
  <c r="K485" i="1" a="1"/>
  <c r="K485" i="1" s="1"/>
  <c r="M485" i="1" s="1"/>
  <c r="O485" i="1" s="1"/>
  <c r="K214" i="1" a="1"/>
  <c r="K214" i="1" s="1"/>
  <c r="M214" i="1" s="1"/>
  <c r="O214" i="1" s="1"/>
  <c r="K860" i="1" a="1"/>
  <c r="K860" i="1" s="1"/>
  <c r="M860" i="1" s="1"/>
  <c r="O860" i="1" s="1"/>
  <c r="K30" i="1" a="1"/>
  <c r="K30" i="1" s="1"/>
  <c r="M30" i="1" s="1"/>
  <c r="O30" i="1" s="1"/>
  <c r="K136" i="1" a="1"/>
  <c r="K136" i="1" s="1"/>
  <c r="M136" i="1" s="1"/>
  <c r="O136" i="1" s="1"/>
  <c r="Q136" i="1" s="1"/>
  <c r="K814" i="1" a="1"/>
  <c r="K814" i="1" s="1"/>
  <c r="M814" i="1" s="1"/>
  <c r="O814" i="1" s="1"/>
  <c r="K275" i="1" a="1"/>
  <c r="K275" i="1" s="1"/>
  <c r="M275" i="1" s="1"/>
  <c r="O275" i="1" s="1"/>
  <c r="K535" i="1" a="1"/>
  <c r="K535" i="1" s="1"/>
  <c r="M535" i="1" s="1"/>
  <c r="O535" i="1" s="1"/>
  <c r="Q535" i="1" s="1"/>
  <c r="K608" i="1" a="1"/>
  <c r="K608" i="1" s="1"/>
  <c r="M608" i="1" s="1"/>
  <c r="O608" i="1" s="1"/>
  <c r="K541" i="1" a="1"/>
  <c r="K541" i="1" s="1"/>
  <c r="M541" i="1" s="1"/>
  <c r="O541" i="1" s="1"/>
  <c r="K850" i="1" a="1"/>
  <c r="K850" i="1" s="1"/>
  <c r="M850" i="1" s="1"/>
  <c r="O850" i="1" s="1"/>
  <c r="K285" i="1" a="1"/>
  <c r="K285" i="1" s="1"/>
  <c r="M285" i="1" s="1"/>
  <c r="O285" i="1" s="1"/>
  <c r="K263" i="1" a="1"/>
  <c r="K263" i="1" s="1"/>
  <c r="M263" i="1" s="1"/>
  <c r="O263" i="1" s="1"/>
  <c r="Q263" i="1" s="1"/>
  <c r="R263" i="1" s="1"/>
  <c r="K835" i="1" a="1"/>
  <c r="K835" i="1" s="1"/>
  <c r="M835" i="1" s="1"/>
  <c r="O835" i="1" s="1"/>
  <c r="K407" i="1" a="1"/>
  <c r="K407" i="1" s="1"/>
  <c r="M407" i="1" s="1"/>
  <c r="O407" i="1" s="1"/>
  <c r="K315" i="1" a="1"/>
  <c r="K315" i="1" s="1"/>
  <c r="M315" i="1" s="1"/>
  <c r="O315" i="1" s="1"/>
  <c r="K383" i="1" a="1"/>
  <c r="K383" i="1" s="1"/>
  <c r="M383" i="1" s="1"/>
  <c r="O383" i="1" s="1"/>
  <c r="K424" i="1" a="1"/>
  <c r="K424" i="1" s="1"/>
  <c r="M424" i="1" s="1"/>
  <c r="O424" i="1" s="1"/>
  <c r="K437" i="1" a="1"/>
  <c r="K437" i="1" s="1"/>
  <c r="M437" i="1" s="1"/>
  <c r="O437" i="1" s="1"/>
  <c r="K774" i="1" a="1"/>
  <c r="K774" i="1" s="1"/>
  <c r="M774" i="1" s="1"/>
  <c r="O774" i="1" s="1"/>
  <c r="K268" i="1" a="1"/>
  <c r="K268" i="1" s="1"/>
  <c r="M268" i="1" s="1"/>
  <c r="O268" i="1" s="1"/>
  <c r="Q268" i="1" s="1"/>
  <c r="K947" i="1" a="1"/>
  <c r="K947" i="1" s="1"/>
  <c r="M947" i="1" s="1"/>
  <c r="O947" i="1" s="1"/>
  <c r="Q947" i="1" s="1"/>
  <c r="K416" i="1" a="1"/>
  <c r="K416" i="1" s="1"/>
  <c r="M416" i="1" s="1"/>
  <c r="O416" i="1" s="1"/>
  <c r="Q416" i="1" s="1"/>
  <c r="K206" i="1" a="1"/>
  <c r="K206" i="1" s="1"/>
  <c r="M206" i="1" s="1"/>
  <c r="O206" i="1" s="1"/>
  <c r="K104" i="1" a="1"/>
  <c r="K104" i="1" s="1"/>
  <c r="M104" i="1" s="1"/>
  <c r="O104" i="1" s="1"/>
  <c r="K736" i="1" a="1"/>
  <c r="K736" i="1" s="1"/>
  <c r="M736" i="1" s="1"/>
  <c r="O736" i="1" s="1"/>
  <c r="Y736" i="1" s="1"/>
  <c r="AA736" i="1" s="1"/>
  <c r="K264" i="1" a="1"/>
  <c r="K264" i="1" s="1"/>
  <c r="M264" i="1" s="1"/>
  <c r="O264" i="1" s="1"/>
  <c r="K419" i="1" a="1"/>
  <c r="K419" i="1" s="1"/>
  <c r="M419" i="1" s="1"/>
  <c r="O419" i="1" s="1"/>
  <c r="K728" i="1" a="1"/>
  <c r="K728" i="1" s="1"/>
  <c r="M728" i="1" s="1"/>
  <c r="O728" i="1" s="1"/>
  <c r="K150" i="1" a="1"/>
  <c r="K150" i="1" s="1"/>
  <c r="M150" i="1" s="1"/>
  <c r="O150" i="1" s="1"/>
  <c r="K269" i="1" a="1"/>
  <c r="K269" i="1" s="1"/>
  <c r="M269" i="1" s="1"/>
  <c r="O269" i="1" s="1"/>
  <c r="K180" i="1" a="1"/>
  <c r="K180" i="1" s="1"/>
  <c r="M180" i="1" s="1"/>
  <c r="O180" i="1" s="1"/>
  <c r="K797" i="1" a="1"/>
  <c r="K797" i="1" s="1"/>
  <c r="M797" i="1" s="1"/>
  <c r="O797" i="1" s="1"/>
  <c r="Q797" i="1" s="1"/>
  <c r="K665" i="1" a="1"/>
  <c r="K665" i="1" s="1"/>
  <c r="M665" i="1" s="1"/>
  <c r="O665" i="1" s="1"/>
  <c r="K659" i="1" a="1"/>
  <c r="K659" i="1" s="1"/>
  <c r="M659" i="1" s="1"/>
  <c r="O659" i="1" s="1"/>
  <c r="K502" i="1" a="1"/>
  <c r="K502" i="1" s="1"/>
  <c r="M502" i="1" s="1"/>
  <c r="O502" i="1" s="1"/>
  <c r="K448" i="1" a="1"/>
  <c r="K448" i="1" s="1"/>
  <c r="M448" i="1" s="1"/>
  <c r="O448" i="1" s="1"/>
  <c r="Q448" i="1" s="1"/>
  <c r="R448" i="1" s="1"/>
  <c r="K885" i="1" a="1"/>
  <c r="K885" i="1" s="1"/>
  <c r="M885" i="1" s="1"/>
  <c r="O885" i="1" s="1"/>
  <c r="K182" i="1" a="1"/>
  <c r="K182" i="1" s="1"/>
  <c r="M182" i="1" s="1"/>
  <c r="O182" i="1" s="1"/>
  <c r="K434" i="1" a="1"/>
  <c r="K434" i="1" s="1"/>
  <c r="M434" i="1" s="1"/>
  <c r="O434" i="1" s="1"/>
  <c r="Q434" i="1" s="1"/>
  <c r="K518" i="1" a="1"/>
  <c r="K518" i="1" s="1"/>
  <c r="M518" i="1" s="1"/>
  <c r="O518" i="1" s="1"/>
  <c r="K384" i="1" a="1"/>
  <c r="K384" i="1" s="1"/>
  <c r="M384" i="1" s="1"/>
  <c r="O384" i="1" s="1"/>
  <c r="K955" i="1" a="1"/>
  <c r="K955" i="1" s="1"/>
  <c r="M955" i="1" s="1"/>
  <c r="O955" i="1" s="1"/>
  <c r="K695" i="1" a="1"/>
  <c r="K695" i="1" s="1"/>
  <c r="M695" i="1" s="1"/>
  <c r="O695" i="1" s="1"/>
  <c r="K207" i="1" a="1"/>
  <c r="K207" i="1" s="1"/>
  <c r="M207" i="1" s="1"/>
  <c r="O207" i="1" s="1"/>
  <c r="K807" i="1" a="1"/>
  <c r="K807" i="1" s="1"/>
  <c r="M807" i="1" s="1"/>
  <c r="O807" i="1" s="1"/>
  <c r="K60" i="1" a="1"/>
  <c r="K60" i="1" s="1"/>
  <c r="M60" i="1" s="1"/>
  <c r="O60" i="1" s="1"/>
  <c r="K360" i="1" a="1"/>
  <c r="K360" i="1" s="1"/>
  <c r="M360" i="1" s="1"/>
  <c r="O360" i="1" s="1"/>
  <c r="K215" i="1" a="1"/>
  <c r="K215" i="1" s="1"/>
  <c r="M215" i="1" s="1"/>
  <c r="O215" i="1" s="1"/>
  <c r="K853" i="1" a="1"/>
  <c r="K853" i="1" s="1"/>
  <c r="M853" i="1" s="1"/>
  <c r="O853" i="1" s="1"/>
  <c r="K365" i="1" a="1"/>
  <c r="K365" i="1" s="1"/>
  <c r="M365" i="1" s="1"/>
  <c r="O365" i="1" s="1"/>
  <c r="K438" i="1" a="1"/>
  <c r="K438" i="1" s="1"/>
  <c r="M438" i="1" s="1"/>
  <c r="O438" i="1" s="1"/>
  <c r="K890" i="1" a="1"/>
  <c r="K890" i="1" s="1"/>
  <c r="M890" i="1" s="1"/>
  <c r="O890" i="1" s="1"/>
  <c r="Q890" i="1" s="1"/>
  <c r="K754" i="1" a="1"/>
  <c r="K754" i="1" s="1"/>
  <c r="M754" i="1" s="1"/>
  <c r="O754" i="1" s="1"/>
  <c r="K190" i="1" a="1"/>
  <c r="K190" i="1" s="1"/>
  <c r="M190" i="1" s="1"/>
  <c r="O190" i="1" s="1"/>
  <c r="K991" i="1" a="1"/>
  <c r="K991" i="1" s="1"/>
  <c r="M991" i="1" s="1"/>
  <c r="O991" i="1" s="1"/>
  <c r="K486" i="1" a="1"/>
  <c r="K486" i="1" s="1"/>
  <c r="M486" i="1" s="1"/>
  <c r="O486" i="1" s="1"/>
  <c r="K66" i="1" a="1"/>
  <c r="K66" i="1" s="1"/>
  <c r="M66" i="1" s="1"/>
  <c r="O66" i="1" s="1"/>
  <c r="K270" i="1" a="1"/>
  <c r="K270" i="1" s="1"/>
  <c r="M270" i="1" s="1"/>
  <c r="O270" i="1" s="1"/>
  <c r="K38" i="1" a="1"/>
  <c r="K38" i="1" s="1"/>
  <c r="M38" i="1" s="1"/>
  <c r="O38" i="1" s="1"/>
  <c r="K72" i="1" a="1"/>
  <c r="K72" i="1" s="1"/>
  <c r="M72" i="1" s="1"/>
  <c r="O72" i="1" s="1"/>
  <c r="K10" i="1" a="1"/>
  <c r="K10" i="1" s="1"/>
  <c r="M10" i="1" s="1"/>
  <c r="O10" i="1" s="1"/>
  <c r="K810" i="1" a="1"/>
  <c r="K810" i="1" s="1"/>
  <c r="M810" i="1" s="1"/>
  <c r="O810" i="1" s="1"/>
  <c r="Q810" i="1" s="1"/>
  <c r="K997" i="1" a="1"/>
  <c r="K997" i="1" s="1"/>
  <c r="M997" i="1" s="1"/>
  <c r="O997" i="1" s="1"/>
  <c r="Q997" i="1" s="1"/>
  <c r="K966" i="1" a="1"/>
  <c r="K966" i="1" s="1"/>
  <c r="M966" i="1" s="1"/>
  <c r="O966" i="1" s="1"/>
  <c r="Q966" i="1" s="1"/>
  <c r="K976" i="1" a="1"/>
  <c r="K976" i="1" s="1"/>
  <c r="M976" i="1" s="1"/>
  <c r="O976" i="1" s="1"/>
  <c r="K341" i="1" a="1"/>
  <c r="K341" i="1" s="1"/>
  <c r="M341" i="1" s="1"/>
  <c r="O341" i="1" s="1"/>
  <c r="Y341" i="1" s="1"/>
  <c r="K896" i="1" a="1"/>
  <c r="K896" i="1" s="1"/>
  <c r="M896" i="1" s="1"/>
  <c r="O896" i="1" s="1"/>
  <c r="Q896" i="1" s="1"/>
  <c r="K117" i="1" a="1"/>
  <c r="K117" i="1" s="1"/>
  <c r="M117" i="1" s="1"/>
  <c r="O117" i="1" s="1"/>
  <c r="Q117" i="1" s="1"/>
  <c r="K153" i="1" a="1"/>
  <c r="K153" i="1" s="1"/>
  <c r="M153" i="1" s="1"/>
  <c r="O153" i="1" s="1"/>
  <c r="K763" i="1" a="1"/>
  <c r="K763" i="1" s="1"/>
  <c r="M763" i="1" s="1"/>
  <c r="O763" i="1" s="1"/>
  <c r="Q763" i="1" s="1"/>
  <c r="K156" i="1" a="1"/>
  <c r="K156" i="1" s="1"/>
  <c r="M156" i="1" s="1"/>
  <c r="O156" i="1" s="1"/>
  <c r="K171" i="1" a="1"/>
  <c r="K171" i="1" s="1"/>
  <c r="M171" i="1" s="1"/>
  <c r="O171" i="1" s="1"/>
  <c r="K668" i="1" a="1"/>
  <c r="K668" i="1" s="1"/>
  <c r="M668" i="1" s="1"/>
  <c r="O668" i="1" s="1"/>
  <c r="K861" i="1" a="1"/>
  <c r="K861" i="1" s="1"/>
  <c r="M861" i="1" s="1"/>
  <c r="O861" i="1" s="1"/>
  <c r="K475" i="1" a="1"/>
  <c r="K475" i="1" s="1"/>
  <c r="M475" i="1" s="1"/>
  <c r="O475" i="1" s="1"/>
  <c r="K191" i="1" a="1"/>
  <c r="K191" i="1" s="1"/>
  <c r="M191" i="1" s="1"/>
  <c r="O191" i="1" s="1"/>
  <c r="K932" i="1" a="1"/>
  <c r="K932" i="1" s="1"/>
  <c r="M932" i="1" s="1"/>
  <c r="O932" i="1" s="1"/>
  <c r="K589" i="1" a="1"/>
  <c r="K589" i="1" s="1"/>
  <c r="M589" i="1" s="1"/>
  <c r="O589" i="1" s="1"/>
  <c r="K922" i="1" a="1"/>
  <c r="K922" i="1" s="1"/>
  <c r="M922" i="1" s="1"/>
  <c r="O922" i="1" s="1"/>
  <c r="K449" i="1" a="1"/>
  <c r="K449" i="1" s="1"/>
  <c r="M449" i="1" s="1"/>
  <c r="O449" i="1" s="1"/>
  <c r="K901" i="1" a="1"/>
  <c r="K901" i="1" s="1"/>
  <c r="M901" i="1" s="1"/>
  <c r="O901" i="1" s="1"/>
  <c r="Y901" i="1" s="1"/>
  <c r="AA901" i="1" s="1"/>
  <c r="K586" i="1" a="1"/>
  <c r="K586" i="1" s="1"/>
  <c r="M586" i="1" s="1"/>
  <c r="O586" i="1" s="1"/>
  <c r="K379" i="1" a="1"/>
  <c r="K379" i="1" s="1"/>
  <c r="M379" i="1" s="1"/>
  <c r="O379" i="1" s="1"/>
  <c r="K380" i="1" a="1"/>
  <c r="K380" i="1" s="1"/>
  <c r="M380" i="1" s="1"/>
  <c r="O380" i="1" s="1"/>
  <c r="K244" i="1" a="1"/>
  <c r="K244" i="1" s="1"/>
  <c r="M244" i="1" s="1"/>
  <c r="O244" i="1" s="1"/>
  <c r="K381" i="1" a="1"/>
  <c r="K381" i="1" s="1"/>
  <c r="M381" i="1" s="1"/>
  <c r="O381" i="1" s="1"/>
  <c r="K105" i="1" a="1"/>
  <c r="K105" i="1" s="1"/>
  <c r="M105" i="1" s="1"/>
  <c r="O105" i="1" s="1"/>
  <c r="K652" i="1" a="1"/>
  <c r="K652" i="1" s="1"/>
  <c r="M652" i="1" s="1"/>
  <c r="O652" i="1" s="1"/>
  <c r="Q652" i="1" s="1"/>
  <c r="R652" i="1" s="1"/>
  <c r="K905" i="1" a="1"/>
  <c r="K905" i="1" s="1"/>
  <c r="M905" i="1" s="1"/>
  <c r="O905" i="1" s="1"/>
  <c r="K487" i="1" a="1"/>
  <c r="K487" i="1" s="1"/>
  <c r="M487" i="1" s="1"/>
  <c r="O487" i="1" s="1"/>
  <c r="K333" i="1" a="1"/>
  <c r="K333" i="1" s="1"/>
  <c r="M333" i="1" s="1"/>
  <c r="O333" i="1" s="1"/>
  <c r="K886" i="1" a="1"/>
  <c r="K886" i="1" s="1"/>
  <c r="M886" i="1" s="1"/>
  <c r="O886" i="1" s="1"/>
  <c r="K575" i="1" a="1"/>
  <c r="K575" i="1" s="1"/>
  <c r="M575" i="1" s="1"/>
  <c r="O575" i="1" s="1"/>
  <c r="K481" i="1" a="1"/>
  <c r="K481" i="1" s="1"/>
  <c r="M481" i="1" s="1"/>
  <c r="O481" i="1" s="1"/>
  <c r="Q481" i="1" s="1"/>
  <c r="K822" i="1" a="1"/>
  <c r="K822" i="1" s="1"/>
  <c r="M822" i="1" s="1"/>
  <c r="O822" i="1" s="1"/>
  <c r="Q822" i="1" s="1"/>
  <c r="K515" i="1" a="1"/>
  <c r="K515" i="1" s="1"/>
  <c r="M515" i="1" s="1"/>
  <c r="O515" i="1" s="1"/>
  <c r="Q515" i="1" s="1"/>
  <c r="K576" i="1" a="1"/>
  <c r="K576" i="1" s="1"/>
  <c r="M576" i="1" s="1"/>
  <c r="O576" i="1" s="1"/>
  <c r="K408" i="1" a="1"/>
  <c r="K408" i="1" s="1"/>
  <c r="M408" i="1" s="1"/>
  <c r="O408" i="1" s="1"/>
  <c r="K696" i="1" a="1"/>
  <c r="K696" i="1" s="1"/>
  <c r="M696" i="1" s="1"/>
  <c r="O696" i="1" s="1"/>
  <c r="K755" i="1" a="1"/>
  <c r="K755" i="1" s="1"/>
  <c r="M755" i="1" s="1"/>
  <c r="O755" i="1" s="1"/>
  <c r="Q755" i="1" s="1"/>
  <c r="R755" i="1" s="1"/>
  <c r="K108" i="1" a="1"/>
  <c r="K108" i="1" s="1"/>
  <c r="M108" i="1" s="1"/>
  <c r="O108" i="1" s="1"/>
  <c r="K828" i="1" a="1"/>
  <c r="K828" i="1" s="1"/>
  <c r="M828" i="1" s="1"/>
  <c r="O828" i="1" s="1"/>
  <c r="K192" i="1" a="1"/>
  <c r="K192" i="1" s="1"/>
  <c r="M192" i="1" s="1"/>
  <c r="O192" i="1" s="1"/>
  <c r="K254" i="1" a="1"/>
  <c r="K254" i="1" s="1"/>
  <c r="M254" i="1" s="1"/>
  <c r="O254" i="1" s="1"/>
  <c r="Q254" i="1" s="1"/>
  <c r="K79" i="1" a="1"/>
  <c r="K79" i="1" s="1"/>
  <c r="M79" i="1" s="1"/>
  <c r="O79" i="1" s="1"/>
  <c r="K96" i="1" a="1"/>
  <c r="K96" i="1" s="1"/>
  <c r="M96" i="1" s="1"/>
  <c r="O96" i="1" s="1"/>
  <c r="K131" i="1" a="1"/>
  <c r="K131" i="1" s="1"/>
  <c r="M131" i="1" s="1"/>
  <c r="O131" i="1" s="1"/>
  <c r="K330" i="1" a="1"/>
  <c r="K330" i="1" s="1"/>
  <c r="M330" i="1" s="1"/>
  <c r="O330" i="1" s="1"/>
  <c r="K685" i="1" a="1"/>
  <c r="K685" i="1" s="1"/>
  <c r="M685" i="1" s="1"/>
  <c r="O685" i="1" s="1"/>
  <c r="Q685" i="1" s="1"/>
  <c r="K676" i="1" a="1"/>
  <c r="K676" i="1" s="1"/>
  <c r="M676" i="1" s="1"/>
  <c r="O676" i="1" s="1"/>
  <c r="Q676" i="1" s="1"/>
  <c r="K710" i="1" a="1"/>
  <c r="K710" i="1" s="1"/>
  <c r="M710" i="1" s="1"/>
  <c r="O710" i="1" s="1"/>
  <c r="K256" i="1" a="1"/>
  <c r="K256" i="1" s="1"/>
  <c r="M256" i="1" s="1"/>
  <c r="O256" i="1" s="1"/>
  <c r="K395" i="1" a="1"/>
  <c r="K395" i="1" s="1"/>
  <c r="M395" i="1" s="1"/>
  <c r="O395" i="1" s="1"/>
  <c r="K46" i="1" a="1"/>
  <c r="K46" i="1" s="1"/>
  <c r="M46" i="1" s="1"/>
  <c r="O46" i="1" s="1"/>
  <c r="K11" i="1" a="1"/>
  <c r="K11" i="1" s="1"/>
  <c r="M11" i="1" s="1"/>
  <c r="O11" i="1" s="1"/>
  <c r="K852" i="1" a="1"/>
  <c r="K852" i="1" s="1"/>
  <c r="M852" i="1" s="1"/>
  <c r="O852" i="1" s="1"/>
  <c r="Q852" i="1" s="1"/>
  <c r="R852" i="1" s="1"/>
  <c r="K5" i="1" a="1"/>
  <c r="K5" i="1" s="1"/>
  <c r="M5" i="1" s="1"/>
  <c r="O5" i="1" s="1"/>
  <c r="Y5" i="1" s="1"/>
  <c r="AA5" i="1" s="1"/>
  <c r="K943" i="1" a="1"/>
  <c r="K943" i="1" s="1"/>
  <c r="M943" i="1" s="1"/>
  <c r="O943" i="1" s="1"/>
  <c r="Q943" i="1" s="1"/>
  <c r="K67" i="1" a="1"/>
  <c r="K67" i="1" s="1"/>
  <c r="M67" i="1" s="1"/>
  <c r="O67" i="1" s="1"/>
  <c r="Q67" i="1" s="1"/>
  <c r="R67" i="1" s="1"/>
  <c r="K184" i="1" a="1"/>
  <c r="K184" i="1" s="1"/>
  <c r="M184" i="1" s="1"/>
  <c r="O184" i="1" s="1"/>
  <c r="Q184" i="1" s="1"/>
  <c r="R184" i="1" s="1"/>
  <c r="K482" i="1" a="1"/>
  <c r="K482" i="1" s="1"/>
  <c r="M482" i="1" s="1"/>
  <c r="O482" i="1" s="1"/>
  <c r="K756" i="1" a="1"/>
  <c r="K756" i="1" s="1"/>
  <c r="M756" i="1" s="1"/>
  <c r="O756" i="1" s="1"/>
  <c r="K311" i="1" a="1"/>
  <c r="K311" i="1" s="1"/>
  <c r="M311" i="1" s="1"/>
  <c r="O311" i="1" s="1"/>
  <c r="K558" i="1" a="1"/>
  <c r="K558" i="1" s="1"/>
  <c r="M558" i="1" s="1"/>
  <c r="O558" i="1" s="1"/>
  <c r="Q558" i="1" s="1"/>
  <c r="K439" i="1" a="1"/>
  <c r="K439" i="1" s="1"/>
  <c r="M439" i="1" s="1"/>
  <c r="O439" i="1" s="1"/>
  <c r="Q439" i="1" s="1"/>
  <c r="K545" i="1" a="1"/>
  <c r="K545" i="1" s="1"/>
  <c r="M545" i="1" s="1"/>
  <c r="O545" i="1" s="1"/>
  <c r="Q545" i="1" s="1"/>
  <c r="R545" i="1" s="1"/>
  <c r="K798" i="1" a="1"/>
  <c r="K798" i="1" s="1"/>
  <c r="M798" i="1" s="1"/>
  <c r="O798" i="1" s="1"/>
  <c r="K293" i="1" a="1"/>
  <c r="K293" i="1" s="1"/>
  <c r="M293" i="1" s="1"/>
  <c r="O293" i="1" s="1"/>
  <c r="K713" i="1" a="1"/>
  <c r="K713" i="1" s="1"/>
  <c r="M713" i="1" s="1"/>
  <c r="O713" i="1" s="1"/>
  <c r="K172" i="1" a="1"/>
  <c r="K172" i="1" s="1"/>
  <c r="M172" i="1" s="1"/>
  <c r="O172" i="1" s="1"/>
  <c r="K787" i="1" a="1"/>
  <c r="K787" i="1" s="1"/>
  <c r="M787" i="1" s="1"/>
  <c r="O787" i="1" s="1"/>
  <c r="K788" i="1" a="1"/>
  <c r="K788" i="1" s="1"/>
  <c r="M788" i="1" s="1"/>
  <c r="O788" i="1" s="1"/>
  <c r="Q788" i="1" s="1"/>
  <c r="K953" i="1" a="1"/>
  <c r="K953" i="1" s="1"/>
  <c r="M953" i="1" s="1"/>
  <c r="O953" i="1" s="1"/>
  <c r="K846" i="1" a="1"/>
  <c r="K846" i="1" s="1"/>
  <c r="M846" i="1" s="1"/>
  <c r="O846" i="1" s="1"/>
  <c r="K248" i="1" a="1"/>
  <c r="K248" i="1" s="1"/>
  <c r="M248" i="1" s="1"/>
  <c r="O248" i="1" s="1"/>
  <c r="K660" i="1" a="1"/>
  <c r="K660" i="1" s="1"/>
  <c r="M660" i="1" s="1"/>
  <c r="O660" i="1" s="1"/>
  <c r="K377" i="1" a="1"/>
  <c r="K377" i="1" s="1"/>
  <c r="M377" i="1" s="1"/>
  <c r="O377" i="1" s="1"/>
  <c r="K328" i="1" a="1"/>
  <c r="K328" i="1" s="1"/>
  <c r="M328" i="1" s="1"/>
  <c r="O328" i="1" s="1"/>
  <c r="K193" i="1" a="1"/>
  <c r="K193" i="1" s="1"/>
  <c r="M193" i="1" s="1"/>
  <c r="O193" i="1" s="1"/>
  <c r="K648" i="1" a="1"/>
  <c r="K648" i="1" s="1"/>
  <c r="M648" i="1" s="1"/>
  <c r="O648" i="1" s="1"/>
  <c r="Q648" i="1" s="1"/>
  <c r="R648" i="1" s="1"/>
  <c r="K53" i="1" a="1"/>
  <c r="K53" i="1" s="1"/>
  <c r="M53" i="1" s="1"/>
  <c r="O53" i="1" s="1"/>
  <c r="K469" i="1" a="1"/>
  <c r="K469" i="1" s="1"/>
  <c r="M469" i="1" s="1"/>
  <c r="O469" i="1" s="1"/>
  <c r="K505" i="1" a="1"/>
  <c r="K505" i="1" s="1"/>
  <c r="M505" i="1" s="1"/>
  <c r="O505" i="1" s="1"/>
  <c r="K321" i="1" a="1"/>
  <c r="K321" i="1" s="1"/>
  <c r="M321" i="1" s="1"/>
  <c r="O321" i="1" s="1"/>
  <c r="K126" i="1" a="1"/>
  <c r="K126" i="1" s="1"/>
  <c r="M126" i="1" s="1"/>
  <c r="O126" i="1" s="1"/>
  <c r="K714" i="1" a="1"/>
  <c r="K714" i="1" s="1"/>
  <c r="M714" i="1" s="1"/>
  <c r="O714" i="1" s="1"/>
  <c r="K961" i="1" a="1"/>
  <c r="K961" i="1" s="1"/>
  <c r="M961" i="1" s="1"/>
  <c r="O961" i="1" s="1"/>
  <c r="K308" i="1" a="1"/>
  <c r="K308" i="1" s="1"/>
  <c r="M308" i="1" s="1"/>
  <c r="O308" i="1" s="1"/>
  <c r="Q308" i="1" s="1"/>
  <c r="K906" i="1" a="1"/>
  <c r="K906" i="1" s="1"/>
  <c r="M906" i="1" s="1"/>
  <c r="O906" i="1" s="1"/>
  <c r="Y906" i="1" s="1"/>
  <c r="AA906" i="1" s="1"/>
  <c r="K552" i="1" a="1"/>
  <c r="K552" i="1" s="1"/>
  <c r="M552" i="1" s="1"/>
  <c r="O552" i="1" s="1"/>
  <c r="K16" i="1" a="1"/>
  <c r="K16" i="1" s="1"/>
  <c r="M16" i="1" s="1"/>
  <c r="O16" i="1" s="1"/>
  <c r="Q16" i="1" s="1"/>
  <c r="K229" i="1" a="1"/>
  <c r="K229" i="1" s="1"/>
  <c r="M229" i="1" s="1"/>
  <c r="O229" i="1" s="1"/>
  <c r="Q229" i="1" s="1"/>
  <c r="K483" i="1" a="1"/>
  <c r="K483" i="1" s="1"/>
  <c r="M483" i="1" s="1"/>
  <c r="O483" i="1" s="1"/>
  <c r="K226" i="1" a="1"/>
  <c r="K226" i="1" s="1"/>
  <c r="M226" i="1" s="1"/>
  <c r="O226" i="1" s="1"/>
  <c r="K137" i="1" a="1"/>
  <c r="K137" i="1" s="1"/>
  <c r="M137" i="1" s="1"/>
  <c r="O137" i="1" s="1"/>
  <c r="K476" i="1" a="1"/>
  <c r="K476" i="1" s="1"/>
  <c r="M476" i="1" s="1"/>
  <c r="O476" i="1" s="1"/>
  <c r="K986" i="1" a="1"/>
  <c r="K986" i="1" s="1"/>
  <c r="M986" i="1" s="1"/>
  <c r="O986" i="1" s="1"/>
  <c r="K404" i="1" a="1"/>
  <c r="K404" i="1" s="1"/>
  <c r="M404" i="1" s="1"/>
  <c r="O404" i="1" s="1"/>
  <c r="K887" i="1" a="1"/>
  <c r="K887" i="1" s="1"/>
  <c r="M887" i="1" s="1"/>
  <c r="O887" i="1" s="1"/>
  <c r="K88" i="1" a="1"/>
  <c r="K88" i="1" s="1"/>
  <c r="M88" i="1" s="1"/>
  <c r="O88" i="1" s="1"/>
  <c r="Q88" i="1" s="1"/>
  <c r="K491" i="1" a="1"/>
  <c r="K491" i="1" s="1"/>
  <c r="M491" i="1" s="1"/>
  <c r="O491" i="1" s="1"/>
  <c r="K717" i="1" a="1"/>
  <c r="K717" i="1" s="1"/>
  <c r="M717" i="1" s="1"/>
  <c r="O717" i="1" s="1"/>
  <c r="K747" i="1" a="1"/>
  <c r="K747" i="1" s="1"/>
  <c r="M747" i="1" s="1"/>
  <c r="O747" i="1" s="1"/>
  <c r="K302" i="1" a="1"/>
  <c r="K302" i="1" s="1"/>
  <c r="M302" i="1" s="1"/>
  <c r="O302" i="1" s="1"/>
  <c r="Q302" i="1" s="1"/>
  <c r="K350" i="1" a="1"/>
  <c r="K350" i="1" s="1"/>
  <c r="M350" i="1" s="1"/>
  <c r="O350" i="1" s="1"/>
  <c r="K970" i="1" a="1"/>
  <c r="K970" i="1" s="1"/>
  <c r="M970" i="1" s="1"/>
  <c r="O970" i="1" s="1"/>
  <c r="K97" i="1" a="1"/>
  <c r="K97" i="1" s="1"/>
  <c r="M97" i="1" s="1"/>
  <c r="O97" i="1" s="1"/>
  <c r="K369" i="1" a="1"/>
  <c r="K369" i="1" s="1"/>
  <c r="M369" i="1" s="1"/>
  <c r="O369" i="1" s="1"/>
  <c r="K757" i="1" a="1"/>
  <c r="K757" i="1" s="1"/>
  <c r="M757" i="1" s="1"/>
  <c r="O757" i="1" s="1"/>
  <c r="K613" i="1" a="1"/>
  <c r="K613" i="1" s="1"/>
  <c r="M613" i="1" s="1"/>
  <c r="O613" i="1" s="1"/>
  <c r="K842" i="1" a="1"/>
  <c r="K842" i="1" s="1"/>
  <c r="M842" i="1" s="1"/>
  <c r="O842" i="1" s="1"/>
  <c r="K973" i="1" a="1"/>
  <c r="K973" i="1" s="1"/>
  <c r="M973" i="1" s="1"/>
  <c r="O973" i="1" s="1"/>
  <c r="Q973" i="1" s="1"/>
  <c r="R973" i="1" s="1"/>
  <c r="K615" i="1" a="1"/>
  <c r="K615" i="1" s="1"/>
  <c r="M615" i="1" s="1"/>
  <c r="O615" i="1" s="1"/>
  <c r="K775" i="1" a="1"/>
  <c r="K775" i="1" s="1"/>
  <c r="M775" i="1" s="1"/>
  <c r="O775" i="1" s="1"/>
  <c r="Q775" i="1" s="1"/>
  <c r="K529" i="1" a="1"/>
  <c r="K529" i="1" s="1"/>
  <c r="M529" i="1" s="1"/>
  <c r="O529" i="1" s="1"/>
  <c r="K138" i="1" a="1"/>
  <c r="K138" i="1" s="1"/>
  <c r="M138" i="1" s="1"/>
  <c r="O138" i="1" s="1"/>
  <c r="K727" i="1" a="1"/>
  <c r="K727" i="1" s="1"/>
  <c r="M727" i="1" s="1"/>
  <c r="O727" i="1" s="1"/>
  <c r="K54" i="1" a="1"/>
  <c r="K54" i="1" s="1"/>
  <c r="M54" i="1" s="1"/>
  <c r="O54" i="1" s="1"/>
  <c r="K802" i="1" a="1"/>
  <c r="K802" i="1" s="1"/>
  <c r="M802" i="1" s="1"/>
  <c r="O802" i="1" s="1"/>
  <c r="K661" i="1" a="1"/>
  <c r="K661" i="1" s="1"/>
  <c r="M661" i="1" s="1"/>
  <c r="O661" i="1" s="1"/>
  <c r="K680" i="1" a="1"/>
  <c r="K680" i="1" s="1"/>
  <c r="M680" i="1" s="1"/>
  <c r="O680" i="1" s="1"/>
  <c r="Y680" i="1" s="1"/>
  <c r="AA680" i="1" s="1"/>
  <c r="K144" i="1" a="1"/>
  <c r="K144" i="1" s="1"/>
  <c r="M144" i="1" s="1"/>
  <c r="O144" i="1" s="1"/>
  <c r="K176" i="1" a="1"/>
  <c r="K176" i="1" s="1"/>
  <c r="M176" i="1" s="1"/>
  <c r="O176" i="1" s="1"/>
  <c r="K524" i="1" a="1"/>
  <c r="K524" i="1" s="1"/>
  <c r="M524" i="1" s="1"/>
  <c r="O524" i="1" s="1"/>
  <c r="K211" i="1" a="1"/>
  <c r="K211" i="1" s="1"/>
  <c r="M211" i="1" s="1"/>
  <c r="O211" i="1" s="1"/>
  <c r="K68" i="1" a="1"/>
  <c r="K68" i="1" s="1"/>
  <c r="M68" i="1" s="1"/>
  <c r="O68" i="1" s="1"/>
  <c r="K669" i="1" a="1"/>
  <c r="K669" i="1" s="1"/>
  <c r="M669" i="1" s="1"/>
  <c r="O669" i="1" s="1"/>
  <c r="K399" i="1" a="1"/>
  <c r="K399" i="1" s="1"/>
  <c r="M399" i="1" s="1"/>
  <c r="O399" i="1" s="1"/>
  <c r="K241" i="1" a="1"/>
  <c r="K241" i="1" s="1"/>
  <c r="M241" i="1" s="1"/>
  <c r="O241" i="1" s="1"/>
  <c r="K553" i="1" a="1"/>
  <c r="K553" i="1" s="1"/>
  <c r="M553" i="1" s="1"/>
  <c r="O553" i="1" s="1"/>
  <c r="K764" i="1" a="1"/>
  <c r="K764" i="1" s="1"/>
  <c r="M764" i="1" s="1"/>
  <c r="O764" i="1" s="1"/>
  <c r="Q764" i="1" s="1"/>
  <c r="K200" i="1" a="1"/>
  <c r="K200" i="1" s="1"/>
  <c r="M200" i="1" s="1"/>
  <c r="O200" i="1" s="1"/>
  <c r="K567" i="1" a="1"/>
  <c r="K567" i="1" s="1"/>
  <c r="M567" i="1" s="1"/>
  <c r="O567" i="1" s="1"/>
  <c r="Y567" i="1" s="1"/>
  <c r="AA567" i="1" s="1"/>
  <c r="K167" i="1" a="1"/>
  <c r="K167" i="1" s="1"/>
  <c r="M167" i="1" s="1"/>
  <c r="O167" i="1" s="1"/>
  <c r="K141" i="1" a="1"/>
  <c r="K141" i="1" s="1"/>
  <c r="M141" i="1" s="1"/>
  <c r="O141" i="1" s="1"/>
  <c r="K273" i="1" a="1"/>
  <c r="K273" i="1" s="1"/>
  <c r="M273" i="1" s="1"/>
  <c r="O273" i="1" s="1"/>
  <c r="K154" i="1" a="1"/>
  <c r="K154" i="1" s="1"/>
  <c r="M154" i="1" s="1"/>
  <c r="O154" i="1" s="1"/>
  <c r="K334" i="1" a="1"/>
  <c r="K334" i="1" s="1"/>
  <c r="M334" i="1" s="1"/>
  <c r="O334" i="1" s="1"/>
  <c r="K803" i="1" a="1"/>
  <c r="K803" i="1" s="1"/>
  <c r="M803" i="1" s="1"/>
  <c r="O803" i="1" s="1"/>
  <c r="K151" i="1" a="1"/>
  <c r="K151" i="1" s="1"/>
  <c r="M151" i="1" s="1"/>
  <c r="O151" i="1" s="1"/>
  <c r="K17" i="1" a="1"/>
  <c r="K17" i="1" s="1"/>
  <c r="M17" i="1" s="1"/>
  <c r="O17" i="1" s="1"/>
  <c r="K440" i="1" a="1"/>
  <c r="K440" i="1" s="1"/>
  <c r="M440" i="1" s="1"/>
  <c r="O440" i="1" s="1"/>
  <c r="K956" i="1" a="1"/>
  <c r="K956" i="1" s="1"/>
  <c r="M956" i="1" s="1"/>
  <c r="O956" i="1" s="1"/>
  <c r="K98" i="1" a="1"/>
  <c r="K98" i="1" s="1"/>
  <c r="M98" i="1" s="1"/>
  <c r="O98" i="1" s="1"/>
  <c r="K470" i="1" a="1"/>
  <c r="K470" i="1" s="1"/>
  <c r="M470" i="1" s="1"/>
  <c r="O470" i="1" s="1"/>
  <c r="K929" i="1" a="1"/>
  <c r="K929" i="1" s="1"/>
  <c r="M929" i="1" s="1"/>
  <c r="O929" i="1" s="1"/>
  <c r="K249" i="1" a="1"/>
  <c r="K249" i="1" s="1"/>
  <c r="M249" i="1" s="1"/>
  <c r="O249" i="1" s="1"/>
  <c r="K525" i="1" a="1"/>
  <c r="K525" i="1" s="1"/>
  <c r="M525" i="1" s="1"/>
  <c r="O525" i="1" s="1"/>
  <c r="K761" i="1" a="1"/>
  <c r="K761" i="1" s="1"/>
  <c r="M761" i="1" s="1"/>
  <c r="O761" i="1" s="1"/>
  <c r="Y761" i="1" s="1"/>
  <c r="AA761" i="1" s="1"/>
  <c r="K597" i="1" a="1"/>
  <c r="K597" i="1" s="1"/>
  <c r="M597" i="1" s="1"/>
  <c r="O597" i="1" s="1"/>
  <c r="K28" i="1" a="1"/>
  <c r="K28" i="1" s="1"/>
  <c r="M28" i="1" s="1"/>
  <c r="O28" i="1" s="1"/>
  <c r="K632" i="1" a="1"/>
  <c r="K632" i="1" s="1"/>
  <c r="M632" i="1" s="1"/>
  <c r="O632" i="1" s="1"/>
  <c r="K179" i="1" a="1"/>
  <c r="K179" i="1" s="1"/>
  <c r="M179" i="1" s="1"/>
  <c r="O179" i="1" s="1"/>
  <c r="K864" i="1" a="1"/>
  <c r="K864" i="1" s="1"/>
  <c r="M864" i="1" s="1"/>
  <c r="O864" i="1" s="1"/>
  <c r="K84" i="1" a="1"/>
  <c r="K84" i="1" s="1"/>
  <c r="M84" i="1" s="1"/>
  <c r="O84" i="1" s="1"/>
  <c r="K295" i="1" a="1"/>
  <c r="K295" i="1" s="1"/>
  <c r="M295" i="1" s="1"/>
  <c r="O295" i="1" s="1"/>
  <c r="K978" i="1" a="1"/>
  <c r="K978" i="1" s="1"/>
  <c r="M978" i="1" s="1"/>
  <c r="O978" i="1" s="1"/>
  <c r="K510" i="1" a="1"/>
  <c r="K510" i="1" s="1"/>
  <c r="M510" i="1" s="1"/>
  <c r="O510" i="1" s="1"/>
  <c r="K370" i="1" a="1"/>
  <c r="K370" i="1" s="1"/>
  <c r="M370" i="1" s="1"/>
  <c r="O370" i="1" s="1"/>
  <c r="K829" i="1" a="1"/>
  <c r="K829" i="1" s="1"/>
  <c r="M829" i="1" s="1"/>
  <c r="O829" i="1" s="1"/>
  <c r="K389" i="1" a="1"/>
  <c r="K389" i="1" s="1"/>
  <c r="M389" i="1" s="1"/>
  <c r="O389" i="1" s="1"/>
  <c r="K471" i="1" a="1"/>
  <c r="K471" i="1" s="1"/>
  <c r="M471" i="1" s="1"/>
  <c r="O471" i="1" s="1"/>
  <c r="K458" i="1" a="1"/>
  <c r="K458" i="1" s="1"/>
  <c r="M458" i="1" s="1"/>
  <c r="O458" i="1" s="1"/>
  <c r="K769" i="1" a="1"/>
  <c r="K769" i="1" s="1"/>
  <c r="M769" i="1" s="1"/>
  <c r="O769" i="1" s="1"/>
  <c r="Q769" i="1" s="1"/>
  <c r="K915" i="1" a="1"/>
  <c r="K915" i="1" s="1"/>
  <c r="M915" i="1" s="1"/>
  <c r="O915" i="1" s="1"/>
  <c r="K18" i="1" a="1"/>
  <c r="K18" i="1" s="1"/>
  <c r="M18" i="1" s="1"/>
  <c r="O18" i="1" s="1"/>
  <c r="K791" i="1" a="1"/>
  <c r="K791" i="1" s="1"/>
  <c r="M791" i="1" s="1"/>
  <c r="O791" i="1" s="1"/>
  <c r="K157" i="1" a="1"/>
  <c r="K157" i="1" s="1"/>
  <c r="M157" i="1" s="1"/>
  <c r="O157" i="1" s="1"/>
  <c r="K322" i="1" a="1"/>
  <c r="K322" i="1" s="1"/>
  <c r="M322" i="1" s="1"/>
  <c r="O322" i="1" s="1"/>
  <c r="K507" i="1" a="1"/>
  <c r="K507" i="1" s="1"/>
  <c r="M507" i="1" s="1"/>
  <c r="O507" i="1" s="1"/>
  <c r="K993" i="1" a="1"/>
  <c r="K993" i="1" s="1"/>
  <c r="M993" i="1" s="1"/>
  <c r="O993" i="1" s="1"/>
  <c r="K587" i="1" a="1"/>
  <c r="K587" i="1" s="1"/>
  <c r="M587" i="1" s="1"/>
  <c r="O587" i="1" s="1"/>
  <c r="K73" i="1" a="1"/>
  <c r="K73" i="1" s="1"/>
  <c r="M73" i="1" s="1"/>
  <c r="O73" i="1" s="1"/>
  <c r="K382" i="1" a="1"/>
  <c r="K382" i="1" s="1"/>
  <c r="M382" i="1" s="1"/>
  <c r="O382" i="1" s="1"/>
  <c r="K497" i="1" a="1"/>
  <c r="K497" i="1" s="1"/>
  <c r="M497" i="1" s="1"/>
  <c r="O497" i="1" s="1"/>
  <c r="K366" i="1" a="1"/>
  <c r="K366" i="1" s="1"/>
  <c r="M366" i="1" s="1"/>
  <c r="O366" i="1" s="1"/>
  <c r="K630" i="1" a="1"/>
  <c r="K630" i="1" s="1"/>
  <c r="M630" i="1" s="1"/>
  <c r="O630" i="1" s="1"/>
  <c r="Q630" i="1" s="1"/>
  <c r="R630" i="1" s="1"/>
  <c r="K425" i="1" a="1"/>
  <c r="K425" i="1" s="1"/>
  <c r="M425" i="1" s="1"/>
  <c r="O425" i="1" s="1"/>
  <c r="Q425" i="1" s="1"/>
  <c r="K55" i="1" a="1"/>
  <c r="K55" i="1" s="1"/>
  <c r="M55" i="1" s="1"/>
  <c r="O55" i="1" s="1"/>
  <c r="K242" i="1" a="1"/>
  <c r="K242" i="1" s="1"/>
  <c r="M242" i="1" s="1"/>
  <c r="O242" i="1" s="1"/>
  <c r="Q242" i="1" s="1"/>
  <c r="K801" i="1" a="1"/>
  <c r="K801" i="1" s="1"/>
  <c r="M801" i="1" s="1"/>
  <c r="O801" i="1" s="1"/>
  <c r="K409" i="1" a="1"/>
  <c r="K409" i="1" s="1"/>
  <c r="M409" i="1" s="1"/>
  <c r="O409" i="1" s="1"/>
  <c r="Y409" i="1" s="1"/>
  <c r="K463" i="1" a="1"/>
  <c r="K463" i="1" s="1"/>
  <c r="M463" i="1" s="1"/>
  <c r="O463" i="1" s="1"/>
  <c r="K456" i="1" a="1"/>
  <c r="K456" i="1" s="1"/>
  <c r="M456" i="1" s="1"/>
  <c r="O456" i="1" s="1"/>
  <c r="K386" i="1" a="1"/>
  <c r="K386" i="1" s="1"/>
  <c r="M386" i="1" s="1"/>
  <c r="O386" i="1" s="1"/>
  <c r="K749" i="1" a="1"/>
  <c r="K749" i="1" s="1"/>
  <c r="M749" i="1" s="1"/>
  <c r="O749" i="1" s="1"/>
  <c r="K957" i="1" a="1"/>
  <c r="K957" i="1" s="1"/>
  <c r="M957" i="1" s="1"/>
  <c r="O957" i="1" s="1"/>
  <c r="Q957" i="1" s="1"/>
  <c r="R957" i="1" s="1"/>
  <c r="K325" i="1" a="1"/>
  <c r="K325" i="1" s="1"/>
  <c r="M325" i="1" s="1"/>
  <c r="O325" i="1" s="1"/>
  <c r="Q325" i="1" s="1"/>
  <c r="R325" i="1" s="1"/>
  <c r="K531" i="1" a="1"/>
  <c r="K531" i="1" s="1"/>
  <c r="M531" i="1" s="1"/>
  <c r="O531" i="1" s="1"/>
  <c r="K983" i="1" a="1"/>
  <c r="K983" i="1" s="1"/>
  <c r="M983" i="1" s="1"/>
  <c r="O983" i="1" s="1"/>
  <c r="K312" i="1" a="1"/>
  <c r="K312" i="1" s="1"/>
  <c r="M312" i="1" s="1"/>
  <c r="O312" i="1" s="1"/>
  <c r="K795" i="1" a="1"/>
  <c r="K795" i="1" s="1"/>
  <c r="M795" i="1" s="1"/>
  <c r="O795" i="1" s="1"/>
  <c r="K400" i="1" a="1"/>
  <c r="K400" i="1" s="1"/>
  <c r="M400" i="1" s="1"/>
  <c r="O400" i="1" s="1"/>
  <c r="K342" i="1" a="1"/>
  <c r="K342" i="1" s="1"/>
  <c r="M342" i="1" s="1"/>
  <c r="O342" i="1" s="1"/>
  <c r="K818" i="1" a="1"/>
  <c r="K818" i="1" s="1"/>
  <c r="M818" i="1" s="1"/>
  <c r="O818" i="1" s="1"/>
  <c r="K441" i="1" a="1"/>
  <c r="K441" i="1" s="1"/>
  <c r="M441" i="1" s="1"/>
  <c r="O441" i="1" s="1"/>
  <c r="Q441" i="1" s="1"/>
  <c r="K823" i="1" a="1"/>
  <c r="K823" i="1" s="1"/>
  <c r="M823" i="1" s="1"/>
  <c r="O823" i="1" s="1"/>
  <c r="K343" i="1" a="1"/>
  <c r="K343" i="1" s="1"/>
  <c r="M343" i="1" s="1"/>
  <c r="O343" i="1" s="1"/>
  <c r="Y343" i="1" s="1"/>
  <c r="K765" i="1" a="1"/>
  <c r="K765" i="1" s="1"/>
  <c r="M765" i="1" s="1"/>
  <c r="O765" i="1" s="1"/>
  <c r="K85" i="1" a="1"/>
  <c r="K85" i="1" s="1"/>
  <c r="M85" i="1" s="1"/>
  <c r="O85" i="1" s="1"/>
  <c r="K177" i="1" a="1"/>
  <c r="K177" i="1" s="1"/>
  <c r="M177" i="1" s="1"/>
  <c r="O177" i="1" s="1"/>
  <c r="K304" i="1" a="1"/>
  <c r="K304" i="1" s="1"/>
  <c r="M304" i="1" s="1"/>
  <c r="O304" i="1" s="1"/>
  <c r="K353" i="1" a="1"/>
  <c r="K353" i="1" s="1"/>
  <c r="M353" i="1" s="1"/>
  <c r="O353" i="1" s="1"/>
  <c r="Q353" i="1" s="1"/>
  <c r="K429" i="1" a="1"/>
  <c r="K429" i="1" s="1"/>
  <c r="M429" i="1" s="1"/>
  <c r="O429" i="1" s="1"/>
  <c r="K234" i="1" a="1"/>
  <c r="K234" i="1" s="1"/>
  <c r="M234" i="1" s="1"/>
  <c r="O234" i="1" s="1"/>
  <c r="K417" i="1" a="1"/>
  <c r="K417" i="1" s="1"/>
  <c r="M417" i="1" s="1"/>
  <c r="O417" i="1" s="1"/>
  <c r="K286" i="1" a="1"/>
  <c r="K286" i="1" s="1"/>
  <c r="M286" i="1" s="1"/>
  <c r="O286" i="1" s="1"/>
  <c r="K132" i="1" a="1"/>
  <c r="K132" i="1" s="1"/>
  <c r="M132" i="1" s="1"/>
  <c r="O132" i="1" s="1"/>
  <c r="Q132" i="1" s="1"/>
  <c r="R132" i="1" s="1"/>
  <c r="K907" i="1" a="1"/>
  <c r="K907" i="1" s="1"/>
  <c r="M907" i="1" s="1"/>
  <c r="O907" i="1" s="1"/>
  <c r="K113" i="1" a="1"/>
  <c r="K113" i="1" s="1"/>
  <c r="M113" i="1" s="1"/>
  <c r="O113" i="1" s="1"/>
  <c r="Q113" i="1" s="1"/>
  <c r="K649" i="1" a="1"/>
  <c r="K649" i="1" s="1"/>
  <c r="M649" i="1" s="1"/>
  <c r="O649" i="1" s="1"/>
  <c r="K930" i="1" a="1"/>
  <c r="K930" i="1" s="1"/>
  <c r="M930" i="1" s="1"/>
  <c r="O930" i="1" s="1"/>
  <c r="K371" i="1" a="1"/>
  <c r="K371" i="1" s="1"/>
  <c r="M371" i="1" s="1"/>
  <c r="O371" i="1" s="1"/>
  <c r="K863" i="1" a="1"/>
  <c r="K863" i="1" s="1"/>
  <c r="M863" i="1" s="1"/>
  <c r="O863" i="1" s="1"/>
  <c r="K420" i="1" a="1"/>
  <c r="K420" i="1" s="1"/>
  <c r="M420" i="1" s="1"/>
  <c r="O420" i="1" s="1"/>
  <c r="K843" i="1" a="1"/>
  <c r="K843" i="1" s="1"/>
  <c r="M843" i="1" s="1"/>
  <c r="O843" i="1" s="1"/>
  <c r="K118" i="1" a="1"/>
  <c r="K118" i="1" s="1"/>
  <c r="M118" i="1" s="1"/>
  <c r="O118" i="1" s="1"/>
  <c r="K836" i="1" a="1"/>
  <c r="K836" i="1" s="1"/>
  <c r="M836" i="1" s="1"/>
  <c r="O836" i="1" s="1"/>
  <c r="K897" i="1" a="1"/>
  <c r="K897" i="1" s="1"/>
  <c r="M897" i="1" s="1"/>
  <c r="O897" i="1" s="1"/>
  <c r="Q897" i="1" s="1"/>
  <c r="K280" i="1" a="1"/>
  <c r="K280" i="1" s="1"/>
  <c r="M280" i="1" s="1"/>
  <c r="O280" i="1" s="1"/>
  <c r="Q280" i="1" s="1"/>
  <c r="K161" i="1" a="1"/>
  <c r="K161" i="1" s="1"/>
  <c r="M161" i="1" s="1"/>
  <c r="O161" i="1" s="1"/>
  <c r="K635" i="1" a="1"/>
  <c r="K635" i="1" s="1"/>
  <c r="M635" i="1" s="1"/>
  <c r="O635" i="1" s="1"/>
  <c r="K219" i="1" a="1"/>
  <c r="K219" i="1" s="1"/>
  <c r="M219" i="1" s="1"/>
  <c r="O219" i="1" s="1"/>
  <c r="K559" i="1" a="1"/>
  <c r="K559" i="1" s="1"/>
  <c r="M559" i="1" s="1"/>
  <c r="O559" i="1" s="1"/>
  <c r="K145" i="1" a="1"/>
  <c r="K145" i="1" s="1"/>
  <c r="M145" i="1" s="1"/>
  <c r="O145" i="1" s="1"/>
  <c r="K237" i="1" a="1"/>
  <c r="K237" i="1" s="1"/>
  <c r="M237" i="1" s="1"/>
  <c r="O237" i="1" s="1"/>
  <c r="K944" i="1" a="1"/>
  <c r="K944" i="1" s="1"/>
  <c r="M944" i="1" s="1"/>
  <c r="O944" i="1" s="1"/>
  <c r="K698" i="1" a="1"/>
  <c r="K698" i="1" s="1"/>
  <c r="M698" i="1" s="1"/>
  <c r="O698" i="1" s="1"/>
  <c r="K815" i="1" a="1"/>
  <c r="K815" i="1" s="1"/>
  <c r="M815" i="1" s="1"/>
  <c r="O815" i="1" s="1"/>
  <c r="K931" i="1" a="1"/>
  <c r="K931" i="1" s="1"/>
  <c r="M931" i="1" s="1"/>
  <c r="O931" i="1" s="1"/>
  <c r="K421" i="1" a="1"/>
  <c r="K421" i="1" s="1"/>
  <c r="M421" i="1" s="1"/>
  <c r="O421" i="1" s="1"/>
  <c r="K139" i="1" a="1"/>
  <c r="K139" i="1" s="1"/>
  <c r="M139" i="1" s="1"/>
  <c r="O139" i="1" s="1"/>
  <c r="K962" i="1" a="1"/>
  <c r="K962" i="1" s="1"/>
  <c r="M962" i="1" s="1"/>
  <c r="O962" i="1" s="1"/>
  <c r="K158" i="1" a="1"/>
  <c r="K158" i="1" s="1"/>
  <c r="M158" i="1" s="1"/>
  <c r="O158" i="1" s="1"/>
  <c r="K871" i="1" a="1"/>
  <c r="K871" i="1" s="1"/>
  <c r="M871" i="1" s="1"/>
  <c r="O871" i="1" s="1"/>
  <c r="K542" i="1" a="1"/>
  <c r="K542" i="1" s="1"/>
  <c r="M542" i="1" s="1"/>
  <c r="O542" i="1" s="1"/>
  <c r="K223" i="1" a="1"/>
  <c r="K223" i="1" s="1"/>
  <c r="M223" i="1" s="1"/>
  <c r="O223" i="1" s="1"/>
  <c r="K950" i="1" a="1"/>
  <c r="K950" i="1" s="1"/>
  <c r="M950" i="1" s="1"/>
  <c r="O950" i="1" s="1"/>
  <c r="K208" i="1" a="1"/>
  <c r="K208" i="1" s="1"/>
  <c r="M208" i="1" s="1"/>
  <c r="O208" i="1" s="1"/>
  <c r="K35" i="1" a="1"/>
  <c r="K35" i="1" s="1"/>
  <c r="M35" i="1" s="1"/>
  <c r="O35" i="1" s="1"/>
  <c r="K689" i="1" a="1"/>
  <c r="K689" i="1" s="1"/>
  <c r="M689" i="1" s="1"/>
  <c r="O689" i="1" s="1"/>
  <c r="K316" i="1" a="1"/>
  <c r="K316" i="1" s="1"/>
  <c r="M316" i="1" s="1"/>
  <c r="O316" i="1" s="1"/>
  <c r="Q316" i="1" s="1"/>
  <c r="K339" i="1" a="1"/>
  <c r="K339" i="1" s="1"/>
  <c r="M339" i="1" s="1"/>
  <c r="O339" i="1" s="1"/>
  <c r="K506" i="1" a="1"/>
  <c r="K506" i="1" s="1"/>
  <c r="M506" i="1" s="1"/>
  <c r="O506" i="1" s="1"/>
  <c r="K642" i="1" a="1"/>
  <c r="K642" i="1" s="1"/>
  <c r="M642" i="1" s="1"/>
  <c r="O642" i="1" s="1"/>
  <c r="K196" i="1" a="1"/>
  <c r="K196" i="1" s="1"/>
  <c r="M196" i="1" s="1"/>
  <c r="O196" i="1" s="1"/>
  <c r="K854" i="1" a="1"/>
  <c r="K854" i="1" s="1"/>
  <c r="M854" i="1" s="1"/>
  <c r="O854" i="1" s="1"/>
  <c r="K974" i="1" a="1"/>
  <c r="K974" i="1" s="1"/>
  <c r="M974" i="1" s="1"/>
  <c r="O974" i="1" s="1"/>
  <c r="K89" i="1" a="1"/>
  <c r="K89" i="1" s="1"/>
  <c r="M89" i="1" s="1"/>
  <c r="O89" i="1" s="1"/>
  <c r="Q89" i="1" s="1"/>
  <c r="K250" i="1" a="1"/>
  <c r="K250" i="1" s="1"/>
  <c r="M250" i="1" s="1"/>
  <c r="O250" i="1" s="1"/>
  <c r="K636" i="1" a="1"/>
  <c r="K636" i="1" s="1"/>
  <c r="M636" i="1" s="1"/>
  <c r="O636" i="1" s="1"/>
  <c r="K693" i="1" a="1"/>
  <c r="K693" i="1" s="1"/>
  <c r="M693" i="1" s="1"/>
  <c r="O693" i="1" s="1"/>
  <c r="K536" i="1" a="1"/>
  <c r="K536" i="1" s="1"/>
  <c r="M536" i="1" s="1"/>
  <c r="O536" i="1" s="1"/>
  <c r="K78" i="1" a="1"/>
  <c r="K78" i="1" s="1"/>
  <c r="M78" i="1" s="1"/>
  <c r="O78" i="1" s="1"/>
  <c r="K994" i="1" a="1"/>
  <c r="K994" i="1" s="1"/>
  <c r="M994" i="1" s="1"/>
  <c r="O994" i="1" s="1"/>
  <c r="K865" i="1" a="1"/>
  <c r="K865" i="1" s="1"/>
  <c r="M865" i="1" s="1"/>
  <c r="O865" i="1" s="1"/>
  <c r="K588" i="1" a="1"/>
  <c r="K588" i="1" s="1"/>
  <c r="M588" i="1" s="1"/>
  <c r="O588" i="1" s="1"/>
  <c r="K626" i="1" a="1"/>
  <c r="K626" i="1" s="1"/>
  <c r="M626" i="1" s="1"/>
  <c r="O626" i="1" s="1"/>
  <c r="K508" i="1" a="1"/>
  <c r="K508" i="1" s="1"/>
  <c r="M508" i="1" s="1"/>
  <c r="O508" i="1" s="1"/>
  <c r="Q508" i="1" s="1"/>
  <c r="K504" i="1" a="1"/>
  <c r="K504" i="1" s="1"/>
  <c r="M504" i="1" s="1"/>
  <c r="O504" i="1" s="1"/>
  <c r="Q504" i="1" s="1"/>
  <c r="K129" i="1" a="1"/>
  <c r="K129" i="1" s="1"/>
  <c r="M129" i="1" s="1"/>
  <c r="O129" i="1" s="1"/>
  <c r="K74" i="1" a="1"/>
  <c r="K74" i="1" s="1"/>
  <c r="M74" i="1" s="1"/>
  <c r="O74" i="1" s="1"/>
  <c r="K816" i="1" a="1"/>
  <c r="K816" i="1" s="1"/>
  <c r="M816" i="1" s="1"/>
  <c r="O816" i="1" s="1"/>
  <c r="K766" i="1" a="1"/>
  <c r="K766" i="1" s="1"/>
  <c r="M766" i="1" s="1"/>
  <c r="O766" i="1" s="1"/>
  <c r="K921" i="1" a="1"/>
  <c r="K921" i="1" s="1"/>
  <c r="M921" i="1" s="1"/>
  <c r="O921" i="1" s="1"/>
  <c r="K251" i="1" a="1"/>
  <c r="K251" i="1" s="1"/>
  <c r="M251" i="1" s="1"/>
  <c r="O251" i="1" s="1"/>
  <c r="K866" i="1" a="1"/>
  <c r="K866" i="1" s="1"/>
  <c r="M866" i="1" s="1"/>
  <c r="O866" i="1" s="1"/>
  <c r="K776" i="1" a="1"/>
  <c r="K776" i="1" s="1"/>
  <c r="M776" i="1" s="1"/>
  <c r="O776" i="1" s="1"/>
  <c r="K338" i="1" a="1"/>
  <c r="K338" i="1" s="1"/>
  <c r="M338" i="1" s="1"/>
  <c r="O338" i="1" s="1"/>
  <c r="K577" i="1" a="1"/>
  <c r="K577" i="1" s="1"/>
  <c r="M577" i="1" s="1"/>
  <c r="O577" i="1" s="1"/>
  <c r="K326" i="1" a="1"/>
  <c r="K326" i="1" s="1"/>
  <c r="M326" i="1" s="1"/>
  <c r="O326" i="1" s="1"/>
  <c r="K891" i="1" a="1"/>
  <c r="K891" i="1" s="1"/>
  <c r="M891" i="1" s="1"/>
  <c r="O891" i="1" s="1"/>
  <c r="K951" i="1" a="1"/>
  <c r="K951" i="1" s="1"/>
  <c r="M951" i="1" s="1"/>
  <c r="O951" i="1" s="1"/>
  <c r="Q951" i="1" s="1"/>
  <c r="K130" i="1" a="1"/>
  <c r="K130" i="1" s="1"/>
  <c r="M130" i="1" s="1"/>
  <c r="O130" i="1" s="1"/>
  <c r="Q130" i="1" s="1"/>
  <c r="K770" i="1" a="1"/>
  <c r="K770" i="1" s="1"/>
  <c r="M770" i="1" s="1"/>
  <c r="O770" i="1" s="1"/>
  <c r="K719" i="1" a="1"/>
  <c r="K719" i="1" s="1"/>
  <c r="M719" i="1" s="1"/>
  <c r="O719" i="1" s="1"/>
  <c r="K590" i="1" a="1"/>
  <c r="K590" i="1" s="1"/>
  <c r="M590" i="1" s="1"/>
  <c r="O590" i="1" s="1"/>
  <c r="K939" i="1" a="1"/>
  <c r="K939" i="1" s="1"/>
  <c r="M939" i="1" s="1"/>
  <c r="O939" i="1" s="1"/>
  <c r="K351" i="1" a="1"/>
  <c r="K351" i="1" s="1"/>
  <c r="M351" i="1" s="1"/>
  <c r="O351" i="1" s="1"/>
  <c r="K532" i="1" a="1"/>
  <c r="K532" i="1" s="1"/>
  <c r="M532" i="1" s="1"/>
  <c r="O532" i="1" s="1"/>
  <c r="Q532" i="1" s="1"/>
  <c r="K892" i="1" a="1"/>
  <c r="K892" i="1" s="1"/>
  <c r="M892" i="1" s="1"/>
  <c r="O892" i="1" s="1"/>
  <c r="K224" i="1" a="1"/>
  <c r="K224" i="1" s="1"/>
  <c r="M224" i="1" s="1"/>
  <c r="O224" i="1" s="1"/>
  <c r="K999" i="1" a="1"/>
  <c r="K999" i="1" s="1"/>
  <c r="M999" i="1" s="1"/>
  <c r="O999" i="1" s="1"/>
  <c r="K847" i="1" a="1"/>
  <c r="K847" i="1" s="1"/>
  <c r="M847" i="1" s="1"/>
  <c r="O847" i="1" s="1"/>
  <c r="Q847" i="1" s="1"/>
  <c r="R847" i="1" s="1"/>
  <c r="K323" i="1" a="1"/>
  <c r="K323" i="1" s="1"/>
  <c r="M323" i="1" s="1"/>
  <c r="O323" i="1" s="1"/>
  <c r="K916" i="1" a="1"/>
  <c r="K916" i="1" s="1"/>
  <c r="M916" i="1" s="1"/>
  <c r="O916" i="1" s="1"/>
  <c r="K387" i="1" a="1"/>
  <c r="K387" i="1" s="1"/>
  <c r="M387" i="1" s="1"/>
  <c r="O387" i="1" s="1"/>
  <c r="K777" i="1" a="1"/>
  <c r="K777" i="1" s="1"/>
  <c r="M777" i="1" s="1"/>
  <c r="O777" i="1" s="1"/>
  <c r="K345" i="1" a="1"/>
  <c r="K345" i="1" s="1"/>
  <c r="M345" i="1" s="1"/>
  <c r="O345" i="1" s="1"/>
  <c r="K276" i="1" a="1"/>
  <c r="K276" i="1" s="1"/>
  <c r="M276" i="1" s="1"/>
  <c r="O276" i="1" s="1"/>
  <c r="K657" i="1" a="1"/>
  <c r="K657" i="1" s="1"/>
  <c r="M657" i="1" s="1"/>
  <c r="O657" i="1" s="1"/>
  <c r="K230" i="1" a="1"/>
  <c r="K230" i="1" s="1"/>
  <c r="M230" i="1" s="1"/>
  <c r="O230" i="1" s="1"/>
  <c r="K294" i="1" a="1"/>
  <c r="K294" i="1" s="1"/>
  <c r="M294" i="1" s="1"/>
  <c r="O294" i="1" s="1"/>
  <c r="K627" i="1" a="1"/>
  <c r="K627" i="1" s="1"/>
  <c r="M627" i="1" s="1"/>
  <c r="O627" i="1" s="1"/>
  <c r="K166" i="1" a="1"/>
  <c r="K166" i="1" s="1"/>
  <c r="M166" i="1" s="1"/>
  <c r="O166" i="1" s="1"/>
  <c r="K227" i="1" a="1"/>
  <c r="K227" i="1" s="1"/>
  <c r="M227" i="1" s="1"/>
  <c r="O227" i="1" s="1"/>
  <c r="Q227" i="1" s="1"/>
  <c r="K146" i="1" a="1"/>
  <c r="K146" i="1" s="1"/>
  <c r="M146" i="1" s="1"/>
  <c r="O146" i="1" s="1"/>
  <c r="K917" i="1" a="1"/>
  <c r="K917" i="1" s="1"/>
  <c r="M917" i="1" s="1"/>
  <c r="O917" i="1" s="1"/>
  <c r="K1000" i="1" a="1"/>
  <c r="K1000" i="1" s="1"/>
  <c r="M1000" i="1" s="1"/>
  <c r="O1000" i="1" s="1"/>
  <c r="K426" i="1" a="1"/>
  <c r="K426" i="1" s="1"/>
  <c r="M426" i="1" s="1"/>
  <c r="O426" i="1" s="1"/>
  <c r="K620" i="1" a="1"/>
  <c r="K620" i="1" s="1"/>
  <c r="M620" i="1" s="1"/>
  <c r="O620" i="1" s="1"/>
  <c r="K492" i="1" a="1"/>
  <c r="K492" i="1" s="1"/>
  <c r="M492" i="1" s="1"/>
  <c r="O492" i="1" s="1"/>
  <c r="K195" i="1" a="1"/>
  <c r="K195" i="1" s="1"/>
  <c r="M195" i="1" s="1"/>
  <c r="O195" i="1" s="1"/>
  <c r="K44" i="1" a="1"/>
  <c r="K44" i="1" s="1"/>
  <c r="M44" i="1" s="1"/>
  <c r="O44" i="1" s="1"/>
  <c r="K595" i="1" a="1"/>
  <c r="K595" i="1" s="1"/>
  <c r="M595" i="1" s="1"/>
  <c r="O595" i="1" s="1"/>
  <c r="K477" i="1" a="1"/>
  <c r="K477" i="1" s="1"/>
  <c r="M477" i="1" s="1"/>
  <c r="O477" i="1" s="1"/>
  <c r="Q477" i="1" s="1"/>
  <c r="K743" i="1" a="1"/>
  <c r="K743" i="1" s="1"/>
  <c r="M743" i="1" s="1"/>
  <c r="O743" i="1" s="1"/>
  <c r="K99" i="1" a="1"/>
  <c r="K99" i="1" s="1"/>
  <c r="M99" i="1" s="1"/>
  <c r="O99" i="1" s="1"/>
  <c r="K681" i="1" a="1"/>
  <c r="K681" i="1" s="1"/>
  <c r="M681" i="1" s="1"/>
  <c r="O681" i="1" s="1"/>
  <c r="K498" i="1" a="1"/>
  <c r="K498" i="1" s="1"/>
  <c r="M498" i="1" s="1"/>
  <c r="O498" i="1" s="1"/>
  <c r="K124" i="1" a="1"/>
  <c r="K124" i="1" s="1"/>
  <c r="M124" i="1" s="1"/>
  <c r="O124" i="1" s="1"/>
  <c r="K578" i="1" a="1"/>
  <c r="K578" i="1" s="1"/>
  <c r="M578" i="1" s="1"/>
  <c r="O578" i="1" s="1"/>
  <c r="Q578" i="1" s="1"/>
  <c r="K22" i="1" a="1"/>
  <c r="K22" i="1" s="1"/>
  <c r="M22" i="1" s="1"/>
  <c r="O22" i="1" s="1"/>
  <c r="K767" i="1" a="1"/>
  <c r="K767" i="1" s="1"/>
  <c r="M767" i="1" s="1"/>
  <c r="O767" i="1" s="1"/>
  <c r="Q767" i="1" s="1"/>
  <c r="K231" i="1" a="1"/>
  <c r="K231" i="1" s="1"/>
  <c r="M231" i="1" s="1"/>
  <c r="O231" i="1" s="1"/>
  <c r="K257" i="1" a="1"/>
  <c r="K257" i="1" s="1"/>
  <c r="M257" i="1" s="1"/>
  <c r="O257" i="1" s="1"/>
  <c r="Q257" i="1" s="1"/>
  <c r="K52" i="1" a="1"/>
  <c r="K52" i="1" s="1"/>
  <c r="M52" i="1" s="1"/>
  <c r="O52" i="1" s="1"/>
  <c r="K771" i="1" a="1"/>
  <c r="K771" i="1" s="1"/>
  <c r="M771" i="1" s="1"/>
  <c r="O771" i="1" s="1"/>
  <c r="K888" i="1" a="1"/>
  <c r="K888" i="1" s="1"/>
  <c r="M888" i="1" s="1"/>
  <c r="O888" i="1" s="1"/>
  <c r="K702" i="1" a="1"/>
  <c r="K702" i="1" s="1"/>
  <c r="M702" i="1" s="1"/>
  <c r="O702" i="1" s="1"/>
  <c r="K183" i="1" a="1"/>
  <c r="K183" i="1" s="1"/>
  <c r="M183" i="1" s="1"/>
  <c r="O183" i="1" s="1"/>
  <c r="Q183" i="1" s="1"/>
  <c r="K291" i="1" a="1"/>
  <c r="K291" i="1" s="1"/>
  <c r="M291" i="1" s="1"/>
  <c r="O291" i="1" s="1"/>
  <c r="K549" i="1" a="1"/>
  <c r="K549" i="1" s="1"/>
  <c r="M549" i="1" s="1"/>
  <c r="O549" i="1" s="1"/>
  <c r="K479" i="1" a="1"/>
  <c r="K479" i="1" s="1"/>
  <c r="M479" i="1" s="1"/>
  <c r="O479" i="1" s="1"/>
  <c r="K785" i="1" a="1"/>
  <c r="K785" i="1" s="1"/>
  <c r="M785" i="1" s="1"/>
  <c r="O785" i="1" s="1"/>
  <c r="K478" i="1" a="1"/>
  <c r="K478" i="1" s="1"/>
  <c r="M478" i="1" s="1"/>
  <c r="O478" i="1" s="1"/>
  <c r="K653" i="1" a="1"/>
  <c r="K653" i="1" s="1"/>
  <c r="M653" i="1" s="1"/>
  <c r="O653" i="1" s="1"/>
  <c r="K258" i="1" a="1"/>
  <c r="K258" i="1" s="1"/>
  <c r="M258" i="1" s="1"/>
  <c r="O258" i="1" s="1"/>
  <c r="K201" i="1" a="1"/>
  <c r="K201" i="1" s="1"/>
  <c r="M201" i="1" s="1"/>
  <c r="O201" i="1" s="1"/>
  <c r="K643" i="1" a="1"/>
  <c r="K643" i="1" s="1"/>
  <c r="M643" i="1" s="1"/>
  <c r="O643" i="1" s="1"/>
  <c r="K582" i="1" a="1"/>
  <c r="K582" i="1" s="1"/>
  <c r="M582" i="1" s="1"/>
  <c r="O582" i="1" s="1"/>
  <c r="Q582" i="1" s="1"/>
  <c r="K45" i="1" a="1"/>
  <c r="K45" i="1" s="1"/>
  <c r="M45" i="1" s="1"/>
  <c r="O45" i="1" s="1"/>
  <c r="K23" i="1" a="1"/>
  <c r="K23" i="1" s="1"/>
  <c r="M23" i="1" s="1"/>
  <c r="O23" i="1" s="1"/>
  <c r="K579" i="1" a="1"/>
  <c r="K579" i="1" s="1"/>
  <c r="M579" i="1" s="1"/>
  <c r="O579" i="1" s="1"/>
  <c r="K927" i="1" a="1"/>
  <c r="K927" i="1" s="1"/>
  <c r="M927" i="1" s="1"/>
  <c r="O927" i="1" s="1"/>
  <c r="Q927" i="1" s="1"/>
  <c r="K140" i="1" a="1"/>
  <c r="K140" i="1" s="1"/>
  <c r="M140" i="1" s="1"/>
  <c r="O140" i="1" s="1"/>
  <c r="Q140" i="1" s="1"/>
  <c r="R140" i="1" s="1"/>
  <c r="K759" i="1" a="1"/>
  <c r="K759" i="1" s="1"/>
  <c r="M759" i="1" s="1"/>
  <c r="O759" i="1" s="1"/>
  <c r="K867" i="1" a="1"/>
  <c r="K867" i="1" s="1"/>
  <c r="M867" i="1" s="1"/>
  <c r="O867" i="1" s="1"/>
  <c r="K711" i="1" a="1"/>
  <c r="K711" i="1" s="1"/>
  <c r="M711" i="1" s="1"/>
  <c r="O711" i="1" s="1"/>
  <c r="K281" i="1" a="1"/>
  <c r="K281" i="1" s="1"/>
  <c r="M281" i="1" s="1"/>
  <c r="O281" i="1" s="1"/>
  <c r="K691" i="1" a="1"/>
  <c r="K691" i="1" s="1"/>
  <c r="M691" i="1" s="1"/>
  <c r="O691" i="1" s="1"/>
  <c r="K390" i="1" a="1"/>
  <c r="K390" i="1" s="1"/>
  <c r="M390" i="1" s="1"/>
  <c r="O390" i="1" s="1"/>
  <c r="K830" i="1" a="1"/>
  <c r="K830" i="1" s="1"/>
  <c r="M830" i="1" s="1"/>
  <c r="O830" i="1" s="1"/>
  <c r="K444" i="1" a="1"/>
  <c r="K444" i="1" s="1"/>
  <c r="M444" i="1" s="1"/>
  <c r="O444" i="1" s="1"/>
  <c r="Q444" i="1" s="1"/>
  <c r="R444" i="1" s="1"/>
  <c r="K772" i="1" a="1"/>
  <c r="K772" i="1" s="1"/>
  <c r="M772" i="1" s="1"/>
  <c r="O772" i="1" s="1"/>
  <c r="K152" i="1" a="1"/>
  <c r="K152" i="1" s="1"/>
  <c r="M152" i="1" s="1"/>
  <c r="O152" i="1" s="1"/>
  <c r="Q152" i="1" s="1"/>
  <c r="K245" i="1" a="1"/>
  <c r="K245" i="1" s="1"/>
  <c r="M245" i="1" s="1"/>
  <c r="O245" i="1" s="1"/>
  <c r="K614" i="1" a="1"/>
  <c r="K614" i="1" s="1"/>
  <c r="M614" i="1" s="1"/>
  <c r="O614" i="1" s="1"/>
  <c r="K768" i="1" a="1"/>
  <c r="K768" i="1" s="1"/>
  <c r="M768" i="1" s="1"/>
  <c r="O768" i="1" s="1"/>
  <c r="K650" i="1" a="1"/>
  <c r="K650" i="1" s="1"/>
  <c r="M650" i="1" s="1"/>
  <c r="O650" i="1" s="1"/>
  <c r="K564" i="1" a="1"/>
  <c r="K564" i="1" s="1"/>
  <c r="M564" i="1" s="1"/>
  <c r="O564" i="1" s="1"/>
  <c r="K202" i="1" a="1"/>
  <c r="K202" i="1" s="1"/>
  <c r="M202" i="1" s="1"/>
  <c r="O202" i="1" s="1"/>
  <c r="K526" i="1" a="1"/>
  <c r="K526" i="1" s="1"/>
  <c r="M526" i="1" s="1"/>
  <c r="O526" i="1" s="1"/>
  <c r="K277" i="1" a="1"/>
  <c r="K277" i="1" s="1"/>
  <c r="M277" i="1" s="1"/>
  <c r="O277" i="1" s="1"/>
  <c r="K393" i="1" a="1"/>
  <c r="K393" i="1" s="1"/>
  <c r="M393" i="1" s="1"/>
  <c r="O393" i="1" s="1"/>
  <c r="K32" i="1" a="1"/>
  <c r="K32" i="1" s="1"/>
  <c r="M32" i="1" s="1"/>
  <c r="O32" i="1" s="1"/>
  <c r="Q32" i="1" s="1"/>
  <c r="K780" i="1" a="1"/>
  <c r="K780" i="1" s="1"/>
  <c r="M780" i="1" s="1"/>
  <c r="O780" i="1" s="1"/>
  <c r="K69" i="1" a="1"/>
  <c r="K69" i="1" s="1"/>
  <c r="M69" i="1" s="1"/>
  <c r="O69" i="1" s="1"/>
  <c r="K372" i="1" a="1"/>
  <c r="K372" i="1" s="1"/>
  <c r="M372" i="1" s="1"/>
  <c r="O372" i="1" s="1"/>
  <c r="K908" i="1" a="1"/>
  <c r="K908" i="1" s="1"/>
  <c r="M908" i="1" s="1"/>
  <c r="O908" i="1" s="1"/>
  <c r="Q908" i="1" s="1"/>
  <c r="K844" i="1" a="1"/>
  <c r="K844" i="1" s="1"/>
  <c r="M844" i="1" s="1"/>
  <c r="O844" i="1" s="1"/>
  <c r="K427" i="1" a="1"/>
  <c r="K427" i="1" s="1"/>
  <c r="M427" i="1" s="1"/>
  <c r="O427" i="1" s="1"/>
  <c r="K519" i="1" a="1"/>
  <c r="K519" i="1" s="1"/>
  <c r="M519" i="1" s="1"/>
  <c r="O519" i="1" s="1"/>
  <c r="K255" i="1" a="1"/>
  <c r="K255" i="1" s="1"/>
  <c r="M255" i="1" s="1"/>
  <c r="O255" i="1" s="1"/>
  <c r="Q255" i="1" s="1"/>
  <c r="K898" i="1" a="1"/>
  <c r="K898" i="1" s="1"/>
  <c r="M898" i="1" s="1"/>
  <c r="O898" i="1" s="1"/>
  <c r="K284" i="1" a="1"/>
  <c r="K284" i="1" s="1"/>
  <c r="M284" i="1" s="1"/>
  <c r="O284" i="1" s="1"/>
  <c r="K868" i="1" a="1"/>
  <c r="K868" i="1" s="1"/>
  <c r="M868" i="1" s="1"/>
  <c r="O868" i="1" s="1"/>
  <c r="K715" i="1" a="1"/>
  <c r="K715" i="1" s="1"/>
  <c r="M715" i="1" s="1"/>
  <c r="O715" i="1" s="1"/>
  <c r="K808" i="1" a="1"/>
  <c r="K808" i="1" s="1"/>
  <c r="M808" i="1" s="1"/>
  <c r="O808" i="1" s="1"/>
  <c r="K654" i="1" a="1"/>
  <c r="K654" i="1" s="1"/>
  <c r="M654" i="1" s="1"/>
  <c r="O654" i="1" s="1"/>
  <c r="K119" i="1" a="1"/>
  <c r="K119" i="1" s="1"/>
  <c r="M119" i="1" s="1"/>
  <c r="O119" i="1" s="1"/>
  <c r="K61" i="1" a="1"/>
  <c r="K61" i="1" s="1"/>
  <c r="M61" i="1" s="1"/>
  <c r="O61" i="1" s="1"/>
  <c r="Q61" i="1" s="1"/>
  <c r="K690" i="1" a="1"/>
  <c r="K690" i="1" s="1"/>
  <c r="M690" i="1" s="1"/>
  <c r="O690" i="1" s="1"/>
  <c r="K133" i="1" a="1"/>
  <c r="K133" i="1" s="1"/>
  <c r="M133" i="1" s="1"/>
  <c r="O133" i="1" s="1"/>
  <c r="K472" i="1" a="1"/>
  <c r="K472" i="1" s="1"/>
  <c r="M472" i="1" s="1"/>
  <c r="O472" i="1" s="1"/>
  <c r="K628" i="1" a="1"/>
  <c r="K628" i="1" s="1"/>
  <c r="M628" i="1" s="1"/>
  <c r="O628" i="1" s="1"/>
  <c r="Q628" i="1" s="1"/>
  <c r="R628" i="1" s="1"/>
  <c r="K503" i="1" a="1"/>
  <c r="K503" i="1" s="1"/>
  <c r="M503" i="1" s="1"/>
  <c r="O503" i="1" s="1"/>
  <c r="K36" i="1" a="1"/>
  <c r="K36" i="1" s="1"/>
  <c r="M36" i="1" s="1"/>
  <c r="O36" i="1" s="1"/>
  <c r="K831" i="1" a="1"/>
  <c r="K831" i="1" s="1"/>
  <c r="M831" i="1" s="1"/>
  <c r="O831" i="1" s="1"/>
  <c r="Q831" i="1" s="1"/>
  <c r="R831" i="1" s="1"/>
  <c r="K923" i="1" a="1"/>
  <c r="K923" i="1" s="1"/>
  <c r="M923" i="1" s="1"/>
  <c r="O923" i="1" s="1"/>
  <c r="Q923" i="1" s="1"/>
  <c r="R923" i="1" s="1"/>
  <c r="K598" i="1" a="1"/>
  <c r="K598" i="1" s="1"/>
  <c r="M598" i="1" s="1"/>
  <c r="O598" i="1" s="1"/>
  <c r="K987" i="1" a="1"/>
  <c r="K987" i="1" s="1"/>
  <c r="M987" i="1" s="1"/>
  <c r="O987" i="1" s="1"/>
  <c r="K405" i="1" a="1"/>
  <c r="K405" i="1" s="1"/>
  <c r="M405" i="1" s="1"/>
  <c r="O405" i="1" s="1"/>
  <c r="K530" i="1" a="1"/>
  <c r="K530" i="1" s="1"/>
  <c r="M530" i="1" s="1"/>
  <c r="O530" i="1" s="1"/>
  <c r="K893" i="1" a="1"/>
  <c r="K893" i="1" s="1"/>
  <c r="M893" i="1" s="1"/>
  <c r="O893" i="1" s="1"/>
  <c r="K520" i="1" a="1"/>
  <c r="K520" i="1" s="1"/>
  <c r="M520" i="1" s="1"/>
  <c r="O520" i="1" s="1"/>
  <c r="K967" i="1" a="1"/>
  <c r="K967" i="1" s="1"/>
  <c r="M967" i="1" s="1"/>
  <c r="O967" i="1" s="1"/>
  <c r="K352" i="1" a="1"/>
  <c r="K352" i="1" s="1"/>
  <c r="M352" i="1" s="1"/>
  <c r="O352" i="1" s="1"/>
  <c r="K543" i="1" a="1"/>
  <c r="K543" i="1" s="1"/>
  <c r="M543" i="1" s="1"/>
  <c r="O543" i="1" s="1"/>
  <c r="K792" i="1" a="1"/>
  <c r="K792" i="1" s="1"/>
  <c r="M792" i="1" s="1"/>
  <c r="O792" i="1" s="1"/>
  <c r="K49" i="1" a="1"/>
  <c r="K49" i="1" s="1"/>
  <c r="M49" i="1" s="1"/>
  <c r="O49" i="1" s="1"/>
  <c r="K909" i="1" a="1"/>
  <c r="K909" i="1" s="1"/>
  <c r="M909" i="1" s="1"/>
  <c r="O909" i="1" s="1"/>
  <c r="K937" i="1" a="1"/>
  <c r="K937" i="1" s="1"/>
  <c r="M937" i="1" s="1"/>
  <c r="O937" i="1" s="1"/>
  <c r="K677" i="1" a="1"/>
  <c r="K677" i="1" s="1"/>
  <c r="M677" i="1" s="1"/>
  <c r="O677" i="1" s="1"/>
  <c r="K599" i="1" a="1"/>
  <c r="K599" i="1" s="1"/>
  <c r="M599" i="1" s="1"/>
  <c r="O599" i="1" s="1"/>
  <c r="Q599" i="1" s="1"/>
  <c r="K817" i="1" a="1"/>
  <c r="K817" i="1" s="1"/>
  <c r="M817" i="1" s="1"/>
  <c r="O817" i="1" s="1"/>
  <c r="K31" i="1" a="1"/>
  <c r="K31" i="1" s="1"/>
  <c r="M31" i="1" s="1"/>
  <c r="O31" i="1" s="1"/>
  <c r="K2" i="1" a="1"/>
  <c r="K2" i="1" s="1"/>
  <c r="M2" i="1" s="1"/>
  <c r="O2" i="1" s="1"/>
  <c r="K633" i="1" a="1"/>
  <c r="K633" i="1" s="1"/>
  <c r="M633" i="1" s="1"/>
  <c r="O633" i="1" s="1"/>
  <c r="K904" i="1" a="1"/>
  <c r="K904" i="1" s="1"/>
  <c r="M904" i="1" s="1"/>
  <c r="O904" i="1" s="1"/>
  <c r="Q904" i="1" s="1"/>
  <c r="R904" i="1" s="1"/>
  <c r="K670" i="1" a="1"/>
  <c r="K670" i="1" s="1"/>
  <c r="M670" i="1" s="1"/>
  <c r="O670" i="1" s="1"/>
  <c r="K48" i="1" a="1"/>
  <c r="K48" i="1" s="1"/>
  <c r="M48" i="1" s="1"/>
  <c r="O48" i="1" s="1"/>
  <c r="Q48" i="1" s="1"/>
  <c r="K42" i="1" a="1"/>
  <c r="K42" i="1" s="1"/>
  <c r="M42" i="1" s="1"/>
  <c r="O42" i="1" s="1"/>
  <c r="K62" i="1" a="1"/>
  <c r="K62" i="1" s="1"/>
  <c r="M62" i="1" s="1"/>
  <c r="O62" i="1" s="1"/>
  <c r="K94" i="1" a="1"/>
  <c r="K94" i="1" s="1"/>
  <c r="M94" i="1" s="1"/>
  <c r="O94" i="1" s="1"/>
  <c r="K271" i="1" a="1"/>
  <c r="K271" i="1" s="1"/>
  <c r="M271" i="1" s="1"/>
  <c r="O271" i="1" s="1"/>
  <c r="K975" i="1" a="1"/>
  <c r="K975" i="1" s="1"/>
  <c r="M975" i="1" s="1"/>
  <c r="O975" i="1" s="1"/>
  <c r="K100" i="1" a="1"/>
  <c r="K100" i="1" s="1"/>
  <c r="M100" i="1" s="1"/>
  <c r="O100" i="1" s="1"/>
  <c r="Q100" i="1" s="1"/>
  <c r="K811" i="1" a="1"/>
  <c r="K811" i="1" s="1"/>
  <c r="M811" i="1" s="1"/>
  <c r="O811" i="1" s="1"/>
  <c r="K703" i="1" a="1"/>
  <c r="K703" i="1" s="1"/>
  <c r="M703" i="1" s="1"/>
  <c r="O703" i="1" s="1"/>
  <c r="Q703" i="1" s="1"/>
  <c r="K488" i="1" a="1"/>
  <c r="K488" i="1" s="1"/>
  <c r="M488" i="1" s="1"/>
  <c r="O488" i="1" s="1"/>
  <c r="K303" i="1" a="1"/>
  <c r="K303" i="1" s="1"/>
  <c r="M303" i="1" s="1"/>
  <c r="O303" i="1" s="1"/>
  <c r="Q303" i="1" s="1"/>
  <c r="K422" i="1" a="1"/>
  <c r="K422" i="1" s="1"/>
  <c r="M422" i="1" s="1"/>
  <c r="O422" i="1" s="1"/>
  <c r="K554" i="1" a="1"/>
  <c r="K554" i="1" s="1"/>
  <c r="M554" i="1" s="1"/>
  <c r="O554" i="1" s="1"/>
  <c r="Y554" i="1" s="1"/>
  <c r="K687" i="1" a="1"/>
  <c r="K687" i="1" s="1"/>
  <c r="M687" i="1" s="1"/>
  <c r="O687" i="1" s="1"/>
  <c r="K43" i="1" a="1"/>
  <c r="K43" i="1" s="1"/>
  <c r="M43" i="1" s="1"/>
  <c r="O43" i="1" s="1"/>
  <c r="K114" i="1" a="1"/>
  <c r="K114" i="1" s="1"/>
  <c r="M114" i="1" s="1"/>
  <c r="O114" i="1" s="1"/>
  <c r="Q114" i="1" s="1"/>
  <c r="K555" i="1" a="1"/>
  <c r="K555" i="1" s="1"/>
  <c r="M555" i="1" s="1"/>
  <c r="O555" i="1" s="1"/>
  <c r="K858" i="1" a="1"/>
  <c r="K858" i="1" s="1"/>
  <c r="M858" i="1" s="1"/>
  <c r="O858" i="1" s="1"/>
  <c r="Q858" i="1" s="1"/>
  <c r="K442" i="1" a="1"/>
  <c r="K442" i="1" s="1"/>
  <c r="M442" i="1" s="1"/>
  <c r="O442" i="1" s="1"/>
  <c r="K580" i="1" a="1"/>
  <c r="K580" i="1" s="1"/>
  <c r="M580" i="1" s="1"/>
  <c r="O580" i="1" s="1"/>
  <c r="K641" i="1" a="1"/>
  <c r="K641" i="1" s="1"/>
  <c r="M641" i="1" s="1"/>
  <c r="O641" i="1" s="1"/>
  <c r="K225" i="1" a="1"/>
  <c r="K225" i="1" s="1"/>
  <c r="M225" i="1" s="1"/>
  <c r="O225" i="1" s="1"/>
  <c r="K75" i="1" a="1"/>
  <c r="K75" i="1" s="1"/>
  <c r="M75" i="1" s="1"/>
  <c r="O75" i="1" s="1"/>
  <c r="K120" i="1" a="1"/>
  <c r="K120" i="1" s="1"/>
  <c r="M120" i="1" s="1"/>
  <c r="O120" i="1" s="1"/>
  <c r="K637" i="1" a="1"/>
  <c r="K637" i="1" s="1"/>
  <c r="M637" i="1" s="1"/>
  <c r="O637" i="1" s="1"/>
  <c r="K185" i="1" a="1"/>
  <c r="K185" i="1" s="1"/>
  <c r="M185" i="1" s="1"/>
  <c r="O185" i="1" s="1"/>
  <c r="K623" i="1" a="1"/>
  <c r="K623" i="1" s="1"/>
  <c r="M623" i="1" s="1"/>
  <c r="O623" i="1" s="1"/>
  <c r="K952" i="1" a="1"/>
  <c r="K952" i="1" s="1"/>
  <c r="M952" i="1" s="1"/>
  <c r="O952" i="1" s="1"/>
  <c r="K571" i="1" a="1"/>
  <c r="K571" i="1" s="1"/>
  <c r="M571" i="1" s="1"/>
  <c r="O571" i="1" s="1"/>
  <c r="K159" i="1" a="1"/>
  <c r="K159" i="1" s="1"/>
  <c r="M159" i="1" s="1"/>
  <c r="O159" i="1" s="1"/>
  <c r="Q159" i="1" s="1"/>
  <c r="K741" i="1" a="1"/>
  <c r="K741" i="1" s="1"/>
  <c r="M741" i="1" s="1"/>
  <c r="O741" i="1" s="1"/>
  <c r="Q741" i="1" s="1"/>
  <c r="R741" i="1" s="1"/>
  <c r="K910" i="1" a="1"/>
  <c r="K910" i="1" s="1"/>
  <c r="M910" i="1" s="1"/>
  <c r="O910" i="1" s="1"/>
  <c r="K750" i="1" a="1"/>
  <c r="K750" i="1" s="1"/>
  <c r="M750" i="1" s="1"/>
  <c r="O750" i="1" s="1"/>
  <c r="K12" i="1" a="1"/>
  <c r="K12" i="1" s="1"/>
  <c r="M12" i="1" s="1"/>
  <c r="O12" i="1" s="1"/>
  <c r="K209" i="1" a="1"/>
  <c r="K209" i="1" s="1"/>
  <c r="M209" i="1" s="1"/>
  <c r="O209" i="1" s="1"/>
  <c r="K265" i="1" a="1"/>
  <c r="K265" i="1" s="1"/>
  <c r="M265" i="1" s="1"/>
  <c r="O265" i="1" s="1"/>
  <c r="K651" i="1" a="1"/>
  <c r="K651" i="1" s="1"/>
  <c r="M651" i="1" s="1"/>
  <c r="O651" i="1" s="1"/>
  <c r="K259" i="1" a="1"/>
  <c r="K259" i="1" s="1"/>
  <c r="M259" i="1" s="1"/>
  <c r="O259" i="1" s="1"/>
  <c r="K361" i="1" a="1"/>
  <c r="K361" i="1" s="1"/>
  <c r="M361" i="1" s="1"/>
  <c r="O361" i="1" s="1"/>
  <c r="K299" i="1" a="1"/>
  <c r="K299" i="1" s="1"/>
  <c r="M299" i="1" s="1"/>
  <c r="O299" i="1" s="1"/>
  <c r="K805" i="1" a="1"/>
  <c r="K805" i="1" s="1"/>
  <c r="M805" i="1" s="1"/>
  <c r="O805" i="1" s="1"/>
  <c r="K920" i="1" a="1"/>
  <c r="K920" i="1" s="1"/>
  <c r="M920" i="1" s="1"/>
  <c r="O920" i="1" s="1"/>
  <c r="K600" i="1" a="1"/>
  <c r="K600" i="1" s="1"/>
  <c r="M600" i="1" s="1"/>
  <c r="O600" i="1" s="1"/>
  <c r="Q600" i="1" s="1"/>
  <c r="K565" i="1" a="1"/>
  <c r="K565" i="1" s="1"/>
  <c r="M565" i="1" s="1"/>
  <c r="O565" i="1" s="1"/>
  <c r="K19" i="1" a="1"/>
  <c r="K19" i="1" s="1"/>
  <c r="M19" i="1" s="1"/>
  <c r="O19" i="1" s="1"/>
  <c r="K737" i="1" a="1"/>
  <c r="K737" i="1" s="1"/>
  <c r="M737" i="1" s="1"/>
  <c r="O737" i="1" s="1"/>
  <c r="K435" i="1" a="1"/>
  <c r="K435" i="1" s="1"/>
  <c r="M435" i="1" s="1"/>
  <c r="O435" i="1" s="1"/>
  <c r="K203" i="1" a="1"/>
  <c r="K203" i="1" s="1"/>
  <c r="M203" i="1" s="1"/>
  <c r="O203" i="1" s="1"/>
  <c r="K638" i="1" a="1"/>
  <c r="K638" i="1" s="1"/>
  <c r="M638" i="1" s="1"/>
  <c r="O638" i="1" s="1"/>
  <c r="K924" i="1" a="1"/>
  <c r="K924" i="1" s="1"/>
  <c r="M924" i="1" s="1"/>
  <c r="O924" i="1" s="1"/>
  <c r="Q924" i="1" s="1"/>
  <c r="K90" i="1" a="1"/>
  <c r="K90" i="1" s="1"/>
  <c r="M90" i="1" s="1"/>
  <c r="O90" i="1" s="1"/>
  <c r="Q90" i="1" s="1"/>
  <c r="K499" i="1" a="1"/>
  <c r="K499" i="1" s="1"/>
  <c r="M499" i="1" s="1"/>
  <c r="O499" i="1" s="1"/>
  <c r="K287" i="1" a="1"/>
  <c r="K287" i="1" s="1"/>
  <c r="M287" i="1" s="1"/>
  <c r="O287" i="1" s="1"/>
  <c r="K684" i="1" a="1"/>
  <c r="K684" i="1" s="1"/>
  <c r="M684" i="1" s="1"/>
  <c r="O684" i="1" s="1"/>
  <c r="K875" i="1" a="1"/>
  <c r="K875" i="1" s="1"/>
  <c r="M875" i="1" s="1"/>
  <c r="O875" i="1" s="1"/>
  <c r="K428" i="1" a="1"/>
  <c r="K428" i="1" s="1"/>
  <c r="M428" i="1" s="1"/>
  <c r="O428" i="1" s="1"/>
  <c r="K41" i="1" a="1"/>
  <c r="K41" i="1" s="1"/>
  <c r="M41" i="1" s="1"/>
  <c r="O41" i="1" s="1"/>
  <c r="K662" i="1" a="1"/>
  <c r="K662" i="1" s="1"/>
  <c r="M662" i="1" s="1"/>
  <c r="O662" i="1" s="1"/>
  <c r="Q662" i="1" s="1"/>
  <c r="K278" i="1" a="1"/>
  <c r="K278" i="1" s="1"/>
  <c r="M278" i="1" s="1"/>
  <c r="O278" i="1" s="1"/>
  <c r="Q278" i="1" s="1"/>
  <c r="R278" i="1" s="1"/>
  <c r="K39" i="1" a="1"/>
  <c r="K39" i="1" s="1"/>
  <c r="M39" i="1" s="1"/>
  <c r="O39" i="1" s="1"/>
  <c r="K979" i="1" a="1"/>
  <c r="K979" i="1" s="1"/>
  <c r="M979" i="1" s="1"/>
  <c r="O979" i="1" s="1"/>
  <c r="K252" i="1" a="1"/>
  <c r="K252" i="1" s="1"/>
  <c r="M252" i="1" s="1"/>
  <c r="O252" i="1" s="1"/>
  <c r="Q252" i="1" s="1"/>
  <c r="K115" i="1" a="1"/>
  <c r="K115" i="1" s="1"/>
  <c r="M115" i="1" s="1"/>
  <c r="O115" i="1" s="1"/>
  <c r="Q115" i="1" s="1"/>
  <c r="R115" i="1" s="1"/>
  <c r="K300" i="1" a="1"/>
  <c r="K300" i="1" s="1"/>
  <c r="M300" i="1" s="1"/>
  <c r="O300" i="1" s="1"/>
  <c r="K188" i="1" a="1"/>
  <c r="K188" i="1" s="1"/>
  <c r="M188" i="1" s="1"/>
  <c r="O188" i="1" s="1"/>
  <c r="K91" i="1" a="1"/>
  <c r="K91" i="1" s="1"/>
  <c r="M91" i="1" s="1"/>
  <c r="O91" i="1" s="1"/>
  <c r="K282" i="1" a="1"/>
  <c r="K282" i="1" s="1"/>
  <c r="M282" i="1" s="1"/>
  <c r="O282" i="1" s="1"/>
  <c r="K692" i="1" a="1"/>
  <c r="K692" i="1" s="1"/>
  <c r="M692" i="1" s="1"/>
  <c r="O692" i="1" s="1"/>
  <c r="K6" i="1" a="1"/>
  <c r="K6" i="1" s="1"/>
  <c r="M6" i="1" s="1"/>
  <c r="O6" i="1" s="1"/>
  <c r="K216" i="1" a="1"/>
  <c r="K216" i="1" s="1"/>
  <c r="M216" i="1" s="1"/>
  <c r="O216" i="1" s="1"/>
  <c r="K546" i="1" a="1"/>
  <c r="K546" i="1" s="1"/>
  <c r="M546" i="1" s="1"/>
  <c r="O546" i="1" s="1"/>
  <c r="K824" i="1" a="1"/>
  <c r="K824" i="1" s="1"/>
  <c r="M824" i="1" s="1"/>
  <c r="O824" i="1" s="1"/>
  <c r="K305" i="1" a="1"/>
  <c r="K305" i="1" s="1"/>
  <c r="M305" i="1" s="1"/>
  <c r="O305" i="1" s="1"/>
  <c r="K712" i="1" a="1"/>
  <c r="K712" i="1" s="1"/>
  <c r="M712" i="1" s="1"/>
  <c r="O712" i="1" s="1"/>
  <c r="Q712" i="1" s="1"/>
  <c r="K413" i="1" a="1"/>
  <c r="K413" i="1" s="1"/>
  <c r="M413" i="1" s="1"/>
  <c r="O413" i="1" s="1"/>
  <c r="K228" i="1" a="1"/>
  <c r="K228" i="1" s="1"/>
  <c r="M228" i="1" s="1"/>
  <c r="O228" i="1" s="1"/>
  <c r="K162" i="1" a="1"/>
  <c r="K162" i="1" s="1"/>
  <c r="M162" i="1" s="1"/>
  <c r="O162" i="1" s="1"/>
  <c r="K940" i="1" a="1"/>
  <c r="K940" i="1" s="1"/>
  <c r="M940" i="1" s="1"/>
  <c r="O940" i="1" s="1"/>
  <c r="K583" i="1" a="1"/>
  <c r="K583" i="1" s="1"/>
  <c r="M583" i="1" s="1"/>
  <c r="O583" i="1" s="1"/>
  <c r="K106" i="1" a="1"/>
  <c r="K106" i="1" s="1"/>
  <c r="M106" i="1" s="1"/>
  <c r="O106" i="1" s="1"/>
  <c r="K911" i="1" a="1"/>
  <c r="K911" i="1" s="1"/>
  <c r="M911" i="1" s="1"/>
  <c r="O911" i="1" s="1"/>
  <c r="K938" i="1" a="1"/>
  <c r="K938" i="1" s="1"/>
  <c r="M938" i="1" s="1"/>
  <c r="O938" i="1" s="1"/>
  <c r="Q938" i="1" s="1"/>
  <c r="K832" i="1" a="1"/>
  <c r="K832" i="1" s="1"/>
  <c r="M832" i="1" s="1"/>
  <c r="O832" i="1" s="1"/>
  <c r="Q832" i="1" s="1"/>
  <c r="K373" i="1" a="1"/>
  <c r="K373" i="1" s="1"/>
  <c r="M373" i="1" s="1"/>
  <c r="O373" i="1" s="1"/>
  <c r="K876" i="1" a="1"/>
  <c r="K876" i="1" s="1"/>
  <c r="M876" i="1" s="1"/>
  <c r="O876" i="1" s="1"/>
  <c r="K621" i="1" a="1"/>
  <c r="K621" i="1" s="1"/>
  <c r="M621" i="1" s="1"/>
  <c r="O621" i="1" s="1"/>
  <c r="Q621" i="1" s="1"/>
  <c r="K86" i="1" a="1"/>
  <c r="K86" i="1" s="1"/>
  <c r="M86" i="1" s="1"/>
  <c r="O86" i="1" s="1"/>
  <c r="K980" i="1" a="1"/>
  <c r="K980" i="1" s="1"/>
  <c r="M980" i="1" s="1"/>
  <c r="O980" i="1" s="1"/>
  <c r="K948" i="1" a="1"/>
  <c r="K948" i="1" s="1"/>
  <c r="M948" i="1" s="1"/>
  <c r="O948" i="1" s="1"/>
  <c r="K101" i="1" a="1"/>
  <c r="K101" i="1" s="1"/>
  <c r="M101" i="1" s="1"/>
  <c r="O101" i="1" s="1"/>
  <c r="K732" i="1" a="1"/>
  <c r="K732" i="1" s="1"/>
  <c r="M732" i="1" s="1"/>
  <c r="O732" i="1" s="1"/>
  <c r="Q732" i="1" s="1"/>
  <c r="K317" i="1" a="1"/>
  <c r="K317" i="1" s="1"/>
  <c r="M317" i="1" s="1"/>
  <c r="O317" i="1" s="1"/>
  <c r="K402" i="1" a="1"/>
  <c r="K402" i="1" s="1"/>
  <c r="M402" i="1" s="1"/>
  <c r="O402" i="1" s="1"/>
  <c r="K163" i="1" a="1"/>
  <c r="K163" i="1" s="1"/>
  <c r="M163" i="1" s="1"/>
  <c r="O163" i="1" s="1"/>
  <c r="K622" i="1" a="1"/>
  <c r="K622" i="1" s="1"/>
  <c r="M622" i="1" s="1"/>
  <c r="O622" i="1" s="1"/>
  <c r="K378" i="1" a="1"/>
  <c r="K378" i="1" s="1"/>
  <c r="M378" i="1" s="1"/>
  <c r="O378" i="1" s="1"/>
  <c r="K204" i="1" a="1"/>
  <c r="K204" i="1" s="1"/>
  <c r="M204" i="1" s="1"/>
  <c r="O204" i="1" s="1"/>
  <c r="Q204" i="1" s="1"/>
  <c r="K236" i="1" a="1"/>
  <c r="K236" i="1" s="1"/>
  <c r="M236" i="1" s="1"/>
  <c r="O236" i="1" s="1"/>
  <c r="K329" i="1" a="1"/>
  <c r="K329" i="1" s="1"/>
  <c r="M329" i="1" s="1"/>
  <c r="O329" i="1" s="1"/>
  <c r="K288" i="1" a="1"/>
  <c r="K288" i="1" s="1"/>
  <c r="M288" i="1" s="1"/>
  <c r="O288" i="1" s="1"/>
  <c r="K729" i="1" a="1"/>
  <c r="K729" i="1" s="1"/>
  <c r="M729" i="1" s="1"/>
  <c r="O729" i="1" s="1"/>
  <c r="K3" i="1" a="1"/>
  <c r="K3" i="1" s="1"/>
  <c r="M3" i="1" s="1"/>
  <c r="O3" i="1" s="1"/>
  <c r="K547" i="1" a="1"/>
  <c r="K547" i="1" s="1"/>
  <c r="M547" i="1" s="1"/>
  <c r="O547" i="1" s="1"/>
  <c r="Q547" i="1" s="1"/>
  <c r="K266" i="1" a="1"/>
  <c r="K266" i="1" s="1"/>
  <c r="M266" i="1" s="1"/>
  <c r="O266" i="1" s="1"/>
  <c r="Q266" i="1" s="1"/>
  <c r="K168" i="1" a="1"/>
  <c r="K168" i="1" s="1"/>
  <c r="M168" i="1" s="1"/>
  <c r="O168" i="1" s="1"/>
  <c r="K591" i="1" a="1"/>
  <c r="K591" i="1" s="1"/>
  <c r="M591" i="1" s="1"/>
  <c r="O591" i="1" s="1"/>
  <c r="K548" i="1" a="1"/>
  <c r="K548" i="1" s="1"/>
  <c r="M548" i="1" s="1"/>
  <c r="O548" i="1" s="1"/>
  <c r="K243" i="1" a="1"/>
  <c r="K243" i="1" s="1"/>
  <c r="M243" i="1" s="1"/>
  <c r="O243" i="1" s="1"/>
  <c r="K540" i="1" a="1"/>
  <c r="K540" i="1" s="1"/>
  <c r="M540" i="1" s="1"/>
  <c r="O540" i="1" s="1"/>
  <c r="K142" i="1" a="1"/>
  <c r="K142" i="1" s="1"/>
  <c r="M142" i="1" s="1"/>
  <c r="O142" i="1" s="1"/>
  <c r="K509" i="1" a="1"/>
  <c r="K509" i="1" s="1"/>
  <c r="M509" i="1" s="1"/>
  <c r="O509" i="1" s="1"/>
  <c r="K63" i="1" a="1"/>
  <c r="K63" i="1" s="1"/>
  <c r="M63" i="1" s="1"/>
  <c r="O63" i="1" s="1"/>
  <c r="K134" i="1" a="1"/>
  <c r="K134" i="1" s="1"/>
  <c r="M134" i="1" s="1"/>
  <c r="O134" i="1" s="1"/>
  <c r="K572" i="1" a="1"/>
  <c r="K572" i="1" s="1"/>
  <c r="M572" i="1" s="1"/>
  <c r="O572" i="1" s="1"/>
  <c r="Q572" i="1" s="1"/>
  <c r="R572" i="1" s="1"/>
  <c r="K786" i="1" a="1"/>
  <c r="K786" i="1" s="1"/>
  <c r="M786" i="1" s="1"/>
  <c r="O786" i="1" s="1"/>
  <c r="Q786" i="1" s="1"/>
  <c r="K33" i="1" a="1"/>
  <c r="K33" i="1" s="1"/>
  <c r="M33" i="1" s="1"/>
  <c r="O33" i="1" s="1"/>
  <c r="K13" i="1" a="1"/>
  <c r="K13" i="1" s="1"/>
  <c r="M13" i="1" s="1"/>
  <c r="O13" i="1" s="1"/>
  <c r="K778" i="1" a="1"/>
  <c r="K778" i="1" s="1"/>
  <c r="M778" i="1" s="1"/>
  <c r="O778" i="1" s="1"/>
  <c r="K544" i="1" a="1"/>
  <c r="K544" i="1" s="1"/>
  <c r="M544" i="1" s="1"/>
  <c r="O544" i="1" s="1"/>
  <c r="Q544" i="1" s="1"/>
  <c r="K4" i="1" a="1"/>
  <c r="K4" i="1" s="1"/>
  <c r="M4" i="1" s="1"/>
  <c r="O4" i="1" s="1"/>
  <c r="Q4" i="1" s="1"/>
  <c r="K80" i="1" a="1"/>
  <c r="K80" i="1" s="1"/>
  <c r="M80" i="1" s="1"/>
  <c r="O80" i="1" s="1"/>
  <c r="K601" i="1" a="1"/>
  <c r="K601" i="1" s="1"/>
  <c r="M601" i="1" s="1"/>
  <c r="O601" i="1" s="1"/>
  <c r="K111" i="1" a="1"/>
  <c r="K111" i="1" s="1"/>
  <c r="M111" i="1" s="1"/>
  <c r="O111" i="1" s="1"/>
  <c r="K102" i="1" a="1"/>
  <c r="K102" i="1" s="1"/>
  <c r="M102" i="1" s="1"/>
  <c r="O102" i="1" s="1"/>
  <c r="K394" i="1" a="1"/>
  <c r="K394" i="1" s="1"/>
  <c r="M394" i="1" s="1"/>
  <c r="O394" i="1" s="1"/>
  <c r="K616" i="1" a="1"/>
  <c r="K616" i="1" s="1"/>
  <c r="M616" i="1" s="1"/>
  <c r="O616" i="1" s="1"/>
  <c r="K385" i="1" a="1"/>
  <c r="K385" i="1" s="1"/>
  <c r="M385" i="1" s="1"/>
  <c r="O385" i="1" s="1"/>
  <c r="K663" i="1" a="1"/>
  <c r="K663" i="1" s="1"/>
  <c r="M663" i="1" s="1"/>
  <c r="O663" i="1" s="1"/>
  <c r="Q663" i="1" s="1"/>
  <c r="K92" i="1" a="1"/>
  <c r="K92" i="1" s="1"/>
  <c r="M92" i="1" s="1"/>
  <c r="O92" i="1" s="1"/>
  <c r="K346" i="1" a="1"/>
  <c r="K346" i="1" s="1"/>
  <c r="M346" i="1" s="1"/>
  <c r="O346" i="1" s="1"/>
  <c r="K872" i="1" a="1"/>
  <c r="K872" i="1" s="1"/>
  <c r="M872" i="1" s="1"/>
  <c r="O872" i="1" s="1"/>
  <c r="K313" i="1" a="1"/>
  <c r="K313" i="1" s="1"/>
  <c r="M313" i="1" s="1"/>
  <c r="O313" i="1" s="1"/>
  <c r="K819" i="1" a="1"/>
  <c r="K819" i="1" s="1"/>
  <c r="M819" i="1" s="1"/>
  <c r="O819" i="1" s="1"/>
  <c r="Y819" i="1" s="1"/>
  <c r="K963" i="1" a="1"/>
  <c r="K963" i="1" s="1"/>
  <c r="M963" i="1" s="1"/>
  <c r="O963" i="1" s="1"/>
  <c r="Q963" i="1" s="1"/>
  <c r="K533" i="1" a="1"/>
  <c r="K533" i="1" s="1"/>
  <c r="M533" i="1" s="1"/>
  <c r="O533" i="1" s="1"/>
  <c r="K301" i="1" a="1"/>
  <c r="K301" i="1" s="1"/>
  <c r="M301" i="1" s="1"/>
  <c r="O301" i="1" s="1"/>
  <c r="K274" i="1" a="1"/>
  <c r="K274" i="1" s="1"/>
  <c r="M274" i="1" s="1"/>
  <c r="O274" i="1" s="1"/>
  <c r="K445" i="1" a="1"/>
  <c r="K445" i="1" s="1"/>
  <c r="M445" i="1" s="1"/>
  <c r="O445" i="1" s="1"/>
  <c r="Q445" i="1" s="1"/>
  <c r="R445" i="1" s="1"/>
  <c r="K666" i="1" a="1"/>
  <c r="K666" i="1" s="1"/>
  <c r="M666" i="1" s="1"/>
  <c r="O666" i="1" s="1"/>
  <c r="Q666" i="1" s="1"/>
  <c r="K493" i="1" a="1"/>
  <c r="K493" i="1" s="1"/>
  <c r="M493" i="1" s="1"/>
  <c r="O493" i="1" s="1"/>
  <c r="K454" i="1" a="1"/>
  <c r="K454" i="1" s="1"/>
  <c r="M454" i="1" s="1"/>
  <c r="O454" i="1" s="1"/>
  <c r="K364" i="1" a="1"/>
  <c r="K364" i="1" s="1"/>
  <c r="M364" i="1" s="1"/>
  <c r="O364" i="1" s="1"/>
  <c r="K682" i="1" a="1"/>
  <c r="K682" i="1" s="1"/>
  <c r="M682" i="1" s="1"/>
  <c r="O682" i="1" s="1"/>
  <c r="K988" i="1" a="1"/>
  <c r="K988" i="1" s="1"/>
  <c r="M988" i="1" s="1"/>
  <c r="O988" i="1" s="1"/>
  <c r="Q988" i="1" s="1"/>
  <c r="K624" i="1" a="1"/>
  <c r="K624" i="1" s="1"/>
  <c r="M624" i="1" s="1"/>
  <c r="O624" i="1" s="1"/>
  <c r="K513" i="1" a="1"/>
  <c r="K513" i="1" s="1"/>
  <c r="M513" i="1" s="1"/>
  <c r="O513" i="1" s="1"/>
  <c r="K160" i="1" a="1"/>
  <c r="K160" i="1" s="1"/>
  <c r="M160" i="1" s="1"/>
  <c r="O160" i="1" s="1"/>
  <c r="K189" i="1" a="1"/>
  <c r="K189" i="1" s="1"/>
  <c r="M189" i="1" s="1"/>
  <c r="O189" i="1" s="1"/>
  <c r="K825" i="1" a="1"/>
  <c r="K825" i="1" s="1"/>
  <c r="M825" i="1" s="1"/>
  <c r="O825" i="1" s="1"/>
  <c r="K936" i="1" a="1"/>
  <c r="K936" i="1" s="1"/>
  <c r="M936" i="1" s="1"/>
  <c r="O936" i="1" s="1"/>
  <c r="K837" i="1" a="1"/>
  <c r="K837" i="1" s="1"/>
  <c r="M837" i="1" s="1"/>
  <c r="O837" i="1" s="1"/>
  <c r="K617" i="1" a="1"/>
  <c r="K617" i="1" s="1"/>
  <c r="M617" i="1" s="1"/>
  <c r="O617" i="1" s="1"/>
  <c r="Q617" i="1" s="1"/>
  <c r="K464" i="1" a="1"/>
  <c r="K464" i="1" s="1"/>
  <c r="M464" i="1" s="1"/>
  <c r="O464" i="1" s="1"/>
  <c r="K57" i="1" a="1"/>
  <c r="K57" i="1" s="1"/>
  <c r="M57" i="1" s="1"/>
  <c r="O57" i="1" s="1"/>
  <c r="K64" i="1" a="1"/>
  <c r="K64" i="1" s="1"/>
  <c r="M64" i="1" s="1"/>
  <c r="O64" i="1" s="1"/>
  <c r="Q64" i="1" s="1"/>
  <c r="K7" i="1" a="1"/>
  <c r="K7" i="1" s="1"/>
  <c r="M7" i="1" s="1"/>
  <c r="O7" i="1" s="1"/>
  <c r="K65" i="1" a="1"/>
  <c r="K65" i="1" s="1"/>
  <c r="M65" i="1" s="1"/>
  <c r="O65" i="1" s="1"/>
  <c r="K37" i="1" a="1"/>
  <c r="K37" i="1" s="1"/>
  <c r="M37" i="1" s="1"/>
  <c r="O37" i="1" s="1"/>
  <c r="K925" i="1" a="1"/>
  <c r="K925" i="1" s="1"/>
  <c r="M925" i="1" s="1"/>
  <c r="O925" i="1" s="1"/>
  <c r="K688" i="1" a="1"/>
  <c r="K688" i="1" s="1"/>
  <c r="M688" i="1" s="1"/>
  <c r="O688" i="1" s="1"/>
  <c r="Q688" i="1" s="1"/>
  <c r="K324" i="1" a="1"/>
  <c r="K324" i="1" s="1"/>
  <c r="M324" i="1" s="1"/>
  <c r="O324" i="1" s="1"/>
  <c r="Q324" i="1" s="1"/>
  <c r="R324" i="1" s="1"/>
  <c r="K992" i="1" a="1"/>
  <c r="K992" i="1" s="1"/>
  <c r="M992" i="1" s="1"/>
  <c r="O992" i="1" s="1"/>
  <c r="Q992" i="1" s="1"/>
  <c r="R992" i="1" s="1"/>
  <c r="K521" i="1" a="1"/>
  <c r="K521" i="1" s="1"/>
  <c r="M521" i="1" s="1"/>
  <c r="O521" i="1" s="1"/>
  <c r="K812" i="1" a="1"/>
  <c r="K812" i="1" s="1"/>
  <c r="M812" i="1" s="1"/>
  <c r="O812" i="1" s="1"/>
  <c r="K604" i="1" a="1"/>
  <c r="K604" i="1" s="1"/>
  <c r="M604" i="1" s="1"/>
  <c r="O604" i="1" s="1"/>
  <c r="K495" i="1" a="1"/>
  <c r="K495" i="1" s="1"/>
  <c r="M495" i="1" s="1"/>
  <c r="O495" i="1" s="1"/>
  <c r="K806" i="1" a="1"/>
  <c r="K806" i="1" s="1"/>
  <c r="M806" i="1" s="1"/>
  <c r="O806" i="1" s="1"/>
  <c r="K674" i="1" a="1"/>
  <c r="K674" i="1" s="1"/>
  <c r="M674" i="1" s="1"/>
  <c r="O674" i="1" s="1"/>
  <c r="Q674" i="1" s="1"/>
  <c r="K122" i="1" a="1"/>
  <c r="K122" i="1" s="1"/>
  <c r="M122" i="1" s="1"/>
  <c r="O122" i="1" s="1"/>
  <c r="Q122" i="1" s="1"/>
  <c r="K869" i="1" a="1"/>
  <c r="K869" i="1" s="1"/>
  <c r="M869" i="1" s="1"/>
  <c r="O869" i="1" s="1"/>
  <c r="Q869" i="1" s="1"/>
  <c r="K694" i="1" a="1"/>
  <c r="K694" i="1" s="1"/>
  <c r="M694" i="1" s="1"/>
  <c r="O694" i="1" s="1"/>
  <c r="K912" i="1" a="1"/>
  <c r="K912" i="1" s="1"/>
  <c r="M912" i="1" s="1"/>
  <c r="O912" i="1" s="1"/>
  <c r="K612" i="1" a="1"/>
  <c r="K612" i="1" s="1"/>
  <c r="M612" i="1" s="1"/>
  <c r="O612" i="1" s="1"/>
  <c r="K296" i="1" a="1"/>
  <c r="K296" i="1" s="1"/>
  <c r="M296" i="1" s="1"/>
  <c r="O296" i="1" s="1"/>
  <c r="K813" i="1" a="1"/>
  <c r="K813" i="1" s="1"/>
  <c r="M813" i="1" s="1"/>
  <c r="O813" i="1" s="1"/>
  <c r="K726" i="1" a="1"/>
  <c r="K726" i="1" s="1"/>
  <c r="M726" i="1" s="1"/>
  <c r="O726" i="1" s="1"/>
  <c r="K396" i="1" a="1"/>
  <c r="K396" i="1" s="1"/>
  <c r="M396" i="1" s="1"/>
  <c r="O396" i="1" s="1"/>
  <c r="Q396" i="1" s="1"/>
  <c r="K107" i="1" a="1"/>
  <c r="K107" i="1"/>
  <c r="M107" i="1" s="1"/>
  <c r="O107" i="1" s="1"/>
  <c r="K596" i="1" a="1"/>
  <c r="K596" i="1" s="1"/>
  <c r="M596" i="1" s="1"/>
  <c r="O596" i="1" s="1"/>
  <c r="K212" i="1" a="1"/>
  <c r="K212" i="1" s="1"/>
  <c r="M212" i="1" s="1"/>
  <c r="O212" i="1" s="1"/>
  <c r="Q212" i="1" s="1"/>
  <c r="K933" i="1" a="1"/>
  <c r="K933" i="1" s="1"/>
  <c r="M933" i="1" s="1"/>
  <c r="O933" i="1" s="1"/>
  <c r="Q933" i="1" s="1"/>
  <c r="K602" i="1" a="1"/>
  <c r="K602" i="1" s="1"/>
  <c r="M602" i="1" s="1"/>
  <c r="O602" i="1" s="1"/>
  <c r="K534" i="1" a="1"/>
  <c r="K534" i="1" s="1"/>
  <c r="M534" i="1" s="1"/>
  <c r="O534" i="1" s="1"/>
  <c r="K418" i="1" a="1"/>
  <c r="K418" i="1" s="1"/>
  <c r="M418" i="1" s="1"/>
  <c r="O418" i="1" s="1"/>
  <c r="K235" i="1" a="1"/>
  <c r="K235" i="1"/>
  <c r="M235" i="1" s="1"/>
  <c r="O235" i="1" s="1"/>
  <c r="K751" i="1" a="1"/>
  <c r="K751" i="1" s="1"/>
  <c r="M751" i="1" s="1"/>
  <c r="O751" i="1" s="1"/>
  <c r="K8" i="1" a="1"/>
  <c r="K8" i="1" s="1"/>
  <c r="M8" i="1" s="1"/>
  <c r="O8" i="1" s="1"/>
  <c r="K704" i="1" a="1"/>
  <c r="K704" i="1" s="1"/>
  <c r="M704" i="1" s="1"/>
  <c r="O704" i="1" s="1"/>
  <c r="Q704" i="1" s="1"/>
  <c r="K473" i="1" a="1"/>
  <c r="K473" i="1" s="1"/>
  <c r="M473" i="1" s="1"/>
  <c r="O473" i="1" s="1"/>
  <c r="K880" i="1" a="1"/>
  <c r="K880" i="1" s="1"/>
  <c r="M880" i="1" s="1"/>
  <c r="O880" i="1" s="1"/>
  <c r="K781" i="1" a="1"/>
  <c r="K781" i="1" s="1"/>
  <c r="M781" i="1" s="1"/>
  <c r="O781" i="1" s="1"/>
  <c r="K164" i="1" a="1"/>
  <c r="K164" i="1" s="1"/>
  <c r="M164" i="1" s="1"/>
  <c r="O164" i="1" s="1"/>
  <c r="Q164" i="1" s="1"/>
  <c r="K671" i="1" a="1"/>
  <c r="K671" i="1" s="1"/>
  <c r="M671" i="1" s="1"/>
  <c r="O671" i="1" s="1"/>
  <c r="Q671" i="1" s="1"/>
  <c r="K93" i="1" a="1"/>
  <c r="K93" i="1" s="1"/>
  <c r="M93" i="1" s="1"/>
  <c r="O93" i="1" s="1"/>
  <c r="K186" i="1" a="1"/>
  <c r="K186" i="1" s="1"/>
  <c r="M186" i="1" s="1"/>
  <c r="O186" i="1" s="1"/>
  <c r="Q186" i="1" s="1"/>
  <c r="K443" i="1" a="1"/>
  <c r="K443" i="1" s="1"/>
  <c r="M443" i="1" s="1"/>
  <c r="O443" i="1" s="1"/>
  <c r="Q443" i="1" s="1"/>
  <c r="K348" i="1" a="1"/>
  <c r="K348" i="1" s="1"/>
  <c r="M348" i="1" s="1"/>
  <c r="O348" i="1" s="1"/>
  <c r="Q348" i="1" s="1"/>
  <c r="K430" i="1" a="1"/>
  <c r="K430" i="1" s="1"/>
  <c r="M430" i="1" s="1"/>
  <c r="O430" i="1" s="1"/>
  <c r="K958" i="1" a="1"/>
  <c r="K958" i="1" s="1"/>
  <c r="M958" i="1" s="1"/>
  <c r="O958" i="1" s="1"/>
  <c r="K968" i="1" a="1"/>
  <c r="K968" i="1" s="1"/>
  <c r="M968" i="1" s="1"/>
  <c r="O968" i="1" s="1"/>
  <c r="K706" i="1" a="1"/>
  <c r="K706" i="1" s="1"/>
  <c r="M706" i="1" s="1"/>
  <c r="O706" i="1" s="1"/>
  <c r="K856" i="1" a="1"/>
  <c r="K856" i="1" s="1"/>
  <c r="M856" i="1" s="1"/>
  <c r="O856" i="1" s="1"/>
  <c r="K173" i="1" a="1"/>
  <c r="K173" i="1" s="1"/>
  <c r="M173" i="1" s="1"/>
  <c r="O173" i="1" s="1"/>
  <c r="Q173" i="1" s="1"/>
  <c r="K644" i="1" a="1"/>
  <c r="K644" i="1" s="1"/>
  <c r="M644" i="1" s="1"/>
  <c r="O644" i="1" s="1"/>
  <c r="K862" i="1" a="1"/>
  <c r="K862" i="1" s="1"/>
  <c r="M862" i="1" s="1"/>
  <c r="O862" i="1" s="1"/>
  <c r="K744" i="1" a="1"/>
  <c r="K744" i="1" s="1"/>
  <c r="M744" i="1" s="1"/>
  <c r="O744" i="1" s="1"/>
  <c r="K634" i="1" a="1"/>
  <c r="K634" i="1" s="1"/>
  <c r="M634" i="1" s="1"/>
  <c r="O634" i="1" s="1"/>
  <c r="K899" i="1" a="1"/>
  <c r="K899" i="1" s="1"/>
  <c r="M899" i="1" s="1"/>
  <c r="O899" i="1" s="1"/>
  <c r="K123" i="1" a="1"/>
  <c r="K123" i="1" s="1"/>
  <c r="M123" i="1" s="1"/>
  <c r="O123" i="1" s="1"/>
  <c r="K446" i="1" a="1"/>
  <c r="K446" i="1" s="1"/>
  <c r="M446" i="1" s="1"/>
  <c r="O446" i="1" s="1"/>
  <c r="Q446" i="1" s="1"/>
  <c r="K355" i="1" a="1"/>
  <c r="K355" i="1" s="1"/>
  <c r="M355" i="1" s="1"/>
  <c r="O355" i="1" s="1"/>
  <c r="Q355" i="1" s="1"/>
  <c r="K928" i="1" a="1"/>
  <c r="K928" i="1" s="1"/>
  <c r="M928" i="1" s="1"/>
  <c r="O928" i="1" s="1"/>
  <c r="Q928" i="1" s="1"/>
  <c r="K220" i="1" a="1"/>
  <c r="K220" i="1" s="1"/>
  <c r="M220" i="1" s="1"/>
  <c r="O220" i="1" s="1"/>
  <c r="K561" i="1" a="1"/>
  <c r="K561" i="1" s="1"/>
  <c r="M561" i="1" s="1"/>
  <c r="O561" i="1" s="1"/>
  <c r="K934" i="1" a="1"/>
  <c r="K934" i="1" s="1"/>
  <c r="M934" i="1" s="1"/>
  <c r="O934" i="1" s="1"/>
  <c r="K197" i="1" a="1"/>
  <c r="K197" i="1" s="1"/>
  <c r="M197" i="1" s="1"/>
  <c r="O197" i="1" s="1"/>
  <c r="K605" i="1" a="1"/>
  <c r="K605" i="1" s="1"/>
  <c r="M605" i="1" s="1"/>
  <c r="O605" i="1" s="1"/>
  <c r="Q605" i="1" s="1"/>
  <c r="K397" i="1" a="1"/>
  <c r="K397" i="1" s="1"/>
  <c r="M397" i="1" s="1"/>
  <c r="O397" i="1" s="1"/>
  <c r="Q397" i="1" s="1"/>
  <c r="K450" i="1" a="1"/>
  <c r="K450" i="1" s="1"/>
  <c r="M450" i="1" s="1"/>
  <c r="O450" i="1" s="1"/>
  <c r="K335" i="1" a="1"/>
  <c r="K335" i="1" s="1"/>
  <c r="M335" i="1" s="1"/>
  <c r="O335" i="1" s="1"/>
  <c r="K838" i="1" a="1"/>
  <c r="K838" i="1" s="1"/>
  <c r="M838" i="1" s="1"/>
  <c r="O838" i="1" s="1"/>
  <c r="K522" i="1" a="1"/>
  <c r="K522" i="1" s="1"/>
  <c r="M522" i="1" s="1"/>
  <c r="O522" i="1" s="1"/>
  <c r="K459" i="1" a="1"/>
  <c r="K459" i="1" s="1"/>
  <c r="M459" i="1" s="1"/>
  <c r="O459" i="1" s="1"/>
  <c r="K357" i="1" a="1"/>
  <c r="K357" i="1" s="1"/>
  <c r="M357" i="1" s="1"/>
  <c r="O357" i="1" s="1"/>
  <c r="Q357" i="1" s="1"/>
  <c r="K1001" i="1" a="1"/>
  <c r="K1001" i="1" s="1"/>
  <c r="M1001" i="1" s="1"/>
  <c r="O1001" i="1" s="1"/>
  <c r="Q1001" i="1" s="1"/>
  <c r="K181" i="1" a="1"/>
  <c r="K181" i="1" s="1"/>
  <c r="M181" i="1" s="1"/>
  <c r="O181" i="1" s="1"/>
  <c r="K655" i="1" a="1"/>
  <c r="K655" i="1" s="1"/>
  <c r="M655" i="1" s="1"/>
  <c r="O655" i="1" s="1"/>
  <c r="K82" i="1" a="1"/>
  <c r="K82" i="1" s="1"/>
  <c r="M82" i="1" s="1"/>
  <c r="O82" i="1" s="1"/>
  <c r="K745" i="1" a="1"/>
  <c r="K745" i="1" s="1"/>
  <c r="M745" i="1" s="1"/>
  <c r="O745" i="1" s="1"/>
  <c r="K336" i="1" a="1"/>
  <c r="K336" i="1" s="1"/>
  <c r="M336" i="1" s="1"/>
  <c r="O336" i="1" s="1"/>
  <c r="K480" i="1" a="1"/>
  <c r="K480" i="1" s="1"/>
  <c r="M480" i="1" s="1"/>
  <c r="O480" i="1" s="1"/>
  <c r="K431" i="1" a="1"/>
  <c r="K431" i="1" s="1"/>
  <c r="M431" i="1" s="1"/>
  <c r="O431" i="1" s="1"/>
  <c r="K70" i="1" a="1"/>
  <c r="K70" i="1" s="1"/>
  <c r="M70" i="1" s="1"/>
  <c r="O70" i="1" s="1"/>
  <c r="K738" i="1" a="1"/>
  <c r="K738" i="1" s="1"/>
  <c r="M738" i="1" s="1"/>
  <c r="O738" i="1" s="1"/>
  <c r="Q738" i="1" s="1"/>
  <c r="R738" i="1" s="1"/>
  <c r="K609" i="1" a="1"/>
  <c r="K609" i="1" s="1"/>
  <c r="M609" i="1" s="1"/>
  <c r="O609" i="1" s="1"/>
  <c r="K619" i="1" a="1"/>
  <c r="K619" i="1" s="1"/>
  <c r="M619" i="1" s="1"/>
  <c r="O619" i="1" s="1"/>
  <c r="K773" i="1" a="1"/>
  <c r="K773" i="1" s="1"/>
  <c r="M773" i="1" s="1"/>
  <c r="O773" i="1" s="1"/>
  <c r="K121" i="1" a="1"/>
  <c r="K121" i="1" s="1"/>
  <c r="M121" i="1" s="1"/>
  <c r="O121" i="1" s="1"/>
  <c r="K406" i="1" a="1"/>
  <c r="K406" i="1" s="1"/>
  <c r="M406" i="1" s="1"/>
  <c r="O406" i="1" s="1"/>
  <c r="K411" i="1" a="1"/>
  <c r="K411" i="1" s="1"/>
  <c r="M411" i="1" s="1"/>
  <c r="O411" i="1" s="1"/>
  <c r="K733" i="1" a="1"/>
  <c r="K733" i="1" s="1"/>
  <c r="M733" i="1" s="1"/>
  <c r="O733" i="1" s="1"/>
  <c r="K581" i="1" a="1"/>
  <c r="K581" i="1" s="1"/>
  <c r="M581" i="1" s="1"/>
  <c r="O581" i="1" s="1"/>
  <c r="K34" i="1" a="1"/>
  <c r="K34" i="1" s="1"/>
  <c r="M34" i="1" s="1"/>
  <c r="O34" i="1" s="1"/>
  <c r="K238" i="1" a="1"/>
  <c r="K238" i="1" s="1"/>
  <c r="M238" i="1" s="1"/>
  <c r="O238" i="1" s="1"/>
  <c r="K474" i="1" a="1"/>
  <c r="K474" i="1" s="1"/>
  <c r="M474" i="1" s="1"/>
  <c r="O474" i="1" s="1"/>
  <c r="K645" i="1" a="1"/>
  <c r="K645" i="1" s="1"/>
  <c r="M645" i="1" s="1"/>
  <c r="O645" i="1" s="1"/>
  <c r="K358" i="1" a="1"/>
  <c r="K358" i="1" s="1"/>
  <c r="M358" i="1" s="1"/>
  <c r="O358" i="1" s="1"/>
  <c r="K447" i="1" a="1"/>
  <c r="K447" i="1" s="1"/>
  <c r="M447" i="1" s="1"/>
  <c r="O447" i="1" s="1"/>
  <c r="K432" i="1" a="1"/>
  <c r="K432" i="1" s="1"/>
  <c r="M432" i="1" s="1"/>
  <c r="O432" i="1" s="1"/>
  <c r="Q432" i="1" s="1"/>
  <c r="R432" i="1" s="1"/>
  <c r="K14" i="1" a="1"/>
  <c r="K14" i="1" s="1"/>
  <c r="M14" i="1" s="1"/>
  <c r="O14" i="1" s="1"/>
  <c r="K895" i="1" a="1"/>
  <c r="K895" i="1" s="1"/>
  <c r="M895" i="1" s="1"/>
  <c r="O895" i="1" s="1"/>
  <c r="K568" i="1" a="1"/>
  <c r="K568" i="1" s="1"/>
  <c r="M568" i="1" s="1"/>
  <c r="O568" i="1" s="1"/>
  <c r="K194" i="1" a="1"/>
  <c r="K194" i="1" s="1"/>
  <c r="M194" i="1" s="1"/>
  <c r="O194" i="1" s="1"/>
  <c r="K260" i="1" a="1"/>
  <c r="K260" i="1" s="1"/>
  <c r="M260" i="1" s="1"/>
  <c r="O260" i="1" s="1"/>
  <c r="K267" i="1" a="1"/>
  <c r="K267" i="1" s="1"/>
  <c r="M267" i="1" s="1"/>
  <c r="O267" i="1" s="1"/>
  <c r="K314" i="1" a="1"/>
  <c r="K314" i="1" s="1"/>
  <c r="M314" i="1" s="1"/>
  <c r="O314" i="1" s="1"/>
  <c r="Q314" i="1" s="1"/>
  <c r="K793" i="1" a="1"/>
  <c r="K793" i="1" s="1"/>
  <c r="M793" i="1" s="1"/>
  <c r="O793" i="1" s="1"/>
  <c r="K71" i="1" a="1"/>
  <c r="K71" i="1" s="1"/>
  <c r="M71" i="1" s="1"/>
  <c r="O71" i="1" s="1"/>
  <c r="K127" i="1" a="1"/>
  <c r="K127" i="1" s="1"/>
  <c r="M127" i="1" s="1"/>
  <c r="O127" i="1" s="1"/>
  <c r="K516" i="1" a="1"/>
  <c r="K516" i="1" s="1"/>
  <c r="M516" i="1" s="1"/>
  <c r="O516" i="1" s="1"/>
  <c r="K523" i="1" a="1"/>
  <c r="K523" i="1" s="1"/>
  <c r="M523" i="1" s="1"/>
  <c r="O523" i="1" s="1"/>
  <c r="K327" i="1" a="1"/>
  <c r="K327" i="1" s="1"/>
  <c r="M327" i="1" s="1"/>
  <c r="O327" i="1" s="1"/>
  <c r="K984" i="1" a="1"/>
  <c r="K984" i="1" s="1"/>
  <c r="M984" i="1" s="1"/>
  <c r="O984" i="1" s="1"/>
  <c r="K401" i="1" a="1"/>
  <c r="K401" i="1" s="1"/>
  <c r="M401" i="1" s="1"/>
  <c r="O401" i="1" s="1"/>
  <c r="K76" i="1" a="1"/>
  <c r="K76" i="1" s="1"/>
  <c r="M76" i="1" s="1"/>
  <c r="O76" i="1" s="1"/>
  <c r="K433" i="1" a="1"/>
  <c r="K433" i="1" s="1"/>
  <c r="M433" i="1" s="1"/>
  <c r="O433" i="1" s="1"/>
  <c r="Q433" i="1" s="1"/>
  <c r="K664" i="1" a="1"/>
  <c r="K664" i="1" s="1"/>
  <c r="M664" i="1" s="1"/>
  <c r="O664" i="1" s="1"/>
  <c r="K827" i="1" a="1"/>
  <c r="K827" i="1" s="1"/>
  <c r="M827" i="1" s="1"/>
  <c r="O827" i="1" s="1"/>
  <c r="K789" i="1" a="1"/>
  <c r="K789" i="1" s="1"/>
  <c r="M789" i="1" s="1"/>
  <c r="O789" i="1" s="1"/>
  <c r="K782" i="1" a="1"/>
  <c r="K782" i="1" s="1"/>
  <c r="M782" i="1" s="1"/>
  <c r="O782" i="1" s="1"/>
  <c r="K584" i="1" a="1"/>
  <c r="K584" i="1" s="1"/>
  <c r="M584" i="1" s="1"/>
  <c r="O584" i="1" s="1"/>
  <c r="K128" i="1" a="1"/>
  <c r="K128" i="1" s="1"/>
  <c r="M128" i="1" s="1"/>
  <c r="O128" i="1" s="1"/>
  <c r="K820" i="1" a="1"/>
  <c r="K820" i="1" s="1"/>
  <c r="M820" i="1" s="1"/>
  <c r="O820" i="1" s="1"/>
  <c r="Q820" i="1" s="1"/>
  <c r="R820" i="1" s="1"/>
  <c r="K752" i="1" a="1"/>
  <c r="K752" i="1" s="1"/>
  <c r="M752" i="1" s="1"/>
  <c r="O752" i="1" s="1"/>
  <c r="K174" i="1" a="1"/>
  <c r="K174" i="1" s="1"/>
  <c r="M174" i="1" s="1"/>
  <c r="O174" i="1" s="1"/>
  <c r="K941" i="1" a="1"/>
  <c r="K941" i="1" s="1"/>
  <c r="M941" i="1" s="1"/>
  <c r="O941" i="1" s="1"/>
  <c r="K340" i="1" a="1"/>
  <c r="K340" i="1" s="1"/>
  <c r="M340" i="1" s="1"/>
  <c r="O340" i="1" s="1"/>
  <c r="K839" i="1" a="1"/>
  <c r="K839" i="1" s="1"/>
  <c r="M839" i="1" s="1"/>
  <c r="O839" i="1" s="1"/>
  <c r="K718" i="1" a="1"/>
  <c r="K718" i="1" s="1"/>
  <c r="M718" i="1" s="1"/>
  <c r="O718" i="1" s="1"/>
  <c r="K995" i="1" a="1"/>
  <c r="K995" i="1" s="1"/>
  <c r="M995" i="1" s="1"/>
  <c r="O995" i="1" s="1"/>
  <c r="Q995" i="1" s="1"/>
  <c r="K253" i="1" a="1"/>
  <c r="K253" i="1" s="1"/>
  <c r="M253" i="1" s="1"/>
  <c r="O253" i="1" s="1"/>
  <c r="Q253" i="1" s="1"/>
  <c r="K423" i="1" a="1"/>
  <c r="K423" i="1" s="1"/>
  <c r="M423" i="1" s="1"/>
  <c r="O423" i="1" s="1"/>
  <c r="K739" i="1" a="1"/>
  <c r="K739" i="1" s="1"/>
  <c r="M739" i="1" s="1"/>
  <c r="O739" i="1" s="1"/>
  <c r="K697" i="1" a="1"/>
  <c r="K697" i="1" s="1"/>
  <c r="M697" i="1" s="1"/>
  <c r="O697" i="1" s="1"/>
  <c r="K309" i="1" a="1"/>
  <c r="K309" i="1" s="1"/>
  <c r="M309" i="1" s="1"/>
  <c r="O309" i="1" s="1"/>
  <c r="K374" i="1" a="1"/>
  <c r="K374" i="1" s="1"/>
  <c r="M374" i="1" s="1"/>
  <c r="O374" i="1" s="1"/>
  <c r="K840" i="1" a="1"/>
  <c r="K840" i="1" s="1"/>
  <c r="M840" i="1" s="1"/>
  <c r="O840" i="1" s="1"/>
  <c r="K279" i="1" a="1"/>
  <c r="K279" i="1" s="1"/>
  <c r="M279" i="1" s="1"/>
  <c r="O279" i="1" s="1"/>
  <c r="K877" i="1" a="1"/>
  <c r="K877" i="1" s="1"/>
  <c r="M877" i="1" s="1"/>
  <c r="O877" i="1" s="1"/>
  <c r="K147" i="1" a="1"/>
  <c r="K147" i="1" s="1"/>
  <c r="M147" i="1" s="1"/>
  <c r="O147" i="1" s="1"/>
  <c r="K675" i="1" a="1"/>
  <c r="K675" i="1" s="1"/>
  <c r="M675" i="1" s="1"/>
  <c r="O675" i="1" s="1"/>
  <c r="K391" i="1" a="1"/>
  <c r="K391" i="1" s="1"/>
  <c r="M391" i="1" s="1"/>
  <c r="O391" i="1" s="1"/>
  <c r="K954" i="1" a="1"/>
  <c r="K954" i="1" s="1"/>
  <c r="M954" i="1" s="1"/>
  <c r="O954" i="1" s="1"/>
  <c r="K26" i="1" a="1"/>
  <c r="K26" i="1" s="1"/>
  <c r="M26" i="1" s="1"/>
  <c r="O26" i="1" s="1"/>
  <c r="K881" i="1" a="1"/>
  <c r="K881" i="1" s="1"/>
  <c r="M881" i="1" s="1"/>
  <c r="O881" i="1" s="1"/>
  <c r="K639" i="1" a="1"/>
  <c r="K639" i="1" s="1"/>
  <c r="M639" i="1" s="1"/>
  <c r="O639" i="1" s="1"/>
  <c r="Q639" i="1" s="1"/>
  <c r="K310" i="1" a="1"/>
  <c r="K310" i="1" s="1"/>
  <c r="M310" i="1" s="1"/>
  <c r="O310" i="1" s="1"/>
  <c r="Q310" i="1" s="1"/>
  <c r="K573" i="1" a="1"/>
  <c r="K573" i="1" s="1"/>
  <c r="M573" i="1" s="1"/>
  <c r="O573" i="1" s="1"/>
  <c r="K451" i="1" a="1"/>
  <c r="K451" i="1" s="1"/>
  <c r="M451" i="1" s="1"/>
  <c r="O451" i="1" s="1"/>
  <c r="K349" i="1" a="1"/>
  <c r="K349" i="1" s="1"/>
  <c r="M349" i="1" s="1"/>
  <c r="O349" i="1" s="1"/>
  <c r="K989" i="1" a="1"/>
  <c r="K989" i="1" s="1"/>
  <c r="M989" i="1" s="1"/>
  <c r="O989" i="1" s="1"/>
  <c r="K603" i="1" a="1"/>
  <c r="K603" i="1" s="1"/>
  <c r="M603" i="1" s="1"/>
  <c r="O603" i="1" s="1"/>
  <c r="K283" i="1" a="1"/>
  <c r="K283" i="1" s="1"/>
  <c r="M283" i="1" s="1"/>
  <c r="O283" i="1" s="1"/>
  <c r="K678" i="1" a="1"/>
  <c r="K678" i="1" s="1"/>
  <c r="M678" i="1" s="1"/>
  <c r="O678" i="1" s="1"/>
  <c r="K918" i="1" a="1"/>
  <c r="K918" i="1" s="1"/>
  <c r="M918" i="1" s="1"/>
  <c r="O918" i="1" s="1"/>
  <c r="Q918" i="1" s="1"/>
  <c r="R918" i="1" s="1"/>
  <c r="K95" i="1" a="1"/>
  <c r="K95" i="1" s="1"/>
  <c r="M95" i="1" s="1"/>
  <c r="O95" i="1" s="1"/>
  <c r="Q95" i="1" s="1"/>
  <c r="K640" i="1" a="1"/>
  <c r="K640" i="1" s="1"/>
  <c r="M640" i="1" s="1"/>
  <c r="O640" i="1" s="1"/>
  <c r="K392" i="1" a="1"/>
  <c r="K392" i="1" s="1"/>
  <c r="M392" i="1" s="1"/>
  <c r="O392" i="1" s="1"/>
  <c r="K337" i="1" a="1"/>
  <c r="K337" i="1" s="1"/>
  <c r="M337" i="1" s="1"/>
  <c r="O337" i="1" s="1"/>
  <c r="K720" i="1" a="1"/>
  <c r="K720" i="1" s="1"/>
  <c r="M720" i="1" s="1"/>
  <c r="O720" i="1" s="1"/>
  <c r="K753" i="1" a="1"/>
  <c r="K753" i="1" s="1"/>
  <c r="M753" i="1" s="1"/>
  <c r="O753" i="1" s="1"/>
  <c r="K77" i="1" a="1"/>
  <c r="K77" i="1" s="1"/>
  <c r="M77" i="1" s="1"/>
  <c r="O77" i="1" s="1"/>
  <c r="K362" i="1" a="1"/>
  <c r="K362" i="1" s="1"/>
  <c r="M362" i="1" s="1"/>
  <c r="O362" i="1" s="1"/>
  <c r="K556" i="1" a="1"/>
  <c r="K556" i="1" s="1"/>
  <c r="M556" i="1" s="1"/>
  <c r="O556" i="1" s="1"/>
  <c r="K699" i="1" a="1"/>
  <c r="K699" i="1" s="1"/>
  <c r="M699" i="1" s="1"/>
  <c r="O699" i="1" s="1"/>
  <c r="K169" i="1" a="1"/>
  <c r="K169" i="1" s="1"/>
  <c r="M169" i="1" s="1"/>
  <c r="O169" i="1" s="1"/>
  <c r="K292" i="1" a="1"/>
  <c r="K292" i="1" s="1"/>
  <c r="M292" i="1" s="1"/>
  <c r="O292" i="1" s="1"/>
  <c r="K331" i="1" a="1"/>
  <c r="K331" i="1" s="1"/>
  <c r="M331" i="1" s="1"/>
  <c r="O331" i="1" s="1"/>
  <c r="K452" i="1" a="1"/>
  <c r="K452" i="1" s="1"/>
  <c r="M452" i="1" s="1"/>
  <c r="O452" i="1" s="1"/>
  <c r="K9" i="1" a="1"/>
  <c r="K9" i="1" s="1"/>
  <c r="M9" i="1" s="1"/>
  <c r="O9" i="1" s="1"/>
  <c r="Q9" i="1" s="1"/>
  <c r="K187" i="1" a="1"/>
  <c r="K187" i="1" s="1"/>
  <c r="M187" i="1" s="1"/>
  <c r="O187" i="1" s="1"/>
  <c r="K969" i="1" a="1"/>
  <c r="K969" i="1" s="1"/>
  <c r="M969" i="1" s="1"/>
  <c r="O969" i="1" s="1"/>
  <c r="K354" i="1" a="1"/>
  <c r="K354" i="1" s="1"/>
  <c r="M354" i="1" s="1"/>
  <c r="O354" i="1" s="1"/>
  <c r="K981" i="1" a="1"/>
  <c r="K981" i="1" s="1"/>
  <c r="M981" i="1" s="1"/>
  <c r="O981" i="1" s="1"/>
  <c r="K707" i="1" a="1"/>
  <c r="K707" i="1" s="1"/>
  <c r="M707" i="1" s="1"/>
  <c r="O707" i="1" s="1"/>
  <c r="K722" i="1" a="1"/>
  <c r="K722" i="1" s="1"/>
  <c r="M722" i="1" s="1"/>
  <c r="O722" i="1" s="1"/>
  <c r="K247" i="1" a="1"/>
  <c r="K247" i="1" s="1"/>
  <c r="M247" i="1" s="1"/>
  <c r="O247" i="1" s="1"/>
  <c r="K760" i="1" a="1"/>
  <c r="K760" i="1" s="1"/>
  <c r="M760" i="1" s="1"/>
  <c r="O760" i="1" s="1"/>
  <c r="K40" i="1" a="1"/>
  <c r="K40" i="1" s="1"/>
  <c r="M40" i="1" s="1"/>
  <c r="O40" i="1" s="1"/>
  <c r="Q40" i="1" s="1"/>
  <c r="K919" i="1" a="1"/>
  <c r="K919" i="1" s="1"/>
  <c r="M919" i="1" s="1"/>
  <c r="O919" i="1" s="1"/>
  <c r="Q919" i="1" s="1"/>
  <c r="K332" i="1" a="1"/>
  <c r="K332" i="1" s="1"/>
  <c r="M332" i="1" s="1"/>
  <c r="O332" i="1" s="1"/>
  <c r="K734" i="1" a="1"/>
  <c r="K734" i="1" s="1"/>
  <c r="M734" i="1" s="1"/>
  <c r="O734" i="1" s="1"/>
  <c r="K466" i="1" a="1"/>
  <c r="K466" i="1" s="1"/>
  <c r="M466" i="1" s="1"/>
  <c r="O466" i="1" s="1"/>
  <c r="K672" i="1" a="1"/>
  <c r="K672" i="1" s="1"/>
  <c r="M672" i="1" s="1"/>
  <c r="O672" i="1" s="1"/>
  <c r="K58" i="1" a="1"/>
  <c r="K58" i="1" s="1"/>
  <c r="M58" i="1" s="1"/>
  <c r="O58" i="1" s="1"/>
  <c r="K658" i="1" a="1"/>
  <c r="K658" i="1" s="1"/>
  <c r="M658" i="1" s="1"/>
  <c r="O658" i="1" s="1"/>
  <c r="K964" i="1" a="1"/>
  <c r="K964" i="1" s="1"/>
  <c r="M964" i="1" s="1"/>
  <c r="O964" i="1" s="1"/>
  <c r="K631" i="1" a="1"/>
  <c r="K631" i="1" s="1"/>
  <c r="M631" i="1" s="1"/>
  <c r="O631" i="1" s="1"/>
  <c r="K87" i="1" a="1"/>
  <c r="K87" i="1" s="1"/>
  <c r="M87" i="1" s="1"/>
  <c r="O87" i="1" s="1"/>
  <c r="K537" i="1" a="1"/>
  <c r="K537" i="1" s="1"/>
  <c r="M537" i="1" s="1"/>
  <c r="O537" i="1" s="1"/>
  <c r="K414" i="1" a="1"/>
  <c r="K414" i="1" s="1"/>
  <c r="M414" i="1" s="1"/>
  <c r="O414" i="1" s="1"/>
  <c r="Q414" i="1" s="1"/>
  <c r="K878" i="1" a="1"/>
  <c r="K878" i="1" s="1"/>
  <c r="M878" i="1" s="1"/>
  <c r="O878" i="1" s="1"/>
  <c r="K213" i="1" a="1"/>
  <c r="K213" i="1" s="1"/>
  <c r="M213" i="1" s="1"/>
  <c r="O213" i="1" s="1"/>
  <c r="K585" i="1" a="1"/>
  <c r="K585" i="1" s="1"/>
  <c r="M585" i="1" s="1"/>
  <c r="O585" i="1" s="1"/>
  <c r="Q585" i="1" s="1"/>
  <c r="K965" i="1" a="1"/>
  <c r="K965" i="1" s="1"/>
  <c r="M965" i="1" s="1"/>
  <c r="O965" i="1" s="1"/>
  <c r="K198" i="1" a="1"/>
  <c r="K198" i="1" s="1"/>
  <c r="M198" i="1" s="1"/>
  <c r="O198" i="1" s="1"/>
  <c r="K594" i="1" a="1"/>
  <c r="K594" i="1" s="1"/>
  <c r="M594" i="1" s="1"/>
  <c r="O594" i="1" s="1"/>
  <c r="K527" i="1" a="1"/>
  <c r="K527" i="1" s="1"/>
  <c r="M527" i="1" s="1"/>
  <c r="O527" i="1" s="1"/>
  <c r="K610" i="1" a="1"/>
  <c r="K610" i="1" s="1"/>
  <c r="M610" i="1" s="1"/>
  <c r="O610" i="1" s="1"/>
  <c r="Q610" i="1" s="1"/>
  <c r="K879" i="1" a="1"/>
  <c r="K879" i="1" s="1"/>
  <c r="M879" i="1" s="1"/>
  <c r="O879" i="1" s="1"/>
  <c r="K489" i="1" a="1"/>
  <c r="K489" i="1" s="1"/>
  <c r="M489" i="1" s="1"/>
  <c r="O489" i="1" s="1"/>
  <c r="K673" i="1" a="1"/>
  <c r="K673" i="1" s="1"/>
  <c r="M673" i="1" s="1"/>
  <c r="O673" i="1" s="1"/>
  <c r="Q673" i="1" s="1"/>
  <c r="K894" i="1" a="1"/>
  <c r="K894" i="1" s="1"/>
  <c r="M894" i="1" s="1"/>
  <c r="O894" i="1" s="1"/>
  <c r="Q894" i="1" s="1"/>
  <c r="K882" i="1" a="1"/>
  <c r="K882" i="1" s="1"/>
  <c r="M882" i="1" s="1"/>
  <c r="O882" i="1" s="1"/>
  <c r="K109" i="1" a="1"/>
  <c r="K109" i="1" s="1"/>
  <c r="M109" i="1" s="1"/>
  <c r="O109" i="1" s="1"/>
  <c r="K318" i="1" a="1"/>
  <c r="K318" i="1" s="1"/>
  <c r="M318" i="1" s="1"/>
  <c r="O318" i="1" s="1"/>
  <c r="Q318" i="1" s="1"/>
  <c r="K971" i="1" a="1"/>
  <c r="K971" i="1" s="1"/>
  <c r="M971" i="1" s="1"/>
  <c r="O971" i="1" s="1"/>
  <c r="Q971" i="1" s="1"/>
  <c r="K804" i="1" a="1"/>
  <c r="K804" i="1" s="1"/>
  <c r="M804" i="1" s="1"/>
  <c r="O804" i="1" s="1"/>
  <c r="K779" i="1" a="1"/>
  <c r="K779" i="1" s="1"/>
  <c r="M779" i="1" s="1"/>
  <c r="O779" i="1" s="1"/>
  <c r="K20" i="1" a="1"/>
  <c r="K20" i="1" s="1"/>
  <c r="M20" i="1" s="1"/>
  <c r="O20" i="1" s="1"/>
  <c r="K646" i="1" a="1"/>
  <c r="K646" i="1" s="1"/>
  <c r="M646" i="1" s="1"/>
  <c r="O646" i="1" s="1"/>
  <c r="K403" i="1" a="1"/>
  <c r="K403" i="1" s="1"/>
  <c r="M403" i="1" s="1"/>
  <c r="O403" i="1" s="1"/>
  <c r="K306" i="1" a="1"/>
  <c r="K306" i="1" s="1"/>
  <c r="M306" i="1" s="1"/>
  <c r="O306" i="1" s="1"/>
  <c r="Q306" i="1" s="1"/>
  <c r="K855" i="1" a="1"/>
  <c r="K855" i="1" s="1"/>
  <c r="M855" i="1" s="1"/>
  <c r="O855" i="1" s="1"/>
  <c r="K848" i="1" a="1"/>
  <c r="K848" i="1" s="1"/>
  <c r="M848" i="1" s="1"/>
  <c r="O848" i="1" s="1"/>
  <c r="K959" i="1" a="1"/>
  <c r="K959" i="1" s="1"/>
  <c r="M959" i="1" s="1"/>
  <c r="O959" i="1" s="1"/>
  <c r="K297" i="1" a="1"/>
  <c r="K297" i="1" s="1"/>
  <c r="M297" i="1" s="1"/>
  <c r="O297" i="1" s="1"/>
  <c r="K618" i="1" a="1"/>
  <c r="K618" i="1" s="1"/>
  <c r="M618" i="1" s="1"/>
  <c r="O618" i="1" s="1"/>
  <c r="Q618" i="1" s="1"/>
  <c r="K569" i="1" a="1"/>
  <c r="K569" i="1" s="1"/>
  <c r="M569" i="1" s="1"/>
  <c r="O569" i="1" s="1"/>
  <c r="Q569" i="1" s="1"/>
  <c r="K730" i="1" a="1"/>
  <c r="K730" i="1" s="1"/>
  <c r="M730" i="1" s="1"/>
  <c r="O730" i="1" s="1"/>
  <c r="K794" i="1" a="1"/>
  <c r="K794" i="1" s="1"/>
  <c r="M794" i="1" s="1"/>
  <c r="O794" i="1" s="1"/>
  <c r="Q794" i="1" s="1"/>
  <c r="K538" i="1" a="1"/>
  <c r="K538" i="1" s="1"/>
  <c r="M538" i="1" s="1"/>
  <c r="O538" i="1" s="1"/>
  <c r="Q538" i="1" s="1"/>
  <c r="K359" i="1" a="1"/>
  <c r="K359" i="1" s="1"/>
  <c r="M359" i="1" s="1"/>
  <c r="O359" i="1" s="1"/>
  <c r="Q359" i="1" s="1"/>
  <c r="K367" i="1" a="1"/>
  <c r="K367" i="1" s="1"/>
  <c r="M367" i="1" s="1"/>
  <c r="O367" i="1" s="1"/>
  <c r="K562" i="1" a="1"/>
  <c r="K562" i="1" s="1"/>
  <c r="M562" i="1" s="1"/>
  <c r="O562" i="1" s="1"/>
  <c r="K205" i="1" a="1"/>
  <c r="K205" i="1" s="1"/>
  <c r="M205" i="1" s="1"/>
  <c r="O205" i="1" s="1"/>
  <c r="Q205" i="1" s="1"/>
  <c r="K592" i="1" a="1"/>
  <c r="K592" i="1" s="1"/>
  <c r="M592" i="1" s="1"/>
  <c r="O592" i="1" s="1"/>
  <c r="K239" i="1" a="1"/>
  <c r="K239" i="1" s="1"/>
  <c r="M239" i="1" s="1"/>
  <c r="O239" i="1" s="1"/>
  <c r="Q239" i="1" s="1"/>
  <c r="K758" i="1" a="1"/>
  <c r="K758" i="1" s="1"/>
  <c r="M758" i="1" s="1"/>
  <c r="O758" i="1" s="1"/>
  <c r="K550" i="1" a="1"/>
  <c r="K550" i="1" s="1"/>
  <c r="M550" i="1" s="1"/>
  <c r="O550" i="1" s="1"/>
  <c r="Q550" i="1" s="1"/>
  <c r="K148" i="1" a="1"/>
  <c r="K148" i="1" s="1"/>
  <c r="M148" i="1" s="1"/>
  <c r="O148" i="1" s="1"/>
  <c r="K790" i="1" a="1"/>
  <c r="K790" i="1" s="1"/>
  <c r="M790" i="1" s="1"/>
  <c r="O790" i="1" s="1"/>
  <c r="K960" i="1" a="1"/>
  <c r="K960" i="1" s="1"/>
  <c r="M960" i="1" s="1"/>
  <c r="O960" i="1" s="1"/>
  <c r="K996" i="1" a="1"/>
  <c r="K996" i="1" s="1"/>
  <c r="M996" i="1" s="1"/>
  <c r="O996" i="1" s="1"/>
  <c r="K629" i="1" a="1"/>
  <c r="K629" i="1" s="1"/>
  <c r="M629" i="1" s="1"/>
  <c r="O629" i="1" s="1"/>
  <c r="K679" i="1" a="1"/>
  <c r="K679" i="1" s="1"/>
  <c r="M679" i="1" s="1"/>
  <c r="O679" i="1" s="1"/>
  <c r="K762" i="1" a="1"/>
  <c r="K762" i="1" s="1"/>
  <c r="M762" i="1" s="1"/>
  <c r="O762" i="1" s="1"/>
  <c r="K723" i="1" a="1"/>
  <c r="K723" i="1" s="1"/>
  <c r="M723" i="1" s="1"/>
  <c r="O723" i="1" s="1"/>
  <c r="Q723" i="1" s="1"/>
  <c r="K110" i="1" a="1"/>
  <c r="K110" i="1" s="1"/>
  <c r="M110" i="1" s="1"/>
  <c r="O110" i="1" s="1"/>
  <c r="Q110" i="1" s="1"/>
  <c r="K686" i="1" a="1"/>
  <c r="K686" i="1" s="1"/>
  <c r="M686" i="1" s="1"/>
  <c r="O686" i="1" s="1"/>
  <c r="K21" i="1" a="1"/>
  <c r="K21" i="1" s="1"/>
  <c r="M21" i="1" s="1"/>
  <c r="O21" i="1" s="1"/>
  <c r="K356" i="1" a="1"/>
  <c r="K356" i="1" s="1"/>
  <c r="M356" i="1" s="1"/>
  <c r="O356" i="1" s="1"/>
  <c r="K116" i="1" a="1"/>
  <c r="K116" i="1" s="1"/>
  <c r="M116" i="1" s="1"/>
  <c r="O116" i="1" s="1"/>
  <c r="K683" i="1" a="1"/>
  <c r="K683" i="1" s="1"/>
  <c r="M683" i="1" s="1"/>
  <c r="O683" i="1" s="1"/>
  <c r="K606" i="1" a="1"/>
  <c r="K606" i="1" s="1"/>
  <c r="M606" i="1" s="1"/>
  <c r="O606" i="1" s="1"/>
  <c r="Q606" i="1" s="1"/>
  <c r="K700" i="1" a="1"/>
  <c r="K700" i="1" s="1"/>
  <c r="M700" i="1" s="1"/>
  <c r="O700" i="1" s="1"/>
  <c r="K841" i="1" a="1"/>
  <c r="K841" i="1" s="1"/>
  <c r="M841" i="1" s="1"/>
  <c r="O841" i="1" s="1"/>
  <c r="K388" i="1" a="1"/>
  <c r="K388" i="1" s="1"/>
  <c r="M388" i="1" s="1"/>
  <c r="O388" i="1" s="1"/>
  <c r="K902" i="1" a="1"/>
  <c r="K902" i="1" s="1"/>
  <c r="M902" i="1" s="1"/>
  <c r="O902" i="1" s="1"/>
  <c r="K490" i="1" a="1"/>
  <c r="K490" i="1" s="1"/>
  <c r="M490" i="1" s="1"/>
  <c r="O490" i="1" s="1"/>
  <c r="K246" i="1" a="1"/>
  <c r="K246" i="1" s="1"/>
  <c r="M246" i="1" s="1"/>
  <c r="O246" i="1" s="1"/>
  <c r="Q246" i="1" s="1"/>
  <c r="R246" i="1" s="1"/>
  <c r="K926" i="1" a="1"/>
  <c r="K926" i="1" s="1"/>
  <c r="M926" i="1" s="1"/>
  <c r="O926" i="1" s="1"/>
  <c r="K511" i="1" a="1"/>
  <c r="K511" i="1" s="1"/>
  <c r="M511" i="1" s="1"/>
  <c r="O511" i="1" s="1"/>
  <c r="K319" i="1" a="1"/>
  <c r="K319" i="1" s="1"/>
  <c r="M319" i="1" s="1"/>
  <c r="O319" i="1" s="1"/>
  <c r="K625" i="1" a="1"/>
  <c r="K625" i="1" s="1"/>
  <c r="M625" i="1" s="1"/>
  <c r="O625" i="1" s="1"/>
  <c r="K942" i="1" a="1"/>
  <c r="K942" i="1" s="1"/>
  <c r="M942" i="1" s="1"/>
  <c r="O942" i="1" s="1"/>
  <c r="K821" i="1" a="1"/>
  <c r="K821" i="1" s="1"/>
  <c r="M821" i="1" s="1"/>
  <c r="O821" i="1" s="1"/>
  <c r="K410" i="1" a="1"/>
  <c r="K410" i="1" s="1"/>
  <c r="M410" i="1" s="1"/>
  <c r="O410" i="1" s="1"/>
  <c r="K272" i="1" a="1"/>
  <c r="K272" i="1" s="1"/>
  <c r="M272" i="1" s="1"/>
  <c r="O272" i="1" s="1"/>
  <c r="K721" i="1" a="1"/>
  <c r="K721" i="1" s="1"/>
  <c r="M721" i="1" s="1"/>
  <c r="O721" i="1" s="1"/>
  <c r="K845" i="1" a="1"/>
  <c r="K845" i="1" s="1"/>
  <c r="M845" i="1" s="1"/>
  <c r="O845" i="1" s="1"/>
  <c r="Q845" i="1" s="1"/>
  <c r="K903" i="1" a="1"/>
  <c r="K903" i="1" s="1"/>
  <c r="M903" i="1" s="1"/>
  <c r="O903" i="1" s="1"/>
  <c r="K460" i="1" a="1"/>
  <c r="K460" i="1" s="1"/>
  <c r="M460" i="1" s="1"/>
  <c r="O460" i="1" s="1"/>
  <c r="K977" i="1" a="1"/>
  <c r="K977" i="1" s="1"/>
  <c r="M977" i="1" s="1"/>
  <c r="O977" i="1" s="1"/>
  <c r="K221" i="1" a="1"/>
  <c r="K221" i="1" s="1"/>
  <c r="M221" i="1" s="1"/>
  <c r="O221" i="1" s="1"/>
  <c r="K990" i="1" a="1"/>
  <c r="K990" i="1" s="1"/>
  <c r="M990" i="1" s="1"/>
  <c r="O990" i="1" s="1"/>
  <c r="Q990" i="1" s="1"/>
  <c r="K708" i="1" a="1"/>
  <c r="K708" i="1" s="1"/>
  <c r="M708" i="1" s="1"/>
  <c r="O708" i="1" s="1"/>
  <c r="K344" i="1" a="1"/>
  <c r="K344" i="1" s="1"/>
  <c r="M344" i="1" s="1"/>
  <c r="O344" i="1" s="1"/>
  <c r="K461" i="1" a="1"/>
  <c r="K461" i="1" s="1"/>
  <c r="M461" i="1" s="1"/>
  <c r="O461" i="1" s="1"/>
  <c r="K363" i="1" a="1"/>
  <c r="K363" i="1" s="1"/>
  <c r="M363" i="1" s="1"/>
  <c r="O363" i="1" s="1"/>
  <c r="K455" i="1" a="1"/>
  <c r="K455" i="1" s="1"/>
  <c r="M455" i="1" s="1"/>
  <c r="O455" i="1" s="1"/>
  <c r="K574" i="1" a="1"/>
  <c r="K574" i="1" s="1"/>
  <c r="M574" i="1" s="1"/>
  <c r="O574" i="1" s="1"/>
  <c r="K135" i="1" a="1"/>
  <c r="K135" i="1" s="1"/>
  <c r="M135" i="1" s="1"/>
  <c r="O135" i="1" s="1"/>
  <c r="K724" i="1" a="1"/>
  <c r="K724" i="1" s="1"/>
  <c r="M724" i="1" s="1"/>
  <c r="O724" i="1" s="1"/>
  <c r="K375" i="1" a="1"/>
  <c r="K375" i="1" s="1"/>
  <c r="M375" i="1" s="1"/>
  <c r="O375" i="1" s="1"/>
  <c r="Q375" i="1" s="1"/>
  <c r="K859" i="1" a="1"/>
  <c r="K859" i="1" s="1"/>
  <c r="M859" i="1" s="1"/>
  <c r="O859" i="1" s="1"/>
  <c r="K972" i="1" a="1"/>
  <c r="K972" i="1" s="1"/>
  <c r="M972" i="1" s="1"/>
  <c r="O972" i="1" s="1"/>
  <c r="K656" i="1" a="1"/>
  <c r="K656" i="1" s="1"/>
  <c r="M656" i="1" s="1"/>
  <c r="O656" i="1" s="1"/>
  <c r="K913" i="1" a="1"/>
  <c r="K913" i="1" s="1"/>
  <c r="M913" i="1" s="1"/>
  <c r="O913" i="1" s="1"/>
  <c r="K15" i="1" a="1"/>
  <c r="K15" i="1" s="1"/>
  <c r="M15" i="1" s="1"/>
  <c r="O15" i="1" s="1"/>
  <c r="K465" i="1" a="1"/>
  <c r="K465" i="1" s="1"/>
  <c r="M465" i="1" s="1"/>
  <c r="O465" i="1" s="1"/>
  <c r="K436" i="1" a="1"/>
  <c r="K436" i="1" s="1"/>
  <c r="M436" i="1" s="1"/>
  <c r="O436" i="1" s="1"/>
  <c r="K949" i="1" a="1"/>
  <c r="K949" i="1" s="1"/>
  <c r="M949" i="1" s="1"/>
  <c r="O949" i="1" s="1"/>
  <c r="Q949" i="1" s="1"/>
  <c r="R949" i="1" s="1"/>
  <c r="K809" i="1" a="1"/>
  <c r="K809" i="1" s="1"/>
  <c r="M809" i="1" s="1"/>
  <c r="O809" i="1" s="1"/>
  <c r="Q809" i="1" s="1"/>
  <c r="K539" i="1" a="1"/>
  <c r="K539" i="1" s="1"/>
  <c r="M539" i="1" s="1"/>
  <c r="O539" i="1" s="1"/>
  <c r="J59" i="1" a="1"/>
  <c r="J59" i="1" s="1"/>
  <c r="J298" i="1" a="1"/>
  <c r="J298" i="1" s="1"/>
  <c r="J873" i="1" a="1"/>
  <c r="J873" i="1" s="1"/>
  <c r="J81" i="1" a="1"/>
  <c r="J81" i="1" s="1"/>
  <c r="J494" i="1" a="1"/>
  <c r="J494" i="1" s="1"/>
  <c r="J593" i="1" a="1"/>
  <c r="J593" i="1" s="1"/>
  <c r="J716" i="1" a="1"/>
  <c r="J716" i="1" s="1"/>
  <c r="J232" i="1" a="1"/>
  <c r="J232" i="1" s="1"/>
  <c r="J398" i="1" a="1"/>
  <c r="J398" i="1" s="1"/>
  <c r="J83" i="1" a="1"/>
  <c r="J83" i="1" s="1"/>
  <c r="J496" i="1" a="1"/>
  <c r="J496" i="1" s="1"/>
  <c r="J557" i="1" a="1"/>
  <c r="J557" i="1" s="1"/>
  <c r="J112" i="1" a="1"/>
  <c r="J112" i="1" s="1"/>
  <c r="J935" i="1" a="1"/>
  <c r="J935" i="1" s="1"/>
  <c r="J900" i="1" a="1"/>
  <c r="J900" i="1" s="1"/>
  <c r="J647" i="1" a="1"/>
  <c r="J647" i="1" s="1"/>
  <c r="J56" i="1" a="1"/>
  <c r="J56" i="1" s="1"/>
  <c r="J799" i="1" a="1"/>
  <c r="J799" i="1" s="1"/>
  <c r="J857" i="1" a="1"/>
  <c r="J857" i="1" s="1"/>
  <c r="J175" i="1" a="1"/>
  <c r="J175" i="1" s="1"/>
  <c r="J528" i="1" a="1"/>
  <c r="J528" i="1" s="1"/>
  <c r="J746" i="1" a="1"/>
  <c r="J746" i="1" s="1"/>
  <c r="J874" i="1" a="1"/>
  <c r="J874" i="1" s="1"/>
  <c r="J740" i="1" a="1"/>
  <c r="J740" i="1" s="1"/>
  <c r="J514" i="1" a="1"/>
  <c r="J514" i="1" s="1"/>
  <c r="J998" i="1" a="1"/>
  <c r="J998" i="1" s="1"/>
  <c r="J826" i="1" a="1"/>
  <c r="J826" i="1" s="1"/>
  <c r="J320" i="1" a="1"/>
  <c r="J320" i="1" s="1"/>
  <c r="J607" i="1" a="1"/>
  <c r="J607" i="1" s="1"/>
  <c r="J570" i="1" a="1"/>
  <c r="J570" i="1" s="1"/>
  <c r="J50" i="1" a="1"/>
  <c r="J50" i="1" s="1"/>
  <c r="J368" i="1" a="1"/>
  <c r="J368" i="1" s="1"/>
  <c r="J849" i="1" a="1"/>
  <c r="J849" i="1" s="1"/>
  <c r="J783" i="1" a="1"/>
  <c r="J783" i="1" s="1"/>
  <c r="J210" i="1" a="1"/>
  <c r="J210" i="1" s="1"/>
  <c r="J833" i="1" a="1"/>
  <c r="J833" i="1" s="1"/>
  <c r="J667" i="1" a="1"/>
  <c r="J667" i="1" s="1"/>
  <c r="J484" i="1" a="1"/>
  <c r="J484" i="1" s="1"/>
  <c r="J705" i="1" a="1"/>
  <c r="J705" i="1" s="1"/>
  <c r="J149" i="1" a="1"/>
  <c r="J149" i="1" s="1"/>
  <c r="J29" i="1" a="1"/>
  <c r="J29" i="1" s="1"/>
  <c r="J563" i="1" a="1"/>
  <c r="J563" i="1" s="1"/>
  <c r="J289" i="1" a="1"/>
  <c r="J289" i="1" s="1"/>
  <c r="J800" i="1" a="1"/>
  <c r="J800" i="1" s="1"/>
  <c r="J982" i="1" a="1"/>
  <c r="J982" i="1" s="1"/>
  <c r="J412" i="1" a="1"/>
  <c r="J412" i="1" s="1"/>
  <c r="J222" i="1" a="1"/>
  <c r="J222" i="1" s="1"/>
  <c r="J178" i="1" a="1"/>
  <c r="J178" i="1" s="1"/>
  <c r="J870" i="1" a="1"/>
  <c r="J870" i="1" s="1"/>
  <c r="J233" i="1" a="1"/>
  <c r="J233" i="1" s="1"/>
  <c r="J566" i="1" a="1"/>
  <c r="J566" i="1" s="1"/>
  <c r="J914" i="1" a="1"/>
  <c r="J914" i="1" s="1"/>
  <c r="J500" i="1" a="1"/>
  <c r="J500" i="1" s="1"/>
  <c r="J883" i="1" a="1"/>
  <c r="J883" i="1" s="1"/>
  <c r="J415" i="1" a="1"/>
  <c r="J415" i="1" s="1"/>
  <c r="J851" i="1" a="1"/>
  <c r="J851" i="1" s="1"/>
  <c r="J24" i="1" a="1"/>
  <c r="J24" i="1" s="1"/>
  <c r="J945" i="1" a="1"/>
  <c r="J945" i="1" s="1"/>
  <c r="J27" i="1" a="1"/>
  <c r="J27" i="1" s="1"/>
  <c r="J796" i="1" a="1"/>
  <c r="J796" i="1" s="1"/>
  <c r="J834" i="1" a="1"/>
  <c r="J834" i="1" s="1"/>
  <c r="J611" i="1" a="1"/>
  <c r="J611" i="1" s="1"/>
  <c r="J725" i="1" a="1"/>
  <c r="J725" i="1" s="1"/>
  <c r="J307" i="1" a="1"/>
  <c r="J307" i="1" s="1"/>
  <c r="J290" i="1" a="1"/>
  <c r="J290" i="1" s="1"/>
  <c r="J985" i="1" a="1"/>
  <c r="J985" i="1" s="1"/>
  <c r="J884" i="1" a="1"/>
  <c r="J884" i="1" s="1"/>
  <c r="J376" i="1" a="1"/>
  <c r="J376" i="1" s="1"/>
  <c r="J125" i="1" a="1"/>
  <c r="J125" i="1" s="1"/>
  <c r="J946" i="1" a="1"/>
  <c r="J946" i="1" s="1"/>
  <c r="J155" i="1" a="1"/>
  <c r="J155" i="1" s="1"/>
  <c r="J467" i="1" a="1"/>
  <c r="J467" i="1" s="1"/>
  <c r="J261" i="1" a="1"/>
  <c r="J261" i="1" s="1"/>
  <c r="J889" i="1" a="1"/>
  <c r="J889" i="1" s="1"/>
  <c r="J217" i="1" a="1"/>
  <c r="J217" i="1" s="1"/>
  <c r="J347" i="1" a="1"/>
  <c r="J347" i="1" s="1"/>
  <c r="J165" i="1" a="1"/>
  <c r="J165" i="1" s="1"/>
  <c r="J218" i="1" a="1"/>
  <c r="J218" i="1" s="1"/>
  <c r="J551" i="1" a="1"/>
  <c r="J551" i="1" s="1"/>
  <c r="J560" i="1" a="1"/>
  <c r="J560" i="1" s="1"/>
  <c r="J143" i="1" a="1"/>
  <c r="J143" i="1" s="1"/>
  <c r="J784" i="1" a="1"/>
  <c r="J784" i="1" s="1"/>
  <c r="J240" i="1" a="1"/>
  <c r="J240" i="1" s="1"/>
  <c r="J517" i="1" a="1"/>
  <c r="J517" i="1" s="1"/>
  <c r="J709" i="1" a="1"/>
  <c r="J709" i="1" s="1"/>
  <c r="J453" i="1" a="1"/>
  <c r="J453" i="1" s="1"/>
  <c r="J47" i="1" a="1"/>
  <c r="J47" i="1" s="1"/>
  <c r="J742" i="1" a="1"/>
  <c r="J742" i="1" s="1"/>
  <c r="J25" i="1" a="1"/>
  <c r="J25" i="1" s="1"/>
  <c r="J199" i="1" a="1"/>
  <c r="J199" i="1" s="1"/>
  <c r="J468" i="1" a="1"/>
  <c r="J468" i="1" s="1"/>
  <c r="J170" i="1" a="1"/>
  <c r="J170" i="1" s="1"/>
  <c r="J731" i="1" a="1"/>
  <c r="J731" i="1" s="1"/>
  <c r="J735" i="1" a="1"/>
  <c r="J735" i="1" s="1"/>
  <c r="J51" i="1" a="1"/>
  <c r="J51" i="1" s="1"/>
  <c r="J457" i="1" a="1"/>
  <c r="J457" i="1" s="1"/>
  <c r="J462" i="1" a="1"/>
  <c r="J462" i="1" s="1"/>
  <c r="J501" i="1" a="1"/>
  <c r="J501" i="1" s="1"/>
  <c r="J748" i="1" a="1"/>
  <c r="J748" i="1" s="1"/>
  <c r="J512" i="1" a="1"/>
  <c r="J512" i="1" s="1"/>
  <c r="J701" i="1" a="1"/>
  <c r="J701" i="1" s="1"/>
  <c r="J262" i="1" a="1"/>
  <c r="J262" i="1" s="1"/>
  <c r="J103" i="1" a="1"/>
  <c r="J103" i="1" s="1"/>
  <c r="J485" i="1" a="1"/>
  <c r="J485" i="1" s="1"/>
  <c r="J214" i="1" a="1"/>
  <c r="J214" i="1" s="1"/>
  <c r="J860" i="1" a="1"/>
  <c r="J860" i="1" s="1"/>
  <c r="J30" i="1" a="1"/>
  <c r="J30" i="1" s="1"/>
  <c r="J136" i="1" a="1"/>
  <c r="J136" i="1" s="1"/>
  <c r="J814" i="1" a="1"/>
  <c r="J814" i="1" s="1"/>
  <c r="J275" i="1" a="1"/>
  <c r="J275" i="1" s="1"/>
  <c r="J535" i="1" a="1"/>
  <c r="J535" i="1" s="1"/>
  <c r="J608" i="1" a="1"/>
  <c r="J608" i="1" s="1"/>
  <c r="J541" i="1" a="1"/>
  <c r="J541" i="1" s="1"/>
  <c r="J850" i="1" a="1"/>
  <c r="J850" i="1" s="1"/>
  <c r="J285" i="1" a="1"/>
  <c r="J285" i="1" s="1"/>
  <c r="J263" i="1" a="1"/>
  <c r="J263" i="1" s="1"/>
  <c r="J835" i="1" a="1"/>
  <c r="J835" i="1" s="1"/>
  <c r="J407" i="1" a="1"/>
  <c r="J407" i="1" s="1"/>
  <c r="J315" i="1" a="1"/>
  <c r="J315" i="1" s="1"/>
  <c r="J383" i="1" a="1"/>
  <c r="J383" i="1" s="1"/>
  <c r="J424" i="1" a="1"/>
  <c r="J424" i="1" s="1"/>
  <c r="J437" i="1" a="1"/>
  <c r="J437" i="1" s="1"/>
  <c r="J774" i="1" a="1"/>
  <c r="J774" i="1" s="1"/>
  <c r="J268" i="1" a="1"/>
  <c r="J268" i="1" s="1"/>
  <c r="J947" i="1" a="1"/>
  <c r="J947" i="1" s="1"/>
  <c r="J416" i="1" a="1"/>
  <c r="J416" i="1" s="1"/>
  <c r="J206" i="1" a="1"/>
  <c r="J206" i="1" s="1"/>
  <c r="J104" i="1" a="1"/>
  <c r="J104" i="1" s="1"/>
  <c r="J736" i="1" a="1"/>
  <c r="J736" i="1" s="1"/>
  <c r="J264" i="1" a="1"/>
  <c r="J264" i="1" s="1"/>
  <c r="J419" i="1" a="1"/>
  <c r="J419" i="1" s="1"/>
  <c r="J728" i="1" a="1"/>
  <c r="J728" i="1" s="1"/>
  <c r="J150" i="1" a="1"/>
  <c r="J150" i="1" s="1"/>
  <c r="J269" i="1" a="1"/>
  <c r="J269" i="1" s="1"/>
  <c r="J180" i="1" a="1"/>
  <c r="J180" i="1" s="1"/>
  <c r="J797" i="1" a="1"/>
  <c r="J797" i="1" s="1"/>
  <c r="J665" i="1" a="1"/>
  <c r="J665" i="1" s="1"/>
  <c r="J659" i="1" a="1"/>
  <c r="J659" i="1" s="1"/>
  <c r="J502" i="1" a="1"/>
  <c r="J502" i="1" s="1"/>
  <c r="J448" i="1" a="1"/>
  <c r="J448" i="1" s="1"/>
  <c r="J885" i="1" a="1"/>
  <c r="J885" i="1" s="1"/>
  <c r="J182" i="1" a="1"/>
  <c r="J182" i="1" s="1"/>
  <c r="J434" i="1" a="1"/>
  <c r="J434" i="1" s="1"/>
  <c r="J518" i="1" a="1"/>
  <c r="J518" i="1" s="1"/>
  <c r="J384" i="1" a="1"/>
  <c r="J384" i="1" s="1"/>
  <c r="J955" i="1" a="1"/>
  <c r="J955" i="1" s="1"/>
  <c r="J695" i="1" a="1"/>
  <c r="J695" i="1" s="1"/>
  <c r="J207" i="1" a="1"/>
  <c r="J207" i="1" s="1"/>
  <c r="J807" i="1" a="1"/>
  <c r="J807" i="1" s="1"/>
  <c r="J60" i="1" a="1"/>
  <c r="J60" i="1" s="1"/>
  <c r="J360" i="1" a="1"/>
  <c r="J360" i="1" s="1"/>
  <c r="J215" i="1" a="1"/>
  <c r="J215" i="1" s="1"/>
  <c r="J853" i="1" a="1"/>
  <c r="J853" i="1" s="1"/>
  <c r="J365" i="1" a="1"/>
  <c r="J365" i="1" s="1"/>
  <c r="J438" i="1" a="1"/>
  <c r="J438" i="1" s="1"/>
  <c r="J890" i="1" a="1"/>
  <c r="J890" i="1" s="1"/>
  <c r="J754" i="1" a="1"/>
  <c r="J754" i="1" s="1"/>
  <c r="J190" i="1" a="1"/>
  <c r="J190" i="1" s="1"/>
  <c r="J991" i="1" a="1"/>
  <c r="J991" i="1" s="1"/>
  <c r="J486" i="1" a="1"/>
  <c r="J486" i="1" s="1"/>
  <c r="J66" i="1" a="1"/>
  <c r="J66" i="1" s="1"/>
  <c r="J270" i="1" a="1"/>
  <c r="J270" i="1" s="1"/>
  <c r="J38" i="1" a="1"/>
  <c r="J38" i="1" s="1"/>
  <c r="J72" i="1" a="1"/>
  <c r="J72" i="1" s="1"/>
  <c r="J10" i="1" a="1"/>
  <c r="J10" i="1" s="1"/>
  <c r="J810" i="1" a="1"/>
  <c r="J810" i="1" s="1"/>
  <c r="J997" i="1" a="1"/>
  <c r="J997" i="1" s="1"/>
  <c r="J966" i="1" a="1"/>
  <c r="J966" i="1" s="1"/>
  <c r="J976" i="1" a="1"/>
  <c r="J976" i="1" s="1"/>
  <c r="J341" i="1" a="1"/>
  <c r="J341" i="1" s="1"/>
  <c r="J896" i="1" a="1"/>
  <c r="J896" i="1" s="1"/>
  <c r="J117" i="1" a="1"/>
  <c r="J117" i="1" s="1"/>
  <c r="J153" i="1" a="1"/>
  <c r="J153" i="1" s="1"/>
  <c r="J763" i="1" a="1"/>
  <c r="J763" i="1" s="1"/>
  <c r="J156" i="1" a="1"/>
  <c r="J156" i="1" s="1"/>
  <c r="J171" i="1" a="1"/>
  <c r="J171" i="1" s="1"/>
  <c r="J668" i="1" a="1"/>
  <c r="J668" i="1" s="1"/>
  <c r="J861" i="1" a="1"/>
  <c r="J861" i="1" s="1"/>
  <c r="J475" i="1" a="1"/>
  <c r="J475" i="1" s="1"/>
  <c r="J191" i="1" a="1"/>
  <c r="J191" i="1" s="1"/>
  <c r="J932" i="1" a="1"/>
  <c r="J932" i="1" s="1"/>
  <c r="J589" i="1" a="1"/>
  <c r="J589" i="1" s="1"/>
  <c r="J922" i="1" a="1"/>
  <c r="J922" i="1" s="1"/>
  <c r="J449" i="1" a="1"/>
  <c r="J449" i="1" s="1"/>
  <c r="J901" i="1" a="1"/>
  <c r="J901" i="1" s="1"/>
  <c r="J586" i="1" a="1"/>
  <c r="J586" i="1" s="1"/>
  <c r="J379" i="1" a="1"/>
  <c r="J379" i="1" s="1"/>
  <c r="J380" i="1" a="1"/>
  <c r="J380" i="1" s="1"/>
  <c r="J244" i="1" a="1"/>
  <c r="J244" i="1" s="1"/>
  <c r="J381" i="1" a="1"/>
  <c r="J381" i="1" s="1"/>
  <c r="J105" i="1" a="1"/>
  <c r="J105" i="1" s="1"/>
  <c r="J652" i="1" a="1"/>
  <c r="J652" i="1" s="1"/>
  <c r="J905" i="1" a="1"/>
  <c r="J905" i="1" s="1"/>
  <c r="J487" i="1" a="1"/>
  <c r="J487" i="1" s="1"/>
  <c r="J333" i="1" a="1"/>
  <c r="J333" i="1" s="1"/>
  <c r="J886" i="1" a="1"/>
  <c r="J886" i="1" s="1"/>
  <c r="J575" i="1" a="1"/>
  <c r="J575" i="1" s="1"/>
  <c r="J481" i="1" a="1"/>
  <c r="J481" i="1" s="1"/>
  <c r="J822" i="1" a="1"/>
  <c r="J822" i="1" s="1"/>
  <c r="J515" i="1" a="1"/>
  <c r="J515" i="1" s="1"/>
  <c r="J576" i="1" a="1"/>
  <c r="J576" i="1" s="1"/>
  <c r="J408" i="1" a="1"/>
  <c r="J408" i="1" s="1"/>
  <c r="J696" i="1" a="1"/>
  <c r="J696" i="1" s="1"/>
  <c r="J755" i="1" a="1"/>
  <c r="J755" i="1" s="1"/>
  <c r="J108" i="1" a="1"/>
  <c r="J108" i="1" s="1"/>
  <c r="J828" i="1" a="1"/>
  <c r="J828" i="1" s="1"/>
  <c r="J192" i="1" a="1"/>
  <c r="J192" i="1" s="1"/>
  <c r="J254" i="1" a="1"/>
  <c r="J254" i="1" s="1"/>
  <c r="J79" i="1" a="1"/>
  <c r="J79" i="1" s="1"/>
  <c r="J96" i="1" a="1"/>
  <c r="J96" i="1" s="1"/>
  <c r="J131" i="1" a="1"/>
  <c r="J131" i="1" s="1"/>
  <c r="J330" i="1" a="1"/>
  <c r="J330" i="1" s="1"/>
  <c r="J685" i="1" a="1"/>
  <c r="J685" i="1" s="1"/>
  <c r="J676" i="1" a="1"/>
  <c r="J676" i="1" s="1"/>
  <c r="J710" i="1" a="1"/>
  <c r="J710" i="1" s="1"/>
  <c r="J256" i="1" a="1"/>
  <c r="J256" i="1" s="1"/>
  <c r="J395" i="1" a="1"/>
  <c r="J395" i="1" s="1"/>
  <c r="J46" i="1" a="1"/>
  <c r="J46" i="1" s="1"/>
  <c r="J11" i="1" a="1"/>
  <c r="J11" i="1" s="1"/>
  <c r="J852" i="1" a="1"/>
  <c r="J852" i="1" s="1"/>
  <c r="J5" i="1" a="1"/>
  <c r="J5" i="1" s="1"/>
  <c r="J943" i="1" a="1"/>
  <c r="J943" i="1" s="1"/>
  <c r="J67" i="1" a="1"/>
  <c r="J67" i="1" s="1"/>
  <c r="J184" i="1" a="1"/>
  <c r="J184" i="1" s="1"/>
  <c r="J482" i="1" a="1"/>
  <c r="J482" i="1" s="1"/>
  <c r="J756" i="1" a="1"/>
  <c r="J756" i="1" s="1"/>
  <c r="J311" i="1" a="1"/>
  <c r="J311" i="1" s="1"/>
  <c r="J558" i="1" a="1"/>
  <c r="J558" i="1" s="1"/>
  <c r="J439" i="1" a="1"/>
  <c r="J439" i="1" s="1"/>
  <c r="J545" i="1" a="1"/>
  <c r="J545" i="1" s="1"/>
  <c r="J798" i="1" a="1"/>
  <c r="J798" i="1" s="1"/>
  <c r="J293" i="1" a="1"/>
  <c r="J293" i="1" s="1"/>
  <c r="J713" i="1" a="1"/>
  <c r="J713" i="1" s="1"/>
  <c r="J172" i="1" a="1"/>
  <c r="J172" i="1" s="1"/>
  <c r="J787" i="1" a="1"/>
  <c r="J787" i="1" s="1"/>
  <c r="J788" i="1" a="1"/>
  <c r="J788" i="1" s="1"/>
  <c r="J953" i="1" a="1"/>
  <c r="J953" i="1" s="1"/>
  <c r="J846" i="1" a="1"/>
  <c r="J846" i="1" s="1"/>
  <c r="J248" i="1" a="1"/>
  <c r="J248" i="1" s="1"/>
  <c r="J660" i="1" a="1"/>
  <c r="J660" i="1" s="1"/>
  <c r="J377" i="1" a="1"/>
  <c r="J377" i="1" s="1"/>
  <c r="J328" i="1" a="1"/>
  <c r="J328" i="1" s="1"/>
  <c r="J193" i="1" a="1"/>
  <c r="J193" i="1" s="1"/>
  <c r="J648" i="1" a="1"/>
  <c r="J648" i="1" s="1"/>
  <c r="J53" i="1" a="1"/>
  <c r="J53" i="1" s="1"/>
  <c r="J469" i="1" a="1"/>
  <c r="J469" i="1" s="1"/>
  <c r="J505" i="1" a="1"/>
  <c r="J505" i="1" s="1"/>
  <c r="J321" i="1" a="1"/>
  <c r="J321" i="1" s="1"/>
  <c r="J126" i="1" a="1"/>
  <c r="J126" i="1" s="1"/>
  <c r="J714" i="1" a="1"/>
  <c r="J714" i="1" s="1"/>
  <c r="J961" i="1" a="1"/>
  <c r="J961" i="1" s="1"/>
  <c r="J308" i="1" a="1"/>
  <c r="J308" i="1" s="1"/>
  <c r="J906" i="1" a="1"/>
  <c r="J906" i="1" s="1"/>
  <c r="J552" i="1" a="1"/>
  <c r="J552" i="1" s="1"/>
  <c r="J16" i="1" a="1"/>
  <c r="J16" i="1" s="1"/>
  <c r="J229" i="1" a="1"/>
  <c r="J229" i="1" s="1"/>
  <c r="J483" i="1" a="1"/>
  <c r="J483" i="1" s="1"/>
  <c r="J226" i="1" a="1"/>
  <c r="J226" i="1" s="1"/>
  <c r="J137" i="1" a="1"/>
  <c r="J137" i="1" s="1"/>
  <c r="J476" i="1" a="1"/>
  <c r="J476" i="1" s="1"/>
  <c r="J986" i="1" a="1"/>
  <c r="J986" i="1" s="1"/>
  <c r="J404" i="1" a="1"/>
  <c r="J404" i="1" s="1"/>
  <c r="J887" i="1" a="1"/>
  <c r="J887" i="1" s="1"/>
  <c r="J88" i="1" a="1"/>
  <c r="J88" i="1" s="1"/>
  <c r="J491" i="1" a="1"/>
  <c r="J491" i="1" s="1"/>
  <c r="J717" i="1" a="1"/>
  <c r="J717" i="1" s="1"/>
  <c r="J747" i="1" a="1"/>
  <c r="J747" i="1" s="1"/>
  <c r="J302" i="1" a="1"/>
  <c r="J302" i="1" s="1"/>
  <c r="J350" i="1" a="1"/>
  <c r="J350" i="1" s="1"/>
  <c r="J970" i="1" a="1"/>
  <c r="J970" i="1" s="1"/>
  <c r="J97" i="1" a="1"/>
  <c r="J97" i="1" s="1"/>
  <c r="J369" i="1" a="1"/>
  <c r="J369" i="1" s="1"/>
  <c r="J757" i="1" a="1"/>
  <c r="J757" i="1" s="1"/>
  <c r="J613" i="1" a="1"/>
  <c r="J613" i="1" s="1"/>
  <c r="J842" i="1" a="1"/>
  <c r="J842" i="1" s="1"/>
  <c r="J973" i="1" a="1"/>
  <c r="J973" i="1" s="1"/>
  <c r="J615" i="1" a="1"/>
  <c r="J615" i="1" s="1"/>
  <c r="J775" i="1" a="1"/>
  <c r="J775" i="1" s="1"/>
  <c r="J529" i="1" a="1"/>
  <c r="J529" i="1" s="1"/>
  <c r="J138" i="1" a="1"/>
  <c r="J138" i="1" s="1"/>
  <c r="J727" i="1" a="1"/>
  <c r="J727" i="1" s="1"/>
  <c r="J54" i="1" a="1"/>
  <c r="J54" i="1" s="1"/>
  <c r="J802" i="1" a="1"/>
  <c r="J802" i="1" s="1"/>
  <c r="J661" i="1" a="1"/>
  <c r="J661" i="1" s="1"/>
  <c r="J680" i="1" a="1"/>
  <c r="J680" i="1" s="1"/>
  <c r="J144" i="1" a="1"/>
  <c r="J144" i="1" s="1"/>
  <c r="J176" i="1" a="1"/>
  <c r="J176" i="1" s="1"/>
  <c r="J524" i="1" a="1"/>
  <c r="J524" i="1" s="1"/>
  <c r="J211" i="1" a="1"/>
  <c r="J211" i="1" s="1"/>
  <c r="J68" i="1" a="1"/>
  <c r="J68" i="1" s="1"/>
  <c r="J669" i="1" a="1"/>
  <c r="J669" i="1" s="1"/>
  <c r="J399" i="1" a="1"/>
  <c r="J399" i="1" s="1"/>
  <c r="J241" i="1" a="1"/>
  <c r="J241" i="1" s="1"/>
  <c r="J553" i="1" a="1"/>
  <c r="J553" i="1" s="1"/>
  <c r="J764" i="1" a="1"/>
  <c r="J764" i="1" s="1"/>
  <c r="J200" i="1" a="1"/>
  <c r="J200" i="1" s="1"/>
  <c r="J567" i="1" a="1"/>
  <c r="J567" i="1" s="1"/>
  <c r="J167" i="1" a="1"/>
  <c r="J167" i="1" s="1"/>
  <c r="J141" i="1" a="1"/>
  <c r="J141" i="1" s="1"/>
  <c r="J273" i="1" a="1"/>
  <c r="J273" i="1" s="1"/>
  <c r="J154" i="1" a="1"/>
  <c r="J154" i="1" s="1"/>
  <c r="J334" i="1" a="1"/>
  <c r="J334" i="1" s="1"/>
  <c r="J803" i="1" a="1"/>
  <c r="J803" i="1" s="1"/>
  <c r="J151" i="1" a="1"/>
  <c r="J151" i="1" s="1"/>
  <c r="J17" i="1" a="1"/>
  <c r="J17" i="1" s="1"/>
  <c r="J440" i="1" a="1"/>
  <c r="J440" i="1" s="1"/>
  <c r="J956" i="1" a="1"/>
  <c r="J956" i="1" s="1"/>
  <c r="J98" i="1" a="1"/>
  <c r="J98" i="1" s="1"/>
  <c r="J470" i="1" a="1"/>
  <c r="J470" i="1" s="1"/>
  <c r="J929" i="1" a="1"/>
  <c r="J929" i="1" s="1"/>
  <c r="J249" i="1" a="1"/>
  <c r="J249" i="1" s="1"/>
  <c r="J525" i="1" a="1"/>
  <c r="J525" i="1" s="1"/>
  <c r="J761" i="1" a="1"/>
  <c r="J761" i="1" s="1"/>
  <c r="J597" i="1" a="1"/>
  <c r="J597" i="1" s="1"/>
  <c r="J28" i="1" a="1"/>
  <c r="J28" i="1" s="1"/>
  <c r="J632" i="1" a="1"/>
  <c r="J632" i="1" s="1"/>
  <c r="J179" i="1" a="1"/>
  <c r="J179" i="1" s="1"/>
  <c r="J864" i="1" a="1"/>
  <c r="J864" i="1" s="1"/>
  <c r="J84" i="1" a="1"/>
  <c r="J84" i="1" s="1"/>
  <c r="J295" i="1" a="1"/>
  <c r="J295" i="1" s="1"/>
  <c r="J978" i="1" a="1"/>
  <c r="J978" i="1" s="1"/>
  <c r="J510" i="1" a="1"/>
  <c r="J510" i="1" s="1"/>
  <c r="J370" i="1" a="1"/>
  <c r="J370" i="1" s="1"/>
  <c r="J829" i="1" a="1"/>
  <c r="J829" i="1" s="1"/>
  <c r="J389" i="1" a="1"/>
  <c r="J389" i="1" s="1"/>
  <c r="J471" i="1" a="1"/>
  <c r="J471" i="1" s="1"/>
  <c r="J458" i="1" a="1"/>
  <c r="J458" i="1" s="1"/>
  <c r="J769" i="1" a="1"/>
  <c r="J769" i="1" s="1"/>
  <c r="J915" i="1" a="1"/>
  <c r="J915" i="1" s="1"/>
  <c r="J18" i="1" a="1"/>
  <c r="J18" i="1" s="1"/>
  <c r="J791" i="1" a="1"/>
  <c r="J791" i="1" s="1"/>
  <c r="J157" i="1" a="1"/>
  <c r="J157" i="1" s="1"/>
  <c r="J322" i="1" a="1"/>
  <c r="J322" i="1" s="1"/>
  <c r="J507" i="1" a="1"/>
  <c r="J507" i="1" s="1"/>
  <c r="J993" i="1" a="1"/>
  <c r="J993" i="1" s="1"/>
  <c r="J587" i="1" a="1"/>
  <c r="J587" i="1" s="1"/>
  <c r="J73" i="1" a="1"/>
  <c r="J73" i="1" s="1"/>
  <c r="J382" i="1" a="1"/>
  <c r="J382" i="1" s="1"/>
  <c r="J497" i="1" a="1"/>
  <c r="J497" i="1" s="1"/>
  <c r="J366" i="1" a="1"/>
  <c r="J366" i="1" s="1"/>
  <c r="J630" i="1" a="1"/>
  <c r="J630" i="1" s="1"/>
  <c r="J425" i="1" a="1"/>
  <c r="J425" i="1" s="1"/>
  <c r="J55" i="1" a="1"/>
  <c r="J55" i="1" s="1"/>
  <c r="J242" i="1" a="1"/>
  <c r="J242" i="1" s="1"/>
  <c r="J801" i="1" a="1"/>
  <c r="J801" i="1" s="1"/>
  <c r="J409" i="1" a="1"/>
  <c r="J409" i="1" s="1"/>
  <c r="J463" i="1" a="1"/>
  <c r="J463" i="1" s="1"/>
  <c r="J456" i="1" a="1"/>
  <c r="J456" i="1" s="1"/>
  <c r="J386" i="1" a="1"/>
  <c r="J386" i="1" s="1"/>
  <c r="J749" i="1" a="1"/>
  <c r="J749" i="1" s="1"/>
  <c r="J957" i="1" a="1"/>
  <c r="J957" i="1" s="1"/>
  <c r="J325" i="1" a="1"/>
  <c r="J325" i="1" s="1"/>
  <c r="J531" i="1" a="1"/>
  <c r="J531" i="1" s="1"/>
  <c r="J983" i="1" a="1"/>
  <c r="J983" i="1" s="1"/>
  <c r="J312" i="1" a="1"/>
  <c r="J312" i="1" s="1"/>
  <c r="J795" i="1" a="1"/>
  <c r="J795" i="1" s="1"/>
  <c r="J400" i="1" a="1"/>
  <c r="J400" i="1" s="1"/>
  <c r="J342" i="1" a="1"/>
  <c r="J342" i="1" s="1"/>
  <c r="J818" i="1" a="1"/>
  <c r="J818" i="1" s="1"/>
  <c r="J441" i="1" a="1"/>
  <c r="J441" i="1" s="1"/>
  <c r="J823" i="1" a="1"/>
  <c r="J823" i="1" s="1"/>
  <c r="J343" i="1" a="1"/>
  <c r="J343" i="1" s="1"/>
  <c r="J765" i="1" a="1"/>
  <c r="J765" i="1" s="1"/>
  <c r="J85" i="1" a="1"/>
  <c r="J85" i="1" s="1"/>
  <c r="J177" i="1" a="1"/>
  <c r="J177" i="1" s="1"/>
  <c r="J304" i="1" a="1"/>
  <c r="J304" i="1" s="1"/>
  <c r="J353" i="1" a="1"/>
  <c r="J353" i="1" s="1"/>
  <c r="J429" i="1" a="1"/>
  <c r="J429" i="1" s="1"/>
  <c r="J234" i="1" a="1"/>
  <c r="J234" i="1" s="1"/>
  <c r="J417" i="1" a="1"/>
  <c r="J417" i="1" s="1"/>
  <c r="J286" i="1" a="1"/>
  <c r="J286" i="1" s="1"/>
  <c r="J132" i="1" a="1"/>
  <c r="J132" i="1" s="1"/>
  <c r="J907" i="1" a="1"/>
  <c r="J907" i="1" s="1"/>
  <c r="J113" i="1" a="1"/>
  <c r="J113" i="1" s="1"/>
  <c r="J649" i="1" a="1"/>
  <c r="J649" i="1" s="1"/>
  <c r="J930" i="1" a="1"/>
  <c r="J930" i="1" s="1"/>
  <c r="J371" i="1" a="1"/>
  <c r="J371" i="1" s="1"/>
  <c r="J863" i="1" a="1"/>
  <c r="J863" i="1" s="1"/>
  <c r="J420" i="1" a="1"/>
  <c r="J420" i="1" s="1"/>
  <c r="J843" i="1" a="1"/>
  <c r="J843" i="1" s="1"/>
  <c r="J118" i="1" a="1"/>
  <c r="J118" i="1" s="1"/>
  <c r="J836" i="1" a="1"/>
  <c r="J836" i="1" s="1"/>
  <c r="J897" i="1" a="1"/>
  <c r="J897" i="1" s="1"/>
  <c r="J280" i="1" a="1"/>
  <c r="J280" i="1" s="1"/>
  <c r="J161" i="1" a="1"/>
  <c r="J161" i="1" s="1"/>
  <c r="J635" i="1" a="1"/>
  <c r="J635" i="1" s="1"/>
  <c r="J219" i="1" a="1"/>
  <c r="J219" i="1" s="1"/>
  <c r="J559" i="1" a="1"/>
  <c r="J559" i="1" s="1"/>
  <c r="J145" i="1" a="1"/>
  <c r="J145" i="1" s="1"/>
  <c r="J237" i="1" a="1"/>
  <c r="J237" i="1" s="1"/>
  <c r="J944" i="1" a="1"/>
  <c r="J944" i="1" s="1"/>
  <c r="J698" i="1" a="1"/>
  <c r="J698" i="1" s="1"/>
  <c r="J815" i="1" a="1"/>
  <c r="J815" i="1" s="1"/>
  <c r="J931" i="1" a="1"/>
  <c r="J931" i="1" s="1"/>
  <c r="J421" i="1" a="1"/>
  <c r="J421" i="1" s="1"/>
  <c r="J139" i="1" a="1"/>
  <c r="J139" i="1" s="1"/>
  <c r="J962" i="1" a="1"/>
  <c r="J962" i="1" s="1"/>
  <c r="J158" i="1" a="1"/>
  <c r="J158" i="1" s="1"/>
  <c r="J871" i="1" a="1"/>
  <c r="J871" i="1" s="1"/>
  <c r="J542" i="1" a="1"/>
  <c r="J542" i="1" s="1"/>
  <c r="J223" i="1" a="1"/>
  <c r="J223" i="1" s="1"/>
  <c r="J950" i="1" a="1"/>
  <c r="J950" i="1" s="1"/>
  <c r="J208" i="1" a="1"/>
  <c r="J208" i="1" s="1"/>
  <c r="J35" i="1" a="1"/>
  <c r="J35" i="1" s="1"/>
  <c r="J689" i="1" a="1"/>
  <c r="J689" i="1" s="1"/>
  <c r="J316" i="1" a="1"/>
  <c r="J316" i="1" s="1"/>
  <c r="J339" i="1" a="1"/>
  <c r="J339" i="1" s="1"/>
  <c r="J506" i="1" a="1"/>
  <c r="J506" i="1" s="1"/>
  <c r="J642" i="1" a="1"/>
  <c r="J642" i="1" s="1"/>
  <c r="J196" i="1" a="1"/>
  <c r="J196" i="1" s="1"/>
  <c r="J854" i="1" a="1"/>
  <c r="J854" i="1" s="1"/>
  <c r="J974" i="1" a="1"/>
  <c r="J974" i="1" s="1"/>
  <c r="J89" i="1" a="1"/>
  <c r="J89" i="1" s="1"/>
  <c r="J250" i="1" a="1"/>
  <c r="J250" i="1" s="1"/>
  <c r="J636" i="1" a="1"/>
  <c r="J636" i="1" s="1"/>
  <c r="J693" i="1" a="1"/>
  <c r="J693" i="1" s="1"/>
  <c r="J536" i="1" a="1"/>
  <c r="J536" i="1" s="1"/>
  <c r="J78" i="1" a="1"/>
  <c r="J78" i="1" s="1"/>
  <c r="J994" i="1" a="1"/>
  <c r="J994" i="1" s="1"/>
  <c r="J865" i="1" a="1"/>
  <c r="J865" i="1" s="1"/>
  <c r="J588" i="1" a="1"/>
  <c r="J588" i="1" s="1"/>
  <c r="J626" i="1" a="1"/>
  <c r="J626" i="1" s="1"/>
  <c r="J508" i="1" a="1"/>
  <c r="J508" i="1" s="1"/>
  <c r="J504" i="1" a="1"/>
  <c r="J504" i="1" s="1"/>
  <c r="J129" i="1" a="1"/>
  <c r="J129" i="1" s="1"/>
  <c r="J74" i="1" a="1"/>
  <c r="J74" i="1" s="1"/>
  <c r="J816" i="1" a="1"/>
  <c r="J816" i="1" s="1"/>
  <c r="J766" i="1" a="1"/>
  <c r="J766" i="1" s="1"/>
  <c r="J921" i="1" a="1"/>
  <c r="J921" i="1" s="1"/>
  <c r="J251" i="1" a="1"/>
  <c r="J251" i="1" s="1"/>
  <c r="J866" i="1" a="1"/>
  <c r="J866" i="1" s="1"/>
  <c r="J776" i="1" a="1"/>
  <c r="J776" i="1" s="1"/>
  <c r="J338" i="1" a="1"/>
  <c r="J338" i="1" s="1"/>
  <c r="J577" i="1" a="1"/>
  <c r="J577" i="1" s="1"/>
  <c r="J326" i="1" a="1"/>
  <c r="J326" i="1" s="1"/>
  <c r="J891" i="1" a="1"/>
  <c r="J891" i="1" s="1"/>
  <c r="J951" i="1" a="1"/>
  <c r="J951" i="1" s="1"/>
  <c r="J130" i="1" a="1"/>
  <c r="J130" i="1" s="1"/>
  <c r="J770" i="1" a="1"/>
  <c r="J770" i="1" s="1"/>
  <c r="J719" i="1" a="1"/>
  <c r="J719" i="1" s="1"/>
  <c r="J590" i="1" a="1"/>
  <c r="J590" i="1" s="1"/>
  <c r="J939" i="1" a="1"/>
  <c r="J939" i="1" s="1"/>
  <c r="J351" i="1" a="1"/>
  <c r="J351" i="1" s="1"/>
  <c r="J532" i="1" a="1"/>
  <c r="J532" i="1" s="1"/>
  <c r="J892" i="1" a="1"/>
  <c r="J892" i="1" s="1"/>
  <c r="J224" i="1" a="1"/>
  <c r="J224" i="1" s="1"/>
  <c r="J999" i="1" a="1"/>
  <c r="J999" i="1" s="1"/>
  <c r="J847" i="1" a="1"/>
  <c r="J847" i="1" s="1"/>
  <c r="J323" i="1" a="1"/>
  <c r="J323" i="1" s="1"/>
  <c r="J916" i="1" a="1"/>
  <c r="J916" i="1" s="1"/>
  <c r="J387" i="1" a="1"/>
  <c r="J387" i="1" s="1"/>
  <c r="J777" i="1" a="1"/>
  <c r="J777" i="1" s="1"/>
  <c r="J345" i="1" a="1"/>
  <c r="J345" i="1" s="1"/>
  <c r="J276" i="1" a="1"/>
  <c r="J276" i="1" s="1"/>
  <c r="J657" i="1" a="1"/>
  <c r="J657" i="1" s="1"/>
  <c r="J230" i="1" a="1"/>
  <c r="J230" i="1" s="1"/>
  <c r="J294" i="1" a="1"/>
  <c r="J294" i="1" s="1"/>
  <c r="J627" i="1" a="1"/>
  <c r="J627" i="1" s="1"/>
  <c r="J166" i="1" a="1"/>
  <c r="J166" i="1" s="1"/>
  <c r="J227" i="1" a="1"/>
  <c r="J227" i="1" s="1"/>
  <c r="J146" i="1" a="1"/>
  <c r="J146" i="1" s="1"/>
  <c r="J917" i="1" a="1"/>
  <c r="J917" i="1" s="1"/>
  <c r="J1000" i="1" a="1"/>
  <c r="J1000" i="1" s="1"/>
  <c r="J426" i="1" a="1"/>
  <c r="J426" i="1" s="1"/>
  <c r="J620" i="1" a="1"/>
  <c r="J620" i="1" s="1"/>
  <c r="J492" i="1" a="1"/>
  <c r="J492" i="1" s="1"/>
  <c r="J195" i="1" a="1"/>
  <c r="J195" i="1" s="1"/>
  <c r="J44" i="1" a="1"/>
  <c r="J44" i="1" s="1"/>
  <c r="J595" i="1" a="1"/>
  <c r="J595" i="1" s="1"/>
  <c r="J477" i="1" a="1"/>
  <c r="J477" i="1" s="1"/>
  <c r="J743" i="1" a="1"/>
  <c r="J743" i="1" s="1"/>
  <c r="J99" i="1" a="1"/>
  <c r="J99" i="1" s="1"/>
  <c r="J681" i="1" a="1"/>
  <c r="J681" i="1" s="1"/>
  <c r="J498" i="1" a="1"/>
  <c r="J498" i="1" s="1"/>
  <c r="J124" i="1" a="1"/>
  <c r="J124" i="1" s="1"/>
  <c r="J578" i="1" a="1"/>
  <c r="J578" i="1" s="1"/>
  <c r="J22" i="1" a="1"/>
  <c r="J22" i="1" s="1"/>
  <c r="J767" i="1" a="1"/>
  <c r="J767" i="1" s="1"/>
  <c r="J231" i="1" a="1"/>
  <c r="J231" i="1" s="1"/>
  <c r="J257" i="1" a="1"/>
  <c r="J257" i="1" s="1"/>
  <c r="J52" i="1" a="1"/>
  <c r="J52" i="1" s="1"/>
  <c r="J771" i="1" a="1"/>
  <c r="J771" i="1" s="1"/>
  <c r="J888" i="1" a="1"/>
  <c r="J888" i="1" s="1"/>
  <c r="J702" i="1" a="1"/>
  <c r="J702" i="1" s="1"/>
  <c r="J183" i="1" a="1"/>
  <c r="J183" i="1" s="1"/>
  <c r="J291" i="1" a="1"/>
  <c r="J291" i="1" s="1"/>
  <c r="J549" i="1" a="1"/>
  <c r="J549" i="1" s="1"/>
  <c r="J479" i="1" a="1"/>
  <c r="J479" i="1" s="1"/>
  <c r="J785" i="1" a="1"/>
  <c r="J785" i="1" s="1"/>
  <c r="J478" i="1" a="1"/>
  <c r="J478" i="1" s="1"/>
  <c r="J653" i="1" a="1"/>
  <c r="J653" i="1" s="1"/>
  <c r="J258" i="1" a="1"/>
  <c r="J258" i="1" s="1"/>
  <c r="J201" i="1" a="1"/>
  <c r="J201" i="1" s="1"/>
  <c r="J643" i="1" a="1"/>
  <c r="J643" i="1" s="1"/>
  <c r="J582" i="1" a="1"/>
  <c r="J582" i="1" s="1"/>
  <c r="J45" i="1" a="1"/>
  <c r="J45" i="1" s="1"/>
  <c r="J23" i="1" a="1"/>
  <c r="J23" i="1" s="1"/>
  <c r="J579" i="1" a="1"/>
  <c r="J579" i="1" s="1"/>
  <c r="J927" i="1" a="1"/>
  <c r="J927" i="1" s="1"/>
  <c r="J140" i="1" a="1"/>
  <c r="J140" i="1" s="1"/>
  <c r="J759" i="1" a="1"/>
  <c r="J759" i="1" s="1"/>
  <c r="J867" i="1" a="1"/>
  <c r="J867" i="1" s="1"/>
  <c r="J711" i="1" a="1"/>
  <c r="J711" i="1" s="1"/>
  <c r="J281" i="1" a="1"/>
  <c r="J281" i="1" s="1"/>
  <c r="J691" i="1" a="1"/>
  <c r="J691" i="1" s="1"/>
  <c r="J390" i="1" a="1"/>
  <c r="J390" i="1" s="1"/>
  <c r="J830" i="1" a="1"/>
  <c r="J830" i="1" s="1"/>
  <c r="J444" i="1" a="1"/>
  <c r="J444" i="1" s="1"/>
  <c r="J772" i="1" a="1"/>
  <c r="J772" i="1" s="1"/>
  <c r="J152" i="1" a="1"/>
  <c r="J152" i="1" s="1"/>
  <c r="J245" i="1" a="1"/>
  <c r="J245" i="1" s="1"/>
  <c r="J614" i="1" a="1"/>
  <c r="J614" i="1" s="1"/>
  <c r="J768" i="1" a="1"/>
  <c r="J768" i="1" s="1"/>
  <c r="J650" i="1" a="1"/>
  <c r="J650" i="1" s="1"/>
  <c r="J564" i="1" a="1"/>
  <c r="J564" i="1" s="1"/>
  <c r="J202" i="1" a="1"/>
  <c r="J202" i="1" s="1"/>
  <c r="J526" i="1" a="1"/>
  <c r="J526" i="1" s="1"/>
  <c r="J277" i="1" a="1"/>
  <c r="J277" i="1" s="1"/>
  <c r="J393" i="1" a="1"/>
  <c r="J393" i="1" s="1"/>
  <c r="J32" i="1" a="1"/>
  <c r="J32" i="1" s="1"/>
  <c r="J780" i="1" a="1"/>
  <c r="J780" i="1" s="1"/>
  <c r="J69" i="1" a="1"/>
  <c r="J69" i="1" s="1"/>
  <c r="J372" i="1" a="1"/>
  <c r="J372" i="1" s="1"/>
  <c r="J908" i="1" a="1"/>
  <c r="J908" i="1" s="1"/>
  <c r="J844" i="1" a="1"/>
  <c r="J844" i="1" s="1"/>
  <c r="J427" i="1" a="1"/>
  <c r="J427" i="1" s="1"/>
  <c r="J519" i="1" a="1"/>
  <c r="J519" i="1" s="1"/>
  <c r="J255" i="1" a="1"/>
  <c r="J255" i="1" s="1"/>
  <c r="J898" i="1" a="1"/>
  <c r="J898" i="1" s="1"/>
  <c r="J284" i="1" a="1"/>
  <c r="J284" i="1" s="1"/>
  <c r="J868" i="1" a="1"/>
  <c r="J868" i="1" s="1"/>
  <c r="J715" i="1" a="1"/>
  <c r="J715" i="1" s="1"/>
  <c r="J808" i="1" a="1"/>
  <c r="J808" i="1" s="1"/>
  <c r="J654" i="1" a="1"/>
  <c r="J654" i="1" s="1"/>
  <c r="J119" i="1" a="1"/>
  <c r="J119" i="1" s="1"/>
  <c r="J61" i="1" a="1"/>
  <c r="J61" i="1" s="1"/>
  <c r="J690" i="1" a="1"/>
  <c r="J690" i="1" s="1"/>
  <c r="J133" i="1" a="1"/>
  <c r="J133" i="1" s="1"/>
  <c r="J472" i="1" a="1"/>
  <c r="J472" i="1" s="1"/>
  <c r="J628" i="1" a="1"/>
  <c r="J628" i="1" s="1"/>
  <c r="J503" i="1" a="1"/>
  <c r="J503" i="1" s="1"/>
  <c r="J36" i="1" a="1"/>
  <c r="J36" i="1" s="1"/>
  <c r="J831" i="1" a="1"/>
  <c r="J831" i="1" s="1"/>
  <c r="J923" i="1" a="1"/>
  <c r="J923" i="1" s="1"/>
  <c r="J598" i="1" a="1"/>
  <c r="J598" i="1" s="1"/>
  <c r="J987" i="1" a="1"/>
  <c r="J987" i="1" s="1"/>
  <c r="J405" i="1" a="1"/>
  <c r="J405" i="1" s="1"/>
  <c r="J530" i="1" a="1"/>
  <c r="J530" i="1" s="1"/>
  <c r="J893" i="1" a="1"/>
  <c r="J893" i="1" s="1"/>
  <c r="J520" i="1" a="1"/>
  <c r="J520" i="1" s="1"/>
  <c r="J967" i="1" a="1"/>
  <c r="J967" i="1" s="1"/>
  <c r="J352" i="1" a="1"/>
  <c r="J352" i="1" s="1"/>
  <c r="J543" i="1" a="1"/>
  <c r="J543" i="1" s="1"/>
  <c r="J792" i="1" a="1"/>
  <c r="J792" i="1" s="1"/>
  <c r="J49" i="1" a="1"/>
  <c r="J49" i="1" s="1"/>
  <c r="J909" i="1" a="1"/>
  <c r="J909" i="1" s="1"/>
  <c r="J937" i="1" a="1"/>
  <c r="J937" i="1" s="1"/>
  <c r="J677" i="1" a="1"/>
  <c r="J677" i="1" s="1"/>
  <c r="J599" i="1" a="1"/>
  <c r="J599" i="1" s="1"/>
  <c r="J817" i="1" a="1"/>
  <c r="J817" i="1" s="1"/>
  <c r="J31" i="1" a="1"/>
  <c r="J31" i="1" s="1"/>
  <c r="J2" i="1" a="1"/>
  <c r="J2" i="1" s="1"/>
  <c r="J633" i="1" a="1"/>
  <c r="J633" i="1" s="1"/>
  <c r="J904" i="1" a="1"/>
  <c r="J904" i="1" s="1"/>
  <c r="J670" i="1" a="1"/>
  <c r="J670" i="1" s="1"/>
  <c r="J48" i="1" a="1"/>
  <c r="J48" i="1" s="1"/>
  <c r="J42" i="1" a="1"/>
  <c r="J42" i="1" s="1"/>
  <c r="J62" i="1" a="1"/>
  <c r="J62" i="1" s="1"/>
  <c r="J94" i="1" a="1"/>
  <c r="J94" i="1" s="1"/>
  <c r="J271" i="1" a="1"/>
  <c r="J271" i="1" s="1"/>
  <c r="J975" i="1" a="1"/>
  <c r="J975" i="1" s="1"/>
  <c r="J100" i="1" a="1"/>
  <c r="J100" i="1" s="1"/>
  <c r="J811" i="1" a="1"/>
  <c r="J811" i="1" s="1"/>
  <c r="J703" i="1" a="1"/>
  <c r="J703" i="1" s="1"/>
  <c r="J488" i="1" a="1"/>
  <c r="J488" i="1" s="1"/>
  <c r="J303" i="1" a="1"/>
  <c r="J303" i="1" s="1"/>
  <c r="J422" i="1" a="1"/>
  <c r="J422" i="1" s="1"/>
  <c r="J554" i="1" a="1"/>
  <c r="J554" i="1" s="1"/>
  <c r="J687" i="1" a="1"/>
  <c r="J687" i="1" s="1"/>
  <c r="J43" i="1" a="1"/>
  <c r="J43" i="1" s="1"/>
  <c r="J114" i="1" a="1"/>
  <c r="J114" i="1" s="1"/>
  <c r="J555" i="1" a="1"/>
  <c r="J555" i="1" s="1"/>
  <c r="J858" i="1" a="1"/>
  <c r="J858" i="1" s="1"/>
  <c r="J442" i="1" a="1"/>
  <c r="J442" i="1" s="1"/>
  <c r="J580" i="1" a="1"/>
  <c r="J580" i="1" s="1"/>
  <c r="J641" i="1" a="1"/>
  <c r="J641" i="1" s="1"/>
  <c r="J225" i="1" a="1"/>
  <c r="J225" i="1" s="1"/>
  <c r="J75" i="1" a="1"/>
  <c r="J75" i="1" s="1"/>
  <c r="J120" i="1" a="1"/>
  <c r="J120" i="1" s="1"/>
  <c r="J637" i="1" a="1"/>
  <c r="J637" i="1" s="1"/>
  <c r="J185" i="1" a="1"/>
  <c r="J185" i="1" s="1"/>
  <c r="J623" i="1" a="1"/>
  <c r="J623" i="1" s="1"/>
  <c r="J952" i="1" a="1"/>
  <c r="J952" i="1" s="1"/>
  <c r="J571" i="1" a="1"/>
  <c r="J571" i="1" s="1"/>
  <c r="J159" i="1" a="1"/>
  <c r="J159" i="1" s="1"/>
  <c r="J741" i="1" a="1"/>
  <c r="J741" i="1" s="1"/>
  <c r="J910" i="1" a="1"/>
  <c r="J910" i="1" s="1"/>
  <c r="J750" i="1" a="1"/>
  <c r="J750" i="1" s="1"/>
  <c r="J12" i="1" a="1"/>
  <c r="J12" i="1" s="1"/>
  <c r="J209" i="1" a="1"/>
  <c r="J209" i="1" s="1"/>
  <c r="J265" i="1" a="1"/>
  <c r="J265" i="1" s="1"/>
  <c r="J651" i="1" a="1"/>
  <c r="J651" i="1" s="1"/>
  <c r="J259" i="1" a="1"/>
  <c r="J259" i="1" s="1"/>
  <c r="J361" i="1" a="1"/>
  <c r="J361" i="1" s="1"/>
  <c r="J299" i="1" a="1"/>
  <c r="J299" i="1" s="1"/>
  <c r="J805" i="1" a="1"/>
  <c r="J805" i="1" s="1"/>
  <c r="J920" i="1" a="1"/>
  <c r="J920" i="1" s="1"/>
  <c r="J600" i="1" a="1"/>
  <c r="J600" i="1" s="1"/>
  <c r="J565" i="1" a="1"/>
  <c r="J565" i="1" s="1"/>
  <c r="J19" i="1" a="1"/>
  <c r="J19" i="1" s="1"/>
  <c r="J737" i="1" a="1"/>
  <c r="J737" i="1" s="1"/>
  <c r="J435" i="1" a="1"/>
  <c r="J435" i="1" s="1"/>
  <c r="J203" i="1" a="1"/>
  <c r="J203" i="1" s="1"/>
  <c r="J638" i="1" a="1"/>
  <c r="J638" i="1" s="1"/>
  <c r="J924" i="1" a="1"/>
  <c r="J924" i="1" s="1"/>
  <c r="J90" i="1" a="1"/>
  <c r="J90" i="1" s="1"/>
  <c r="J499" i="1" a="1"/>
  <c r="J499" i="1" s="1"/>
  <c r="J287" i="1" a="1"/>
  <c r="J287" i="1" s="1"/>
  <c r="J684" i="1" a="1"/>
  <c r="J684" i="1" s="1"/>
  <c r="J875" i="1" a="1"/>
  <c r="J875" i="1" s="1"/>
  <c r="J428" i="1" a="1"/>
  <c r="J428" i="1" s="1"/>
  <c r="J41" i="1" a="1"/>
  <c r="J41" i="1" s="1"/>
  <c r="J662" i="1" a="1"/>
  <c r="J662" i="1" s="1"/>
  <c r="J278" i="1" a="1"/>
  <c r="J278" i="1" s="1"/>
  <c r="J39" i="1" a="1"/>
  <c r="J39" i="1" s="1"/>
  <c r="J979" i="1" a="1"/>
  <c r="J979" i="1" s="1"/>
  <c r="J252" i="1" a="1"/>
  <c r="J252" i="1" s="1"/>
  <c r="J115" i="1" a="1"/>
  <c r="J115" i="1" s="1"/>
  <c r="J300" i="1" a="1"/>
  <c r="J300" i="1" s="1"/>
  <c r="J188" i="1" a="1"/>
  <c r="J188" i="1" s="1"/>
  <c r="J91" i="1" a="1"/>
  <c r="J91" i="1" s="1"/>
  <c r="J282" i="1" a="1"/>
  <c r="J282" i="1" s="1"/>
  <c r="J692" i="1" a="1"/>
  <c r="J692" i="1" s="1"/>
  <c r="J6" i="1" a="1"/>
  <c r="J6" i="1" s="1"/>
  <c r="J216" i="1" a="1"/>
  <c r="J216" i="1" s="1"/>
  <c r="J546" i="1" a="1"/>
  <c r="J546" i="1" s="1"/>
  <c r="J824" i="1" a="1"/>
  <c r="J824" i="1" s="1"/>
  <c r="J305" i="1" a="1"/>
  <c r="J305" i="1" s="1"/>
  <c r="J712" i="1" a="1"/>
  <c r="J712" i="1" s="1"/>
  <c r="J413" i="1" a="1"/>
  <c r="J413" i="1" s="1"/>
  <c r="J228" i="1" a="1"/>
  <c r="J228" i="1" s="1"/>
  <c r="J162" i="1" a="1"/>
  <c r="J162" i="1" s="1"/>
  <c r="J940" i="1" a="1"/>
  <c r="J940" i="1" s="1"/>
  <c r="J583" i="1" a="1"/>
  <c r="J583" i="1" s="1"/>
  <c r="J106" i="1" a="1"/>
  <c r="J106" i="1" s="1"/>
  <c r="J911" i="1" a="1"/>
  <c r="J911" i="1" s="1"/>
  <c r="J938" i="1" a="1"/>
  <c r="J938" i="1" s="1"/>
  <c r="J832" i="1" a="1"/>
  <c r="J832" i="1" s="1"/>
  <c r="J373" i="1" a="1"/>
  <c r="J373" i="1" s="1"/>
  <c r="J876" i="1" a="1"/>
  <c r="J876" i="1" s="1"/>
  <c r="J621" i="1" a="1"/>
  <c r="J621" i="1" s="1"/>
  <c r="J86" i="1" a="1"/>
  <c r="J86" i="1" s="1"/>
  <c r="J980" i="1" a="1"/>
  <c r="J980" i="1" s="1"/>
  <c r="J948" i="1" a="1"/>
  <c r="J948" i="1" s="1"/>
  <c r="J101" i="1" a="1"/>
  <c r="J101" i="1" s="1"/>
  <c r="J732" i="1" a="1"/>
  <c r="J732" i="1" s="1"/>
  <c r="J317" i="1" a="1"/>
  <c r="J317" i="1" s="1"/>
  <c r="J402" i="1" a="1"/>
  <c r="J402" i="1" s="1"/>
  <c r="J163" i="1" a="1"/>
  <c r="J163" i="1" s="1"/>
  <c r="J622" i="1" a="1"/>
  <c r="J622" i="1" s="1"/>
  <c r="J378" i="1" a="1"/>
  <c r="J378" i="1" s="1"/>
  <c r="J204" i="1" a="1"/>
  <c r="J204" i="1" s="1"/>
  <c r="J236" i="1" a="1"/>
  <c r="J236" i="1" s="1"/>
  <c r="J329" i="1" a="1"/>
  <c r="J329" i="1" s="1"/>
  <c r="J288" i="1" a="1"/>
  <c r="J288" i="1" s="1"/>
  <c r="J729" i="1" a="1"/>
  <c r="J729" i="1" s="1"/>
  <c r="J3" i="1" a="1"/>
  <c r="J3" i="1" s="1"/>
  <c r="J547" i="1" a="1"/>
  <c r="J547" i="1" s="1"/>
  <c r="J266" i="1" a="1"/>
  <c r="J266" i="1" s="1"/>
  <c r="J168" i="1" a="1"/>
  <c r="J168" i="1" s="1"/>
  <c r="J591" i="1" a="1"/>
  <c r="J591" i="1" s="1"/>
  <c r="J548" i="1" a="1"/>
  <c r="J548" i="1" s="1"/>
  <c r="J243" i="1" a="1"/>
  <c r="J243" i="1" s="1"/>
  <c r="J540" i="1" a="1"/>
  <c r="J540" i="1" s="1"/>
  <c r="J142" i="1" a="1"/>
  <c r="J142" i="1" s="1"/>
  <c r="J509" i="1" a="1"/>
  <c r="J509" i="1" s="1"/>
  <c r="J63" i="1" a="1"/>
  <c r="J63" i="1" s="1"/>
  <c r="J134" i="1" a="1"/>
  <c r="J134" i="1" s="1"/>
  <c r="J572" i="1" a="1"/>
  <c r="J572" i="1" s="1"/>
  <c r="J786" i="1" a="1"/>
  <c r="J786" i="1" s="1"/>
  <c r="J33" i="1" a="1"/>
  <c r="J33" i="1" s="1"/>
  <c r="J13" i="1" a="1"/>
  <c r="J13" i="1" s="1"/>
  <c r="J778" i="1" a="1"/>
  <c r="J778" i="1" s="1"/>
  <c r="J544" i="1" a="1"/>
  <c r="J544" i="1" s="1"/>
  <c r="J4" i="1" a="1"/>
  <c r="J4" i="1" s="1"/>
  <c r="J80" i="1" a="1"/>
  <c r="J80" i="1" s="1"/>
  <c r="J601" i="1" a="1"/>
  <c r="J601" i="1" s="1"/>
  <c r="J111" i="1" a="1"/>
  <c r="J111" i="1" s="1"/>
  <c r="J102" i="1" a="1"/>
  <c r="J102" i="1" s="1"/>
  <c r="J394" i="1" a="1"/>
  <c r="J394" i="1" s="1"/>
  <c r="J616" i="1" a="1"/>
  <c r="J616" i="1" s="1"/>
  <c r="J385" i="1" a="1"/>
  <c r="J385" i="1" s="1"/>
  <c r="J663" i="1" a="1"/>
  <c r="J663" i="1" s="1"/>
  <c r="J92" i="1" a="1"/>
  <c r="J92" i="1" s="1"/>
  <c r="J346" i="1" a="1"/>
  <c r="J346" i="1" s="1"/>
  <c r="J872" i="1" a="1"/>
  <c r="J872" i="1" s="1"/>
  <c r="J313" i="1" a="1"/>
  <c r="J313" i="1" s="1"/>
  <c r="J819" i="1" a="1"/>
  <c r="J819" i="1" s="1"/>
  <c r="J963" i="1" a="1"/>
  <c r="J963" i="1" s="1"/>
  <c r="J533" i="1" a="1"/>
  <c r="J533" i="1" s="1"/>
  <c r="J301" i="1" a="1"/>
  <c r="J301" i="1" s="1"/>
  <c r="J274" i="1" a="1"/>
  <c r="J274" i="1" s="1"/>
  <c r="J445" i="1" a="1"/>
  <c r="J445" i="1" s="1"/>
  <c r="J666" i="1" a="1"/>
  <c r="J666" i="1" s="1"/>
  <c r="J493" i="1" a="1"/>
  <c r="J493" i="1" s="1"/>
  <c r="J454" i="1" a="1"/>
  <c r="J454" i="1" s="1"/>
  <c r="J364" i="1" a="1"/>
  <c r="J364" i="1" s="1"/>
  <c r="J682" i="1" a="1"/>
  <c r="J682" i="1" s="1"/>
  <c r="J988" i="1" a="1"/>
  <c r="J988" i="1" s="1"/>
  <c r="J624" i="1" a="1"/>
  <c r="J624" i="1" s="1"/>
  <c r="J513" i="1" a="1"/>
  <c r="J513" i="1" s="1"/>
  <c r="J160" i="1" a="1"/>
  <c r="J160" i="1" s="1"/>
  <c r="J189" i="1" a="1"/>
  <c r="J189" i="1" s="1"/>
  <c r="J825" i="1" a="1"/>
  <c r="J825" i="1" s="1"/>
  <c r="J936" i="1" a="1"/>
  <c r="J936" i="1" s="1"/>
  <c r="J837" i="1" a="1"/>
  <c r="J837" i="1" s="1"/>
  <c r="J617" i="1" a="1"/>
  <c r="J617" i="1" s="1"/>
  <c r="J464" i="1" a="1"/>
  <c r="J464" i="1" s="1"/>
  <c r="J57" i="1" a="1"/>
  <c r="J57" i="1" s="1"/>
  <c r="J64" i="1" a="1"/>
  <c r="J64" i="1" s="1"/>
  <c r="J7" i="1" a="1"/>
  <c r="J7" i="1" s="1"/>
  <c r="J65" i="1" a="1"/>
  <c r="J65" i="1" s="1"/>
  <c r="J37" i="1" a="1"/>
  <c r="J37" i="1" s="1"/>
  <c r="J925" i="1" a="1"/>
  <c r="J925" i="1" s="1"/>
  <c r="J688" i="1" a="1"/>
  <c r="J688" i="1" s="1"/>
  <c r="J324" i="1" a="1"/>
  <c r="J324" i="1" s="1"/>
  <c r="J992" i="1" a="1"/>
  <c r="J992" i="1" s="1"/>
  <c r="J521" i="1" a="1"/>
  <c r="J521" i="1" s="1"/>
  <c r="J812" i="1" a="1"/>
  <c r="J812" i="1" s="1"/>
  <c r="J604" i="1" a="1"/>
  <c r="J604" i="1" s="1"/>
  <c r="J495" i="1" a="1"/>
  <c r="J495" i="1" s="1"/>
  <c r="J806" i="1" a="1"/>
  <c r="J806" i="1" s="1"/>
  <c r="J674" i="1" a="1"/>
  <c r="J674" i="1" s="1"/>
  <c r="J122" i="1" a="1"/>
  <c r="J122" i="1" s="1"/>
  <c r="J869" i="1" a="1"/>
  <c r="J869" i="1" s="1"/>
  <c r="J694" i="1" a="1"/>
  <c r="J694" i="1" s="1"/>
  <c r="J912" i="1" a="1"/>
  <c r="J912" i="1" s="1"/>
  <c r="J612" i="1" a="1"/>
  <c r="J612" i="1" s="1"/>
  <c r="J296" i="1" a="1"/>
  <c r="J296" i="1" s="1"/>
  <c r="J813" i="1" a="1"/>
  <c r="J813" i="1" s="1"/>
  <c r="J726" i="1" a="1"/>
  <c r="J726" i="1" s="1"/>
  <c r="J396" i="1" a="1"/>
  <c r="J396" i="1" s="1"/>
  <c r="J107" i="1" a="1"/>
  <c r="J107" i="1" s="1"/>
  <c r="J596" i="1" a="1"/>
  <c r="J596" i="1" s="1"/>
  <c r="J212" i="1" a="1"/>
  <c r="J212" i="1" s="1"/>
  <c r="J933" i="1" a="1"/>
  <c r="J933" i="1" s="1"/>
  <c r="J602" i="1" a="1"/>
  <c r="J602" i="1" s="1"/>
  <c r="J534" i="1" a="1"/>
  <c r="J534" i="1" s="1"/>
  <c r="J418" i="1" a="1"/>
  <c r="J418" i="1" s="1"/>
  <c r="J235" i="1" a="1"/>
  <c r="J235" i="1" s="1"/>
  <c r="J751" i="1" a="1"/>
  <c r="J751" i="1" s="1"/>
  <c r="J8" i="1" a="1"/>
  <c r="J8" i="1" s="1"/>
  <c r="J704" i="1" a="1"/>
  <c r="J704" i="1" s="1"/>
  <c r="J473" i="1" a="1"/>
  <c r="J473" i="1" s="1"/>
  <c r="J880" i="1" a="1"/>
  <c r="J880" i="1" s="1"/>
  <c r="J781" i="1" a="1"/>
  <c r="J781" i="1" s="1"/>
  <c r="J164" i="1" a="1"/>
  <c r="J164" i="1" s="1"/>
  <c r="J671" i="1" a="1"/>
  <c r="J671" i="1" s="1"/>
  <c r="J93" i="1" a="1"/>
  <c r="J93" i="1" s="1"/>
  <c r="J186" i="1" a="1"/>
  <c r="J186" i="1" s="1"/>
  <c r="J443" i="1" a="1"/>
  <c r="J443" i="1" s="1"/>
  <c r="J348" i="1" a="1"/>
  <c r="J348" i="1" s="1"/>
  <c r="J430" i="1" a="1"/>
  <c r="J430" i="1" s="1"/>
  <c r="J958" i="1" a="1"/>
  <c r="J958" i="1" s="1"/>
  <c r="J968" i="1" a="1"/>
  <c r="J968" i="1" s="1"/>
  <c r="J706" i="1" a="1"/>
  <c r="J706" i="1" s="1"/>
  <c r="J856" i="1" a="1"/>
  <c r="J856" i="1" s="1"/>
  <c r="J173" i="1" a="1"/>
  <c r="J173" i="1" s="1"/>
  <c r="J644" i="1" a="1"/>
  <c r="J644" i="1" s="1"/>
  <c r="J862" i="1" a="1"/>
  <c r="J862" i="1" s="1"/>
  <c r="J744" i="1" a="1"/>
  <c r="J744" i="1" s="1"/>
  <c r="J634" i="1" a="1"/>
  <c r="J634" i="1" s="1"/>
  <c r="J899" i="1" a="1"/>
  <c r="J899" i="1" s="1"/>
  <c r="J123" i="1" a="1"/>
  <c r="J123" i="1" s="1"/>
  <c r="J446" i="1" a="1"/>
  <c r="J446" i="1" s="1"/>
  <c r="J355" i="1" a="1"/>
  <c r="J355" i="1" s="1"/>
  <c r="J928" i="1" a="1"/>
  <c r="J928" i="1" s="1"/>
  <c r="J220" i="1" a="1"/>
  <c r="J220" i="1" s="1"/>
  <c r="J561" i="1" a="1"/>
  <c r="J561" i="1" s="1"/>
  <c r="J934" i="1" a="1"/>
  <c r="J934" i="1" s="1"/>
  <c r="J197" i="1" a="1"/>
  <c r="J197" i="1" s="1"/>
  <c r="J605" i="1" a="1"/>
  <c r="J605" i="1" s="1"/>
  <c r="J397" i="1" a="1"/>
  <c r="J397" i="1" s="1"/>
  <c r="J450" i="1" a="1"/>
  <c r="J450" i="1" s="1"/>
  <c r="J335" i="1" a="1"/>
  <c r="J335" i="1" s="1"/>
  <c r="J838" i="1" a="1"/>
  <c r="J838" i="1" s="1"/>
  <c r="J522" i="1" a="1"/>
  <c r="J522" i="1" s="1"/>
  <c r="J459" i="1" a="1"/>
  <c r="J459" i="1" s="1"/>
  <c r="J357" i="1" a="1"/>
  <c r="J357" i="1" s="1"/>
  <c r="J1001" i="1" a="1"/>
  <c r="J1001" i="1" s="1"/>
  <c r="J181" i="1" a="1"/>
  <c r="J181" i="1" s="1"/>
  <c r="J655" i="1" a="1"/>
  <c r="J655" i="1" s="1"/>
  <c r="J82" i="1" a="1"/>
  <c r="J82" i="1" s="1"/>
  <c r="J745" i="1" a="1"/>
  <c r="J745" i="1" s="1"/>
  <c r="J336" i="1" a="1"/>
  <c r="J336" i="1" s="1"/>
  <c r="J480" i="1" a="1"/>
  <c r="J480" i="1" s="1"/>
  <c r="J431" i="1" a="1"/>
  <c r="J431" i="1" s="1"/>
  <c r="J70" i="1" a="1"/>
  <c r="J70" i="1" s="1"/>
  <c r="J738" i="1" a="1"/>
  <c r="J738" i="1" s="1"/>
  <c r="J609" i="1" a="1"/>
  <c r="J609" i="1" s="1"/>
  <c r="J619" i="1" a="1"/>
  <c r="J619" i="1" s="1"/>
  <c r="J773" i="1" a="1"/>
  <c r="J773" i="1" s="1"/>
  <c r="J121" i="1" a="1"/>
  <c r="J121" i="1" s="1"/>
  <c r="J406" i="1" a="1"/>
  <c r="J406" i="1" s="1"/>
  <c r="J411" i="1" a="1"/>
  <c r="J411" i="1" s="1"/>
  <c r="J733" i="1" a="1"/>
  <c r="J733" i="1" s="1"/>
  <c r="J581" i="1" a="1"/>
  <c r="J581" i="1" s="1"/>
  <c r="J34" i="1" a="1"/>
  <c r="J34" i="1" s="1"/>
  <c r="J238" i="1" a="1"/>
  <c r="J238" i="1" s="1"/>
  <c r="J474" i="1" a="1"/>
  <c r="J474" i="1" s="1"/>
  <c r="J645" i="1" a="1"/>
  <c r="J645" i="1" s="1"/>
  <c r="J358" i="1" a="1"/>
  <c r="J358" i="1" s="1"/>
  <c r="J447" i="1" a="1"/>
  <c r="J447" i="1" s="1"/>
  <c r="J432" i="1" a="1"/>
  <c r="J432" i="1" s="1"/>
  <c r="J14" i="1" a="1"/>
  <c r="J14" i="1" s="1"/>
  <c r="J895" i="1" a="1"/>
  <c r="J895" i="1" s="1"/>
  <c r="J568" i="1" a="1"/>
  <c r="J568" i="1" s="1"/>
  <c r="J194" i="1" a="1"/>
  <c r="J194" i="1" s="1"/>
  <c r="J260" i="1" a="1"/>
  <c r="J260" i="1" s="1"/>
  <c r="J267" i="1" a="1"/>
  <c r="J267" i="1" s="1"/>
  <c r="J314" i="1" a="1"/>
  <c r="J314" i="1" s="1"/>
  <c r="J793" i="1" a="1"/>
  <c r="J793" i="1" s="1"/>
  <c r="J71" i="1" a="1"/>
  <c r="J71" i="1" s="1"/>
  <c r="J127" i="1" a="1"/>
  <c r="J127" i="1" s="1"/>
  <c r="J516" i="1" a="1"/>
  <c r="J516" i="1" s="1"/>
  <c r="J523" i="1" a="1"/>
  <c r="J523" i="1" s="1"/>
  <c r="J327" i="1" a="1"/>
  <c r="J327" i="1" s="1"/>
  <c r="J984" i="1" a="1"/>
  <c r="J984" i="1"/>
  <c r="J401" i="1" a="1"/>
  <c r="J401" i="1" s="1"/>
  <c r="J76" i="1" a="1"/>
  <c r="J76" i="1" s="1"/>
  <c r="J433" i="1" a="1"/>
  <c r="J433" i="1" s="1"/>
  <c r="J664" i="1" a="1"/>
  <c r="J664" i="1" s="1"/>
  <c r="J827" i="1" a="1"/>
  <c r="J827" i="1" s="1"/>
  <c r="J789" i="1" a="1"/>
  <c r="J789" i="1" s="1"/>
  <c r="J782" i="1" a="1"/>
  <c r="J782" i="1" s="1"/>
  <c r="J584" i="1" a="1"/>
  <c r="J584" i="1" s="1"/>
  <c r="J128" i="1" a="1"/>
  <c r="J128" i="1" s="1"/>
  <c r="J820" i="1" a="1"/>
  <c r="J820" i="1" s="1"/>
  <c r="J752" i="1" a="1"/>
  <c r="J752" i="1" s="1"/>
  <c r="J174" i="1" a="1"/>
  <c r="J174" i="1" s="1"/>
  <c r="J941" i="1" a="1"/>
  <c r="J941" i="1" s="1"/>
  <c r="J340" i="1" a="1"/>
  <c r="J340" i="1" s="1"/>
  <c r="J839" i="1" a="1"/>
  <c r="J839" i="1" s="1"/>
  <c r="J718" i="1" a="1"/>
  <c r="J718" i="1" s="1"/>
  <c r="J995" i="1" a="1"/>
  <c r="J995" i="1" s="1"/>
  <c r="J253" i="1" a="1"/>
  <c r="J253" i="1" s="1"/>
  <c r="J423" i="1" a="1"/>
  <c r="J423" i="1" s="1"/>
  <c r="J739" i="1" a="1"/>
  <c r="J739" i="1" s="1"/>
  <c r="J697" i="1" a="1"/>
  <c r="J697" i="1" s="1"/>
  <c r="J309" i="1" a="1"/>
  <c r="J309" i="1" s="1"/>
  <c r="J374" i="1" a="1"/>
  <c r="J374" i="1" s="1"/>
  <c r="J840" i="1" a="1"/>
  <c r="J840" i="1" s="1"/>
  <c r="J279" i="1" a="1"/>
  <c r="J279" i="1" s="1"/>
  <c r="J877" i="1" a="1"/>
  <c r="J877" i="1" s="1"/>
  <c r="J147" i="1" a="1"/>
  <c r="J147" i="1" s="1"/>
  <c r="J675" i="1" a="1"/>
  <c r="J675" i="1" s="1"/>
  <c r="J391" i="1" a="1"/>
  <c r="J391" i="1" s="1"/>
  <c r="J954" i="1" a="1"/>
  <c r="J954" i="1" s="1"/>
  <c r="J26" i="1" a="1"/>
  <c r="J26" i="1" s="1"/>
  <c r="J881" i="1" a="1"/>
  <c r="J881" i="1" s="1"/>
  <c r="J639" i="1" a="1"/>
  <c r="J639" i="1" s="1"/>
  <c r="J310" i="1" a="1"/>
  <c r="J310" i="1" s="1"/>
  <c r="J573" i="1" a="1"/>
  <c r="J573" i="1" s="1"/>
  <c r="J451" i="1" a="1"/>
  <c r="J451" i="1" s="1"/>
  <c r="J349" i="1" a="1"/>
  <c r="J349" i="1" s="1"/>
  <c r="J989" i="1" a="1"/>
  <c r="J989" i="1" s="1"/>
  <c r="J603" i="1" a="1"/>
  <c r="J603" i="1" s="1"/>
  <c r="J283" i="1" a="1"/>
  <c r="J283" i="1" s="1"/>
  <c r="J678" i="1" a="1"/>
  <c r="J678" i="1" s="1"/>
  <c r="J918" i="1" a="1"/>
  <c r="J918" i="1" s="1"/>
  <c r="J95" i="1" a="1"/>
  <c r="J95" i="1" s="1"/>
  <c r="J640" i="1" a="1"/>
  <c r="J640" i="1" s="1"/>
  <c r="J392" i="1" a="1"/>
  <c r="J392" i="1" s="1"/>
  <c r="J337" i="1" a="1"/>
  <c r="J337" i="1" s="1"/>
  <c r="J720" i="1" a="1"/>
  <c r="J720" i="1" s="1"/>
  <c r="J753" i="1" a="1"/>
  <c r="J753" i="1" s="1"/>
  <c r="J77" i="1" a="1"/>
  <c r="J77" i="1" s="1"/>
  <c r="J362" i="1" a="1"/>
  <c r="J362" i="1" s="1"/>
  <c r="J556" i="1" a="1"/>
  <c r="J556" i="1" s="1"/>
  <c r="J699" i="1" a="1"/>
  <c r="J699" i="1" s="1"/>
  <c r="J169" i="1" a="1"/>
  <c r="J169" i="1" s="1"/>
  <c r="J292" i="1" a="1"/>
  <c r="J292" i="1" s="1"/>
  <c r="J331" i="1" a="1"/>
  <c r="J331" i="1" s="1"/>
  <c r="J452" i="1" a="1"/>
  <c r="J452" i="1" s="1"/>
  <c r="J9" i="1" a="1"/>
  <c r="J9" i="1" s="1"/>
  <c r="J187" i="1" a="1"/>
  <c r="J187" i="1" s="1"/>
  <c r="J969" i="1" a="1"/>
  <c r="J969" i="1" s="1"/>
  <c r="J354" i="1" a="1"/>
  <c r="J354" i="1" s="1"/>
  <c r="J981" i="1" a="1"/>
  <c r="J981" i="1" s="1"/>
  <c r="J707" i="1" a="1"/>
  <c r="J707" i="1" s="1"/>
  <c r="J722" i="1" a="1"/>
  <c r="J722" i="1" s="1"/>
  <c r="J247" i="1" a="1"/>
  <c r="J247" i="1" s="1"/>
  <c r="J760" i="1" a="1"/>
  <c r="J760" i="1" s="1"/>
  <c r="J40" i="1" a="1"/>
  <c r="J40" i="1" s="1"/>
  <c r="J919" i="1" a="1"/>
  <c r="J919" i="1" s="1"/>
  <c r="J332" i="1" a="1"/>
  <c r="J332" i="1" s="1"/>
  <c r="J734" i="1" a="1"/>
  <c r="J734" i="1" s="1"/>
  <c r="J466" i="1" a="1"/>
  <c r="J466" i="1" s="1"/>
  <c r="J672" i="1" a="1"/>
  <c r="J672" i="1" s="1"/>
  <c r="J58" i="1" a="1"/>
  <c r="J58" i="1" s="1"/>
  <c r="J658" i="1" a="1"/>
  <c r="J658" i="1" s="1"/>
  <c r="J964" i="1" a="1"/>
  <c r="J964" i="1" s="1"/>
  <c r="J631" i="1" a="1"/>
  <c r="J631" i="1" s="1"/>
  <c r="J87" i="1" a="1"/>
  <c r="J87" i="1" s="1"/>
  <c r="J537" i="1" a="1"/>
  <c r="J537" i="1" s="1"/>
  <c r="J414" i="1" a="1"/>
  <c r="J414" i="1" s="1"/>
  <c r="J878" i="1" a="1"/>
  <c r="J878" i="1" s="1"/>
  <c r="J213" i="1" a="1"/>
  <c r="J213" i="1" s="1"/>
  <c r="J585" i="1" a="1"/>
  <c r="J585" i="1" s="1"/>
  <c r="J965" i="1" a="1"/>
  <c r="J965" i="1" s="1"/>
  <c r="J198" i="1" a="1"/>
  <c r="J198" i="1" s="1"/>
  <c r="J594" i="1" a="1"/>
  <c r="J594" i="1" s="1"/>
  <c r="J527" i="1" a="1"/>
  <c r="J527" i="1" s="1"/>
  <c r="J610" i="1" a="1"/>
  <c r="J610" i="1" s="1"/>
  <c r="J879" i="1" a="1"/>
  <c r="J879" i="1" s="1"/>
  <c r="J489" i="1" a="1"/>
  <c r="J489" i="1" s="1"/>
  <c r="J673" i="1" a="1"/>
  <c r="J673" i="1" s="1"/>
  <c r="J894" i="1" a="1"/>
  <c r="J894" i="1" s="1"/>
  <c r="J882" i="1" a="1"/>
  <c r="J882" i="1" s="1"/>
  <c r="J109" i="1" a="1"/>
  <c r="J109" i="1" s="1"/>
  <c r="J318" i="1" a="1"/>
  <c r="J318" i="1" s="1"/>
  <c r="J971" i="1" a="1"/>
  <c r="J971" i="1" s="1"/>
  <c r="J804" i="1" a="1"/>
  <c r="J804" i="1" s="1"/>
  <c r="J779" i="1" a="1"/>
  <c r="J779" i="1" s="1"/>
  <c r="J20" i="1" a="1"/>
  <c r="J20" i="1" s="1"/>
  <c r="J646" i="1" a="1"/>
  <c r="J646" i="1" s="1"/>
  <c r="J403" i="1" a="1"/>
  <c r="J403" i="1" s="1"/>
  <c r="J306" i="1" a="1"/>
  <c r="J306" i="1" s="1"/>
  <c r="J855" i="1" a="1"/>
  <c r="J855" i="1" s="1"/>
  <c r="J848" i="1" a="1"/>
  <c r="J848" i="1" s="1"/>
  <c r="J959" i="1" a="1"/>
  <c r="J959" i="1" s="1"/>
  <c r="J297" i="1" a="1"/>
  <c r="J297" i="1" s="1"/>
  <c r="J618" i="1" a="1"/>
  <c r="J618" i="1" s="1"/>
  <c r="J569" i="1" a="1"/>
  <c r="J569" i="1" s="1"/>
  <c r="J730" i="1" a="1"/>
  <c r="J730" i="1" s="1"/>
  <c r="J794" i="1" a="1"/>
  <c r="J794" i="1" s="1"/>
  <c r="J538" i="1" a="1"/>
  <c r="J538" i="1" s="1"/>
  <c r="J359" i="1" a="1"/>
  <c r="J359" i="1" s="1"/>
  <c r="J367" i="1" a="1"/>
  <c r="J367" i="1" s="1"/>
  <c r="J562" i="1" a="1"/>
  <c r="J562" i="1" s="1"/>
  <c r="J205" i="1" a="1"/>
  <c r="J205" i="1" s="1"/>
  <c r="J592" i="1" a="1"/>
  <c r="J592" i="1" s="1"/>
  <c r="J239" i="1" a="1"/>
  <c r="J239" i="1" s="1"/>
  <c r="J758" i="1" a="1"/>
  <c r="J758" i="1" s="1"/>
  <c r="J550" i="1" a="1"/>
  <c r="J550" i="1" s="1"/>
  <c r="J148" i="1" a="1"/>
  <c r="J148" i="1" s="1"/>
  <c r="J790" i="1" a="1"/>
  <c r="J790" i="1" s="1"/>
  <c r="J960" i="1" a="1"/>
  <c r="J960" i="1" s="1"/>
  <c r="J996" i="1" a="1"/>
  <c r="J996" i="1" s="1"/>
  <c r="J629" i="1" a="1"/>
  <c r="J629" i="1" s="1"/>
  <c r="J679" i="1" a="1"/>
  <c r="J679" i="1" s="1"/>
  <c r="J762" i="1" a="1"/>
  <c r="J762" i="1" s="1"/>
  <c r="J723" i="1" a="1"/>
  <c r="J723" i="1" s="1"/>
  <c r="J110" i="1" a="1"/>
  <c r="J110" i="1" s="1"/>
  <c r="J686" i="1" a="1"/>
  <c r="J686" i="1" s="1"/>
  <c r="J21" i="1" a="1"/>
  <c r="J21" i="1" s="1"/>
  <c r="J356" i="1" a="1"/>
  <c r="J356" i="1" s="1"/>
  <c r="J116" i="1" a="1"/>
  <c r="J116" i="1" s="1"/>
  <c r="J683" i="1" a="1"/>
  <c r="J683" i="1" s="1"/>
  <c r="J606" i="1" a="1"/>
  <c r="J606" i="1" s="1"/>
  <c r="J700" i="1" a="1"/>
  <c r="J700" i="1" s="1"/>
  <c r="J841" i="1" a="1"/>
  <c r="J841" i="1" s="1"/>
  <c r="J388" i="1" a="1"/>
  <c r="J388" i="1" s="1"/>
  <c r="J902" i="1" a="1"/>
  <c r="J902" i="1" s="1"/>
  <c r="J490" i="1" a="1"/>
  <c r="J490" i="1" s="1"/>
  <c r="J246" i="1" a="1"/>
  <c r="J246" i="1" s="1"/>
  <c r="J926" i="1" a="1"/>
  <c r="J926" i="1" s="1"/>
  <c r="J511" i="1" a="1"/>
  <c r="J511" i="1" s="1"/>
  <c r="J319" i="1" a="1"/>
  <c r="J319" i="1" s="1"/>
  <c r="J625" i="1" a="1"/>
  <c r="J625" i="1" s="1"/>
  <c r="J942" i="1" a="1"/>
  <c r="J942" i="1" s="1"/>
  <c r="J821" i="1" a="1"/>
  <c r="J821" i="1" s="1"/>
  <c r="J410" i="1" a="1"/>
  <c r="J410" i="1" s="1"/>
  <c r="J272" i="1" a="1"/>
  <c r="J272" i="1" s="1"/>
  <c r="J721" i="1" a="1"/>
  <c r="J721" i="1" s="1"/>
  <c r="J845" i="1" a="1"/>
  <c r="J845" i="1" s="1"/>
  <c r="J903" i="1" a="1"/>
  <c r="J903" i="1" s="1"/>
  <c r="J460" i="1" a="1"/>
  <c r="J460" i="1" s="1"/>
  <c r="J977" i="1" a="1"/>
  <c r="J977" i="1" s="1"/>
  <c r="J221" i="1" a="1"/>
  <c r="J221" i="1" s="1"/>
  <c r="J990" i="1" a="1"/>
  <c r="J990" i="1" s="1"/>
  <c r="J708" i="1" a="1"/>
  <c r="J708" i="1" s="1"/>
  <c r="J344" i="1" a="1"/>
  <c r="J344" i="1" s="1"/>
  <c r="J461" i="1" a="1"/>
  <c r="J461" i="1" s="1"/>
  <c r="J363" i="1" a="1"/>
  <c r="J363" i="1" s="1"/>
  <c r="J455" i="1" a="1"/>
  <c r="J455" i="1" s="1"/>
  <c r="J574" i="1" a="1"/>
  <c r="J574" i="1" s="1"/>
  <c r="J135" i="1" a="1"/>
  <c r="J135" i="1" s="1"/>
  <c r="J724" i="1" a="1"/>
  <c r="J724" i="1" s="1"/>
  <c r="J375" i="1" a="1"/>
  <c r="J375" i="1" s="1"/>
  <c r="J859" i="1" a="1"/>
  <c r="J859" i="1" s="1"/>
  <c r="J972" i="1" a="1"/>
  <c r="J972" i="1" s="1"/>
  <c r="J656" i="1" a="1"/>
  <c r="J656" i="1" s="1"/>
  <c r="J913" i="1" a="1"/>
  <c r="J913" i="1" s="1"/>
  <c r="J15" i="1" a="1"/>
  <c r="J15" i="1" s="1"/>
  <c r="J465" i="1" a="1"/>
  <c r="J465" i="1" s="1"/>
  <c r="J436" i="1" a="1"/>
  <c r="J436" i="1" s="1"/>
  <c r="J949" i="1" a="1"/>
  <c r="J949" i="1" s="1"/>
  <c r="J809" i="1" a="1"/>
  <c r="J809" i="1" s="1"/>
  <c r="J539" i="1" a="1"/>
  <c r="J539" i="1" s="1"/>
  <c r="G298" i="1" a="1"/>
  <c r="G298" i="1" s="1"/>
  <c r="G873" i="1" a="1"/>
  <c r="G873" i="1" s="1"/>
  <c r="G81" i="1" a="1"/>
  <c r="G81" i="1" s="1"/>
  <c r="G494" i="1" a="1"/>
  <c r="G494" i="1" s="1"/>
  <c r="G593" i="1" a="1"/>
  <c r="G593" i="1" s="1"/>
  <c r="G716" i="1" a="1"/>
  <c r="G716" i="1" s="1"/>
  <c r="G232" i="1" a="1"/>
  <c r="G232" i="1" s="1"/>
  <c r="G398" i="1" a="1"/>
  <c r="G398" i="1" s="1"/>
  <c r="G83" i="1" a="1"/>
  <c r="G83" i="1" s="1"/>
  <c r="G496" i="1" a="1"/>
  <c r="G496" i="1" s="1"/>
  <c r="G557" i="1" a="1"/>
  <c r="G557" i="1" s="1"/>
  <c r="G112" i="1" a="1"/>
  <c r="G112" i="1" s="1"/>
  <c r="G935" i="1" a="1"/>
  <c r="G935" i="1" s="1"/>
  <c r="G900" i="1" a="1"/>
  <c r="G900" i="1" s="1"/>
  <c r="G647" i="1" a="1"/>
  <c r="G647" i="1" s="1"/>
  <c r="G56" i="1" a="1"/>
  <c r="G56" i="1" s="1"/>
  <c r="G799" i="1" a="1"/>
  <c r="G799" i="1" s="1"/>
  <c r="G857" i="1" a="1"/>
  <c r="G857" i="1" s="1"/>
  <c r="G175" i="1" a="1"/>
  <c r="G175" i="1" s="1"/>
  <c r="G528" i="1" a="1"/>
  <c r="G528" i="1" s="1"/>
  <c r="G746" i="1" a="1"/>
  <c r="G746" i="1" s="1"/>
  <c r="G874" i="1" a="1"/>
  <c r="G874" i="1" s="1"/>
  <c r="G740" i="1" a="1"/>
  <c r="G740" i="1" s="1"/>
  <c r="G514" i="1" a="1"/>
  <c r="G514" i="1" s="1"/>
  <c r="G998" i="1" a="1"/>
  <c r="G998" i="1" s="1"/>
  <c r="G826" i="1" a="1"/>
  <c r="G826" i="1" s="1"/>
  <c r="G320" i="1" a="1"/>
  <c r="G320" i="1" s="1"/>
  <c r="G607" i="1" a="1"/>
  <c r="G607" i="1" s="1"/>
  <c r="G570" i="1" a="1"/>
  <c r="G570" i="1" s="1"/>
  <c r="G50" i="1" a="1"/>
  <c r="G50" i="1" s="1"/>
  <c r="G368" i="1" a="1"/>
  <c r="G368" i="1" s="1"/>
  <c r="G849" i="1" a="1"/>
  <c r="G849" i="1" s="1"/>
  <c r="G783" i="1" a="1"/>
  <c r="G783" i="1" s="1"/>
  <c r="G210" i="1" a="1"/>
  <c r="G210" i="1" s="1"/>
  <c r="G833" i="1" a="1"/>
  <c r="G833" i="1" s="1"/>
  <c r="G667" i="1" a="1"/>
  <c r="G667" i="1" s="1"/>
  <c r="G484" i="1" a="1"/>
  <c r="G484" i="1" s="1"/>
  <c r="G705" i="1" a="1"/>
  <c r="G705" i="1" s="1"/>
  <c r="G149" i="1" a="1"/>
  <c r="G149" i="1" s="1"/>
  <c r="G29" i="1" a="1"/>
  <c r="G29" i="1" s="1"/>
  <c r="G563" i="1" a="1"/>
  <c r="G563" i="1" s="1"/>
  <c r="G289" i="1" a="1"/>
  <c r="G289" i="1" s="1"/>
  <c r="G800" i="1" a="1"/>
  <c r="G800" i="1" s="1"/>
  <c r="G982" i="1" a="1"/>
  <c r="G982" i="1" s="1"/>
  <c r="G412" i="1" a="1"/>
  <c r="G412" i="1" s="1"/>
  <c r="G222" i="1" a="1"/>
  <c r="G222" i="1" s="1"/>
  <c r="G178" i="1" a="1"/>
  <c r="G178" i="1" s="1"/>
  <c r="G870" i="1" a="1"/>
  <c r="G870" i="1" s="1"/>
  <c r="G233" i="1" a="1"/>
  <c r="G233" i="1" s="1"/>
  <c r="G566" i="1" a="1"/>
  <c r="G566" i="1" s="1"/>
  <c r="G914" i="1" a="1"/>
  <c r="G914" i="1" s="1"/>
  <c r="G500" i="1" a="1"/>
  <c r="G500" i="1" s="1"/>
  <c r="G883" i="1" a="1"/>
  <c r="G883" i="1" s="1"/>
  <c r="G415" i="1" a="1"/>
  <c r="G415" i="1" s="1"/>
  <c r="G851" i="1" a="1"/>
  <c r="G851" i="1" s="1"/>
  <c r="G24" i="1" a="1"/>
  <c r="G24" i="1" s="1"/>
  <c r="G945" i="1" a="1"/>
  <c r="G945" i="1" s="1"/>
  <c r="G27" i="1" a="1"/>
  <c r="G27" i="1" s="1"/>
  <c r="G796" i="1" a="1"/>
  <c r="G796" i="1" s="1"/>
  <c r="G834" i="1" a="1"/>
  <c r="G834" i="1" s="1"/>
  <c r="G611" i="1" a="1"/>
  <c r="G611" i="1" s="1"/>
  <c r="G725" i="1" a="1"/>
  <c r="G725" i="1" s="1"/>
  <c r="G307" i="1" a="1"/>
  <c r="G307" i="1" s="1"/>
  <c r="G290" i="1" a="1"/>
  <c r="G290" i="1" s="1"/>
  <c r="G985" i="1" a="1"/>
  <c r="G985" i="1" s="1"/>
  <c r="G884" i="1" a="1"/>
  <c r="G884" i="1" s="1"/>
  <c r="G376" i="1" a="1"/>
  <c r="G376" i="1" s="1"/>
  <c r="G125" i="1" a="1"/>
  <c r="G125" i="1" s="1"/>
  <c r="G946" i="1" a="1"/>
  <c r="G946" i="1" s="1"/>
  <c r="G155" i="1" a="1"/>
  <c r="G155" i="1" s="1"/>
  <c r="G467" i="1" a="1"/>
  <c r="G467" i="1" s="1"/>
  <c r="G261" i="1" a="1"/>
  <c r="G261" i="1" s="1"/>
  <c r="G889" i="1" a="1"/>
  <c r="G889" i="1" s="1"/>
  <c r="G217" i="1" a="1"/>
  <c r="G217" i="1" s="1"/>
  <c r="G347" i="1" a="1"/>
  <c r="G347" i="1" s="1"/>
  <c r="G165" i="1" a="1"/>
  <c r="G165" i="1" s="1"/>
  <c r="G218" i="1" a="1"/>
  <c r="G218" i="1" s="1"/>
  <c r="G551" i="1" a="1"/>
  <c r="G551" i="1" s="1"/>
  <c r="G560" i="1" a="1"/>
  <c r="G560" i="1" s="1"/>
  <c r="G143" i="1" a="1"/>
  <c r="G143" i="1" s="1"/>
  <c r="G784" i="1" a="1"/>
  <c r="G784" i="1" s="1"/>
  <c r="G240" i="1" a="1"/>
  <c r="G240" i="1" s="1"/>
  <c r="G517" i="1" a="1"/>
  <c r="G517" i="1" s="1"/>
  <c r="G709" i="1" a="1"/>
  <c r="G709" i="1" s="1"/>
  <c r="G453" i="1" a="1"/>
  <c r="G453" i="1" s="1"/>
  <c r="G47" i="1" a="1"/>
  <c r="G47" i="1" s="1"/>
  <c r="G742" i="1" a="1"/>
  <c r="G742" i="1" s="1"/>
  <c r="G25" i="1" a="1"/>
  <c r="G25" i="1" s="1"/>
  <c r="G199" i="1" a="1"/>
  <c r="G199" i="1" s="1"/>
  <c r="G468" i="1" a="1"/>
  <c r="G468" i="1" s="1"/>
  <c r="G170" i="1" a="1"/>
  <c r="G170" i="1" s="1"/>
  <c r="G731" i="1" a="1"/>
  <c r="G731" i="1" s="1"/>
  <c r="G735" i="1" a="1"/>
  <c r="G735" i="1" s="1"/>
  <c r="G51" i="1" a="1"/>
  <c r="G51" i="1" s="1"/>
  <c r="G457" i="1" a="1"/>
  <c r="G457" i="1" s="1"/>
  <c r="G462" i="1" a="1"/>
  <c r="G462" i="1" s="1"/>
  <c r="G501" i="1" a="1"/>
  <c r="G501" i="1" s="1"/>
  <c r="G748" i="1" a="1"/>
  <c r="G748" i="1" s="1"/>
  <c r="G512" i="1" a="1"/>
  <c r="G512" i="1" s="1"/>
  <c r="G701" i="1" a="1"/>
  <c r="G701" i="1" s="1"/>
  <c r="G262" i="1" a="1"/>
  <c r="G262" i="1" s="1"/>
  <c r="G103" i="1" a="1"/>
  <c r="G103" i="1" s="1"/>
  <c r="G485" i="1" a="1"/>
  <c r="G485" i="1" s="1"/>
  <c r="G214" i="1" a="1"/>
  <c r="G214" i="1" s="1"/>
  <c r="G860" i="1" a="1"/>
  <c r="G860" i="1" s="1"/>
  <c r="G30" i="1" a="1"/>
  <c r="G30" i="1" s="1"/>
  <c r="G136" i="1" a="1"/>
  <c r="G136" i="1" s="1"/>
  <c r="G814" i="1" a="1"/>
  <c r="G814" i="1" s="1"/>
  <c r="G275" i="1" a="1"/>
  <c r="G275" i="1" s="1"/>
  <c r="G535" i="1" a="1"/>
  <c r="G535" i="1" s="1"/>
  <c r="G608" i="1" a="1"/>
  <c r="G608" i="1" s="1"/>
  <c r="G541" i="1" a="1"/>
  <c r="G541" i="1" s="1"/>
  <c r="G850" i="1" a="1"/>
  <c r="G850" i="1" s="1"/>
  <c r="G285" i="1" a="1"/>
  <c r="G285" i="1" s="1"/>
  <c r="G263" i="1" a="1"/>
  <c r="G263" i="1" s="1"/>
  <c r="G835" i="1" a="1"/>
  <c r="G835" i="1" s="1"/>
  <c r="G407" i="1" a="1"/>
  <c r="G407" i="1" s="1"/>
  <c r="G315" i="1" a="1"/>
  <c r="G315" i="1" s="1"/>
  <c r="G383" i="1" a="1"/>
  <c r="G383" i="1" s="1"/>
  <c r="G424" i="1" a="1"/>
  <c r="G424" i="1" s="1"/>
  <c r="G437" i="1" a="1"/>
  <c r="G437" i="1" s="1"/>
  <c r="G774" i="1" a="1"/>
  <c r="G774" i="1" s="1"/>
  <c r="G268" i="1" a="1"/>
  <c r="G268" i="1" s="1"/>
  <c r="G947" i="1" a="1"/>
  <c r="G947" i="1" s="1"/>
  <c r="G416" i="1" a="1"/>
  <c r="G416" i="1" s="1"/>
  <c r="G206" i="1" a="1"/>
  <c r="G206" i="1" s="1"/>
  <c r="G104" i="1" a="1"/>
  <c r="G104" i="1" s="1"/>
  <c r="G736" i="1" a="1"/>
  <c r="G736" i="1" s="1"/>
  <c r="G264" i="1" a="1"/>
  <c r="G264" i="1" s="1"/>
  <c r="G419" i="1" a="1"/>
  <c r="G419" i="1" s="1"/>
  <c r="G728" i="1" a="1"/>
  <c r="G728" i="1" s="1"/>
  <c r="G150" i="1" a="1"/>
  <c r="G150" i="1" s="1"/>
  <c r="G269" i="1" a="1"/>
  <c r="G269" i="1" s="1"/>
  <c r="G180" i="1" a="1"/>
  <c r="G180" i="1" s="1"/>
  <c r="G797" i="1" a="1"/>
  <c r="G797" i="1" s="1"/>
  <c r="G665" i="1" a="1"/>
  <c r="G665" i="1" s="1"/>
  <c r="G659" i="1" a="1"/>
  <c r="G659" i="1" s="1"/>
  <c r="G502" i="1" a="1"/>
  <c r="G502" i="1" s="1"/>
  <c r="G448" i="1" a="1"/>
  <c r="G448" i="1" s="1"/>
  <c r="G885" i="1" a="1"/>
  <c r="G885" i="1" s="1"/>
  <c r="G182" i="1" a="1"/>
  <c r="G182" i="1" s="1"/>
  <c r="G434" i="1" a="1"/>
  <c r="G434" i="1" s="1"/>
  <c r="G518" i="1" a="1"/>
  <c r="G518" i="1" s="1"/>
  <c r="G384" i="1" a="1"/>
  <c r="G384" i="1" s="1"/>
  <c r="G955" i="1" a="1"/>
  <c r="G955" i="1" s="1"/>
  <c r="G695" i="1" a="1"/>
  <c r="G695" i="1" s="1"/>
  <c r="G207" i="1" a="1"/>
  <c r="G207" i="1" s="1"/>
  <c r="G807" i="1" a="1"/>
  <c r="G807" i="1" s="1"/>
  <c r="G60" i="1" a="1"/>
  <c r="G60" i="1" s="1"/>
  <c r="G360" i="1" a="1"/>
  <c r="G360" i="1" s="1"/>
  <c r="G215" i="1" a="1"/>
  <c r="G215" i="1" s="1"/>
  <c r="G853" i="1" a="1"/>
  <c r="G853" i="1" s="1"/>
  <c r="G365" i="1" a="1"/>
  <c r="G365" i="1" s="1"/>
  <c r="G438" i="1" a="1"/>
  <c r="G438" i="1" s="1"/>
  <c r="G890" i="1" a="1"/>
  <c r="G890" i="1" s="1"/>
  <c r="G754" i="1" a="1"/>
  <c r="G754" i="1" s="1"/>
  <c r="G190" i="1" a="1"/>
  <c r="G190" i="1" s="1"/>
  <c r="G991" i="1" a="1"/>
  <c r="G991" i="1" s="1"/>
  <c r="G486" i="1" a="1"/>
  <c r="G486" i="1" s="1"/>
  <c r="G66" i="1" a="1"/>
  <c r="G66" i="1" s="1"/>
  <c r="G270" i="1" a="1"/>
  <c r="G270" i="1" s="1"/>
  <c r="G38" i="1" a="1"/>
  <c r="G38" i="1" s="1"/>
  <c r="G72" i="1" a="1"/>
  <c r="G72" i="1" s="1"/>
  <c r="G10" i="1" a="1"/>
  <c r="G10" i="1" s="1"/>
  <c r="G810" i="1" a="1"/>
  <c r="G810" i="1" s="1"/>
  <c r="G997" i="1" a="1"/>
  <c r="G997" i="1" s="1"/>
  <c r="G966" i="1" a="1"/>
  <c r="G966" i="1" s="1"/>
  <c r="G976" i="1" a="1"/>
  <c r="G976" i="1" s="1"/>
  <c r="G341" i="1" a="1"/>
  <c r="G341" i="1" s="1"/>
  <c r="G896" i="1" a="1"/>
  <c r="G896" i="1" s="1"/>
  <c r="G117" i="1" a="1"/>
  <c r="G117" i="1" s="1"/>
  <c r="G153" i="1" a="1"/>
  <c r="G153" i="1" s="1"/>
  <c r="G763" i="1" a="1"/>
  <c r="G763" i="1" s="1"/>
  <c r="G156" i="1" a="1"/>
  <c r="G156" i="1" s="1"/>
  <c r="G171" i="1" a="1"/>
  <c r="G171" i="1" s="1"/>
  <c r="G668" i="1" a="1"/>
  <c r="G668" i="1" s="1"/>
  <c r="G861" i="1" a="1"/>
  <c r="G861" i="1" s="1"/>
  <c r="G475" i="1" a="1"/>
  <c r="G475" i="1" s="1"/>
  <c r="G191" i="1" a="1"/>
  <c r="G191" i="1" s="1"/>
  <c r="G932" i="1" a="1"/>
  <c r="G932" i="1" s="1"/>
  <c r="G589" i="1" a="1"/>
  <c r="G589" i="1" s="1"/>
  <c r="G922" i="1" a="1"/>
  <c r="G922" i="1" s="1"/>
  <c r="G449" i="1" a="1"/>
  <c r="G449" i="1" s="1"/>
  <c r="G901" i="1" a="1"/>
  <c r="G901" i="1" s="1"/>
  <c r="G586" i="1" a="1"/>
  <c r="G586" i="1" s="1"/>
  <c r="G379" i="1" a="1"/>
  <c r="G379" i="1" s="1"/>
  <c r="G380" i="1" a="1"/>
  <c r="G380" i="1" s="1"/>
  <c r="G244" i="1" a="1"/>
  <c r="G244" i="1" s="1"/>
  <c r="G381" i="1" a="1"/>
  <c r="G381" i="1" s="1"/>
  <c r="G105" i="1" a="1"/>
  <c r="G105" i="1" s="1"/>
  <c r="G652" i="1" a="1"/>
  <c r="G652" i="1" s="1"/>
  <c r="G905" i="1" a="1"/>
  <c r="G905" i="1" s="1"/>
  <c r="G487" i="1" a="1"/>
  <c r="G487" i="1" s="1"/>
  <c r="G333" i="1" a="1"/>
  <c r="G333" i="1" s="1"/>
  <c r="G886" i="1" a="1"/>
  <c r="G886" i="1" s="1"/>
  <c r="G575" i="1" a="1"/>
  <c r="G575" i="1" s="1"/>
  <c r="G481" i="1" a="1"/>
  <c r="G481" i="1" s="1"/>
  <c r="G822" i="1" a="1"/>
  <c r="G822" i="1" s="1"/>
  <c r="G515" i="1" a="1"/>
  <c r="G515" i="1" s="1"/>
  <c r="G576" i="1" a="1"/>
  <c r="G576" i="1" s="1"/>
  <c r="G408" i="1" a="1"/>
  <c r="G408" i="1" s="1"/>
  <c r="G696" i="1" a="1"/>
  <c r="G696" i="1" s="1"/>
  <c r="G755" i="1" a="1"/>
  <c r="G755" i="1" s="1"/>
  <c r="G108" i="1" a="1"/>
  <c r="G108" i="1" s="1"/>
  <c r="G828" i="1" a="1"/>
  <c r="G828" i="1" s="1"/>
  <c r="G192" i="1" a="1"/>
  <c r="G192" i="1" s="1"/>
  <c r="G254" i="1" a="1"/>
  <c r="G254" i="1" s="1"/>
  <c r="G79" i="1" a="1"/>
  <c r="G79" i="1" s="1"/>
  <c r="G96" i="1" a="1"/>
  <c r="G96" i="1" s="1"/>
  <c r="G131" i="1" a="1"/>
  <c r="G131" i="1" s="1"/>
  <c r="G330" i="1" a="1"/>
  <c r="G330" i="1" s="1"/>
  <c r="G685" i="1" a="1"/>
  <c r="G685" i="1" s="1"/>
  <c r="G676" i="1" a="1"/>
  <c r="G676" i="1" s="1"/>
  <c r="G710" i="1" a="1"/>
  <c r="G710" i="1" s="1"/>
  <c r="G256" i="1" a="1"/>
  <c r="G256" i="1" s="1"/>
  <c r="G395" i="1" a="1"/>
  <c r="G395" i="1" s="1"/>
  <c r="G46" i="1" a="1"/>
  <c r="G46" i="1" s="1"/>
  <c r="G11" i="1" a="1"/>
  <c r="G11" i="1" s="1"/>
  <c r="G852" i="1" a="1"/>
  <c r="G852" i="1" s="1"/>
  <c r="G5" i="1" a="1"/>
  <c r="G5" i="1" s="1"/>
  <c r="G943" i="1" a="1"/>
  <c r="G943" i="1" s="1"/>
  <c r="G67" i="1" a="1"/>
  <c r="G67" i="1" s="1"/>
  <c r="G184" i="1" a="1"/>
  <c r="G184" i="1" s="1"/>
  <c r="G482" i="1" a="1"/>
  <c r="G482" i="1" s="1"/>
  <c r="G756" i="1" a="1"/>
  <c r="G756" i="1" s="1"/>
  <c r="G311" i="1" a="1"/>
  <c r="G311" i="1" s="1"/>
  <c r="G558" i="1" a="1"/>
  <c r="G558" i="1" s="1"/>
  <c r="G439" i="1" a="1"/>
  <c r="G439" i="1" s="1"/>
  <c r="G545" i="1" a="1"/>
  <c r="G545" i="1" s="1"/>
  <c r="G798" i="1" a="1"/>
  <c r="G798" i="1" s="1"/>
  <c r="G293" i="1" a="1"/>
  <c r="G293" i="1" s="1"/>
  <c r="G713" i="1" a="1"/>
  <c r="G713" i="1" s="1"/>
  <c r="G172" i="1" a="1"/>
  <c r="G172" i="1" s="1"/>
  <c r="G787" i="1" a="1"/>
  <c r="G787" i="1" s="1"/>
  <c r="G788" i="1" a="1"/>
  <c r="G788" i="1" s="1"/>
  <c r="G953" i="1" a="1"/>
  <c r="G953" i="1" s="1"/>
  <c r="G846" i="1" a="1"/>
  <c r="G846" i="1" s="1"/>
  <c r="G248" i="1" a="1"/>
  <c r="G248" i="1" s="1"/>
  <c r="G660" i="1" a="1"/>
  <c r="G660" i="1" s="1"/>
  <c r="G377" i="1" a="1"/>
  <c r="G377" i="1" s="1"/>
  <c r="G328" i="1" a="1"/>
  <c r="G328" i="1" s="1"/>
  <c r="G193" i="1" a="1"/>
  <c r="G193" i="1" s="1"/>
  <c r="G648" i="1" a="1"/>
  <c r="G648" i="1" s="1"/>
  <c r="G53" i="1" a="1"/>
  <c r="G53" i="1" s="1"/>
  <c r="G469" i="1" a="1"/>
  <c r="G469" i="1" s="1"/>
  <c r="G505" i="1" a="1"/>
  <c r="G505" i="1" s="1"/>
  <c r="G321" i="1" a="1"/>
  <c r="G321" i="1" s="1"/>
  <c r="G126" i="1" a="1"/>
  <c r="G126" i="1" s="1"/>
  <c r="G714" i="1" a="1"/>
  <c r="G714" i="1" s="1"/>
  <c r="G961" i="1" a="1"/>
  <c r="G961" i="1" s="1"/>
  <c r="G308" i="1" a="1"/>
  <c r="G308" i="1" s="1"/>
  <c r="G906" i="1" a="1"/>
  <c r="G906" i="1" s="1"/>
  <c r="G552" i="1" a="1"/>
  <c r="G552" i="1" s="1"/>
  <c r="G16" i="1" a="1"/>
  <c r="G16" i="1" s="1"/>
  <c r="G229" i="1" a="1"/>
  <c r="G229" i="1" s="1"/>
  <c r="G483" i="1" a="1"/>
  <c r="G483" i="1" s="1"/>
  <c r="G226" i="1" a="1"/>
  <c r="G226" i="1" s="1"/>
  <c r="G137" i="1" a="1"/>
  <c r="G137" i="1" s="1"/>
  <c r="G476" i="1" a="1"/>
  <c r="G476" i="1" s="1"/>
  <c r="G986" i="1" a="1"/>
  <c r="G986" i="1" s="1"/>
  <c r="G404" i="1" a="1"/>
  <c r="G404" i="1" s="1"/>
  <c r="G887" i="1" a="1"/>
  <c r="G887" i="1" s="1"/>
  <c r="G88" i="1" a="1"/>
  <c r="G88" i="1" s="1"/>
  <c r="G491" i="1" a="1"/>
  <c r="G491" i="1" s="1"/>
  <c r="G717" i="1" a="1"/>
  <c r="G717" i="1" s="1"/>
  <c r="G747" i="1" a="1"/>
  <c r="G747" i="1" s="1"/>
  <c r="G302" i="1" a="1"/>
  <c r="G302" i="1" s="1"/>
  <c r="G350" i="1" a="1"/>
  <c r="G350" i="1" s="1"/>
  <c r="G970" i="1" a="1"/>
  <c r="G970" i="1" s="1"/>
  <c r="G97" i="1" a="1"/>
  <c r="G97" i="1" s="1"/>
  <c r="G369" i="1" a="1"/>
  <c r="G369" i="1" s="1"/>
  <c r="G757" i="1" a="1"/>
  <c r="G757" i="1" s="1"/>
  <c r="G613" i="1" a="1"/>
  <c r="G613" i="1" s="1"/>
  <c r="G842" i="1" a="1"/>
  <c r="G842" i="1" s="1"/>
  <c r="G973" i="1" a="1"/>
  <c r="G973" i="1" s="1"/>
  <c r="G615" i="1" a="1"/>
  <c r="G615" i="1" s="1"/>
  <c r="G775" i="1" a="1"/>
  <c r="G775" i="1" s="1"/>
  <c r="G529" i="1" a="1"/>
  <c r="G529" i="1" s="1"/>
  <c r="G138" i="1" a="1"/>
  <c r="G138" i="1" s="1"/>
  <c r="G727" i="1" a="1"/>
  <c r="G727" i="1" s="1"/>
  <c r="G54" i="1" a="1"/>
  <c r="G54" i="1" s="1"/>
  <c r="G802" i="1" a="1"/>
  <c r="G802" i="1" s="1"/>
  <c r="G661" i="1" a="1"/>
  <c r="G661" i="1" s="1"/>
  <c r="G680" i="1" a="1"/>
  <c r="G680" i="1" s="1"/>
  <c r="G144" i="1" a="1"/>
  <c r="G144" i="1" s="1"/>
  <c r="G176" i="1" a="1"/>
  <c r="G176" i="1" s="1"/>
  <c r="G524" i="1" a="1"/>
  <c r="G524" i="1" s="1"/>
  <c r="G211" i="1" a="1"/>
  <c r="G211" i="1" s="1"/>
  <c r="G68" i="1" a="1"/>
  <c r="G68" i="1" s="1"/>
  <c r="G669" i="1" a="1"/>
  <c r="G669" i="1" s="1"/>
  <c r="G399" i="1" a="1"/>
  <c r="G399" i="1" s="1"/>
  <c r="G241" i="1" a="1"/>
  <c r="G241" i="1" s="1"/>
  <c r="G553" i="1" a="1"/>
  <c r="G553" i="1" s="1"/>
  <c r="G764" i="1" a="1"/>
  <c r="G764" i="1" s="1"/>
  <c r="G200" i="1" a="1"/>
  <c r="G200" i="1" s="1"/>
  <c r="G567" i="1" a="1"/>
  <c r="G567" i="1" s="1"/>
  <c r="G167" i="1" a="1"/>
  <c r="G167" i="1" s="1"/>
  <c r="G141" i="1" a="1"/>
  <c r="G141" i="1" s="1"/>
  <c r="G273" i="1" a="1"/>
  <c r="G273" i="1" s="1"/>
  <c r="G154" i="1" a="1"/>
  <c r="G154" i="1" s="1"/>
  <c r="G334" i="1" a="1"/>
  <c r="G334" i="1" s="1"/>
  <c r="G803" i="1" a="1"/>
  <c r="G803" i="1" s="1"/>
  <c r="G151" i="1" a="1"/>
  <c r="G151" i="1" s="1"/>
  <c r="G17" i="1" a="1"/>
  <c r="G17" i="1" s="1"/>
  <c r="G440" i="1" a="1"/>
  <c r="G440" i="1" s="1"/>
  <c r="G956" i="1" a="1"/>
  <c r="G956" i="1" s="1"/>
  <c r="G98" i="1" a="1"/>
  <c r="G98" i="1" s="1"/>
  <c r="G470" i="1" a="1"/>
  <c r="G470" i="1" s="1"/>
  <c r="G929" i="1" a="1"/>
  <c r="G929" i="1" s="1"/>
  <c r="G249" i="1" a="1"/>
  <c r="G249" i="1" s="1"/>
  <c r="G525" i="1" a="1"/>
  <c r="G525" i="1" s="1"/>
  <c r="G761" i="1" a="1"/>
  <c r="G761" i="1" s="1"/>
  <c r="G597" i="1" a="1"/>
  <c r="G597" i="1" s="1"/>
  <c r="G28" i="1" a="1"/>
  <c r="G28" i="1" s="1"/>
  <c r="G632" i="1" a="1"/>
  <c r="G632" i="1" s="1"/>
  <c r="G179" i="1" a="1"/>
  <c r="G179" i="1" s="1"/>
  <c r="G864" i="1" a="1"/>
  <c r="G864" i="1" s="1"/>
  <c r="G84" i="1" a="1"/>
  <c r="G84" i="1" s="1"/>
  <c r="G295" i="1" a="1"/>
  <c r="G295" i="1" s="1"/>
  <c r="G978" i="1" a="1"/>
  <c r="G978" i="1" s="1"/>
  <c r="G510" i="1" a="1"/>
  <c r="G510" i="1" s="1"/>
  <c r="G370" i="1" a="1"/>
  <c r="G370" i="1" s="1"/>
  <c r="G829" i="1" a="1"/>
  <c r="G829" i="1" s="1"/>
  <c r="G389" i="1" a="1"/>
  <c r="G389" i="1" s="1"/>
  <c r="G471" i="1" a="1"/>
  <c r="G471" i="1" s="1"/>
  <c r="G458" i="1" a="1"/>
  <c r="G458" i="1" s="1"/>
  <c r="G769" i="1" a="1"/>
  <c r="G769" i="1" s="1"/>
  <c r="G915" i="1" a="1"/>
  <c r="G915" i="1" s="1"/>
  <c r="G18" i="1" a="1"/>
  <c r="G18" i="1" s="1"/>
  <c r="G791" i="1" a="1"/>
  <c r="G791" i="1" s="1"/>
  <c r="G157" i="1" a="1"/>
  <c r="G157" i="1" s="1"/>
  <c r="G322" i="1" a="1"/>
  <c r="G322" i="1" s="1"/>
  <c r="G507" i="1" a="1"/>
  <c r="G507" i="1" s="1"/>
  <c r="G993" i="1" a="1"/>
  <c r="G993" i="1" s="1"/>
  <c r="G587" i="1" a="1"/>
  <c r="G587" i="1" s="1"/>
  <c r="G73" i="1" a="1"/>
  <c r="G73" i="1" s="1"/>
  <c r="G382" i="1" a="1"/>
  <c r="G382" i="1" s="1"/>
  <c r="G497" i="1" a="1"/>
  <c r="G497" i="1" s="1"/>
  <c r="G366" i="1" a="1"/>
  <c r="G366" i="1" s="1"/>
  <c r="G630" i="1" a="1"/>
  <c r="G630" i="1" s="1"/>
  <c r="G425" i="1" a="1"/>
  <c r="G425" i="1" s="1"/>
  <c r="G55" i="1" a="1"/>
  <c r="G55" i="1" s="1"/>
  <c r="G242" i="1" a="1"/>
  <c r="G242" i="1" s="1"/>
  <c r="G801" i="1" a="1"/>
  <c r="G801" i="1" s="1"/>
  <c r="G409" i="1" a="1"/>
  <c r="G409" i="1" s="1"/>
  <c r="G463" i="1" a="1"/>
  <c r="G463" i="1" s="1"/>
  <c r="G456" i="1" a="1"/>
  <c r="G456" i="1" s="1"/>
  <c r="G386" i="1" a="1"/>
  <c r="G386" i="1" s="1"/>
  <c r="G749" i="1" a="1"/>
  <c r="G749" i="1" s="1"/>
  <c r="G957" i="1" a="1"/>
  <c r="G957" i="1" s="1"/>
  <c r="G325" i="1" a="1"/>
  <c r="G325" i="1" s="1"/>
  <c r="G531" i="1" a="1"/>
  <c r="G531" i="1" s="1"/>
  <c r="G983" i="1" a="1"/>
  <c r="G983" i="1" s="1"/>
  <c r="G312" i="1" a="1"/>
  <c r="G312" i="1" s="1"/>
  <c r="G795" i="1" a="1"/>
  <c r="G795" i="1" s="1"/>
  <c r="G400" i="1" a="1"/>
  <c r="G400" i="1" s="1"/>
  <c r="G342" i="1" a="1"/>
  <c r="G342" i="1" s="1"/>
  <c r="G818" i="1" a="1"/>
  <c r="G818" i="1" s="1"/>
  <c r="G441" i="1" a="1"/>
  <c r="G441" i="1" s="1"/>
  <c r="G823" i="1" a="1"/>
  <c r="G823" i="1" s="1"/>
  <c r="G343" i="1" a="1"/>
  <c r="G343" i="1" s="1"/>
  <c r="G765" i="1" a="1"/>
  <c r="G765" i="1" s="1"/>
  <c r="G85" i="1" a="1"/>
  <c r="G85" i="1" s="1"/>
  <c r="G177" i="1" a="1"/>
  <c r="G177" i="1" s="1"/>
  <c r="G304" i="1" a="1"/>
  <c r="G304" i="1" s="1"/>
  <c r="G353" i="1" a="1"/>
  <c r="G353" i="1" s="1"/>
  <c r="G429" i="1" a="1"/>
  <c r="G429" i="1" s="1"/>
  <c r="G234" i="1" a="1"/>
  <c r="G234" i="1" s="1"/>
  <c r="G417" i="1" a="1"/>
  <c r="G417" i="1" s="1"/>
  <c r="G286" i="1" a="1"/>
  <c r="G286" i="1" s="1"/>
  <c r="G132" i="1" a="1"/>
  <c r="G132" i="1" s="1"/>
  <c r="G907" i="1" a="1"/>
  <c r="G907" i="1" s="1"/>
  <c r="G113" i="1" a="1"/>
  <c r="G113" i="1" s="1"/>
  <c r="G649" i="1" a="1"/>
  <c r="G649" i="1" s="1"/>
  <c r="G930" i="1" a="1"/>
  <c r="G930" i="1" s="1"/>
  <c r="G371" i="1" a="1"/>
  <c r="G371" i="1" s="1"/>
  <c r="G863" i="1" a="1"/>
  <c r="G863" i="1" s="1"/>
  <c r="G420" i="1" a="1"/>
  <c r="G420" i="1" s="1"/>
  <c r="G843" i="1" a="1"/>
  <c r="G843" i="1" s="1"/>
  <c r="G118" i="1" a="1"/>
  <c r="G118" i="1" s="1"/>
  <c r="G836" i="1" a="1"/>
  <c r="G836" i="1" s="1"/>
  <c r="G897" i="1" a="1"/>
  <c r="G897" i="1" s="1"/>
  <c r="G280" i="1" a="1"/>
  <c r="G280" i="1" s="1"/>
  <c r="G161" i="1" a="1"/>
  <c r="G161" i="1" s="1"/>
  <c r="G635" i="1" a="1"/>
  <c r="G635" i="1" s="1"/>
  <c r="G219" i="1" a="1"/>
  <c r="G219" i="1" s="1"/>
  <c r="G559" i="1" a="1"/>
  <c r="G559" i="1" s="1"/>
  <c r="G145" i="1" a="1"/>
  <c r="G145" i="1" s="1"/>
  <c r="G237" i="1" a="1"/>
  <c r="G237" i="1" s="1"/>
  <c r="G944" i="1" a="1"/>
  <c r="G944" i="1" s="1"/>
  <c r="G698" i="1" a="1"/>
  <c r="G698" i="1" s="1"/>
  <c r="G815" i="1" a="1"/>
  <c r="G815" i="1" s="1"/>
  <c r="G931" i="1" a="1"/>
  <c r="G931" i="1" s="1"/>
  <c r="G421" i="1" a="1"/>
  <c r="G421" i="1" s="1"/>
  <c r="G139" i="1" a="1"/>
  <c r="G139" i="1" s="1"/>
  <c r="G962" i="1" a="1"/>
  <c r="G962" i="1" s="1"/>
  <c r="G158" i="1" a="1"/>
  <c r="G158" i="1" s="1"/>
  <c r="G871" i="1" a="1"/>
  <c r="G871" i="1" s="1"/>
  <c r="G542" i="1" a="1"/>
  <c r="G542" i="1" s="1"/>
  <c r="G223" i="1" a="1"/>
  <c r="G223" i="1" s="1"/>
  <c r="G950" i="1" a="1"/>
  <c r="G950" i="1" s="1"/>
  <c r="G208" i="1" a="1"/>
  <c r="G208" i="1" s="1"/>
  <c r="G35" i="1" a="1"/>
  <c r="G35" i="1" s="1"/>
  <c r="G689" i="1" a="1"/>
  <c r="G689" i="1" s="1"/>
  <c r="G316" i="1" a="1"/>
  <c r="G316" i="1" s="1"/>
  <c r="G339" i="1" a="1"/>
  <c r="G339" i="1" s="1"/>
  <c r="G506" i="1" a="1"/>
  <c r="G506" i="1" s="1"/>
  <c r="G642" i="1" a="1"/>
  <c r="G642" i="1" s="1"/>
  <c r="G196" i="1" a="1"/>
  <c r="G196" i="1" s="1"/>
  <c r="G854" i="1" a="1"/>
  <c r="G854" i="1" s="1"/>
  <c r="G974" i="1" a="1"/>
  <c r="G974" i="1" s="1"/>
  <c r="G89" i="1" a="1"/>
  <c r="G89" i="1" s="1"/>
  <c r="G250" i="1" a="1"/>
  <c r="G250" i="1" s="1"/>
  <c r="G636" i="1" a="1"/>
  <c r="G636" i="1" s="1"/>
  <c r="G693" i="1" a="1"/>
  <c r="G693" i="1" s="1"/>
  <c r="G536" i="1" a="1"/>
  <c r="G536" i="1" s="1"/>
  <c r="G78" i="1" a="1"/>
  <c r="G78" i="1" s="1"/>
  <c r="G994" i="1" a="1"/>
  <c r="G994" i="1" s="1"/>
  <c r="G865" i="1" a="1"/>
  <c r="G865" i="1" s="1"/>
  <c r="G588" i="1" a="1"/>
  <c r="G588" i="1" s="1"/>
  <c r="G626" i="1" a="1"/>
  <c r="G626" i="1" s="1"/>
  <c r="G508" i="1" a="1"/>
  <c r="G508" i="1" s="1"/>
  <c r="G504" i="1" a="1"/>
  <c r="G504" i="1" s="1"/>
  <c r="G129" i="1" a="1"/>
  <c r="G129" i="1" s="1"/>
  <c r="G74" i="1" a="1"/>
  <c r="G74" i="1" s="1"/>
  <c r="G816" i="1" a="1"/>
  <c r="G816" i="1" s="1"/>
  <c r="G766" i="1" a="1"/>
  <c r="G766" i="1" s="1"/>
  <c r="G921" i="1" a="1"/>
  <c r="G921" i="1" s="1"/>
  <c r="G251" i="1" a="1"/>
  <c r="G251" i="1" s="1"/>
  <c r="G866" i="1" a="1"/>
  <c r="G866" i="1" s="1"/>
  <c r="G776" i="1" a="1"/>
  <c r="G776" i="1" s="1"/>
  <c r="G338" i="1" a="1"/>
  <c r="G338" i="1" s="1"/>
  <c r="G577" i="1" a="1"/>
  <c r="G577" i="1" s="1"/>
  <c r="G326" i="1" a="1"/>
  <c r="G326" i="1" s="1"/>
  <c r="G891" i="1" a="1"/>
  <c r="G891" i="1" s="1"/>
  <c r="G951" i="1" a="1"/>
  <c r="G951" i="1" s="1"/>
  <c r="G130" i="1" a="1"/>
  <c r="G130" i="1" s="1"/>
  <c r="G770" i="1" a="1"/>
  <c r="G770" i="1" s="1"/>
  <c r="G719" i="1" a="1"/>
  <c r="G719" i="1" s="1"/>
  <c r="G590" i="1" a="1"/>
  <c r="G590" i="1" s="1"/>
  <c r="G939" i="1" a="1"/>
  <c r="G939" i="1" s="1"/>
  <c r="G351" i="1" a="1"/>
  <c r="G351" i="1" s="1"/>
  <c r="G532" i="1" a="1"/>
  <c r="G532" i="1" s="1"/>
  <c r="G892" i="1" a="1"/>
  <c r="G892" i="1" s="1"/>
  <c r="G224" i="1" a="1"/>
  <c r="G224" i="1" s="1"/>
  <c r="G999" i="1" a="1"/>
  <c r="G999" i="1" s="1"/>
  <c r="G847" i="1" a="1"/>
  <c r="G847" i="1" s="1"/>
  <c r="G323" i="1" a="1"/>
  <c r="G323" i="1" s="1"/>
  <c r="G916" i="1" a="1"/>
  <c r="G916" i="1" s="1"/>
  <c r="G387" i="1" a="1"/>
  <c r="G387" i="1" s="1"/>
  <c r="G777" i="1" a="1"/>
  <c r="G777" i="1" s="1"/>
  <c r="G345" i="1" a="1"/>
  <c r="G345" i="1" s="1"/>
  <c r="G276" i="1" a="1"/>
  <c r="G276" i="1" s="1"/>
  <c r="G657" i="1" a="1"/>
  <c r="G657" i="1" s="1"/>
  <c r="G230" i="1" a="1"/>
  <c r="G230" i="1" s="1"/>
  <c r="G294" i="1" a="1"/>
  <c r="G294" i="1" s="1"/>
  <c r="G627" i="1" a="1"/>
  <c r="G627" i="1" s="1"/>
  <c r="G166" i="1" a="1"/>
  <c r="G166" i="1" s="1"/>
  <c r="G227" i="1" a="1"/>
  <c r="G227" i="1" s="1"/>
  <c r="G146" i="1" a="1"/>
  <c r="G146" i="1" s="1"/>
  <c r="G917" i="1" a="1"/>
  <c r="G917" i="1" s="1"/>
  <c r="G1000" i="1" a="1"/>
  <c r="G1000" i="1" s="1"/>
  <c r="G426" i="1" a="1"/>
  <c r="G426" i="1" s="1"/>
  <c r="G620" i="1" a="1"/>
  <c r="G620" i="1" s="1"/>
  <c r="G492" i="1" a="1"/>
  <c r="G492" i="1" s="1"/>
  <c r="G195" i="1" a="1"/>
  <c r="G195" i="1" s="1"/>
  <c r="G44" i="1" a="1"/>
  <c r="G44" i="1" s="1"/>
  <c r="G595" i="1" a="1"/>
  <c r="G595" i="1" s="1"/>
  <c r="G477" i="1" a="1"/>
  <c r="G477" i="1" s="1"/>
  <c r="G743" i="1" a="1"/>
  <c r="G743" i="1" s="1"/>
  <c r="G99" i="1" a="1"/>
  <c r="G99" i="1" s="1"/>
  <c r="G681" i="1" a="1"/>
  <c r="G681" i="1" s="1"/>
  <c r="G498" i="1" a="1"/>
  <c r="G498" i="1" s="1"/>
  <c r="G124" i="1" a="1"/>
  <c r="G124" i="1" s="1"/>
  <c r="G578" i="1" a="1"/>
  <c r="G578" i="1" s="1"/>
  <c r="G22" i="1" a="1"/>
  <c r="G22" i="1" s="1"/>
  <c r="G767" i="1" a="1"/>
  <c r="G767" i="1" s="1"/>
  <c r="G231" i="1" a="1"/>
  <c r="G231" i="1" s="1"/>
  <c r="G257" i="1" a="1"/>
  <c r="G257" i="1" s="1"/>
  <c r="G52" i="1" a="1"/>
  <c r="G52" i="1" s="1"/>
  <c r="G771" i="1" a="1"/>
  <c r="G771" i="1" s="1"/>
  <c r="G888" i="1" a="1"/>
  <c r="G888" i="1" s="1"/>
  <c r="G702" i="1" a="1"/>
  <c r="G702" i="1" s="1"/>
  <c r="G183" i="1" a="1"/>
  <c r="G183" i="1" s="1"/>
  <c r="G291" i="1" a="1"/>
  <c r="G291" i="1" s="1"/>
  <c r="G549" i="1" a="1"/>
  <c r="G549" i="1" s="1"/>
  <c r="G479" i="1" a="1"/>
  <c r="G479" i="1" s="1"/>
  <c r="G785" i="1" a="1"/>
  <c r="G785" i="1" s="1"/>
  <c r="G478" i="1" a="1"/>
  <c r="G478" i="1" s="1"/>
  <c r="G653" i="1" a="1"/>
  <c r="G653" i="1" s="1"/>
  <c r="G258" i="1" a="1"/>
  <c r="G258" i="1" s="1"/>
  <c r="G201" i="1" a="1"/>
  <c r="G201" i="1" s="1"/>
  <c r="G643" i="1" a="1"/>
  <c r="G643" i="1" s="1"/>
  <c r="G582" i="1" a="1"/>
  <c r="G582" i="1" s="1"/>
  <c r="G45" i="1" a="1"/>
  <c r="G45" i="1" s="1"/>
  <c r="G23" i="1" a="1"/>
  <c r="G23" i="1" s="1"/>
  <c r="G579" i="1" a="1"/>
  <c r="G579" i="1" s="1"/>
  <c r="G927" i="1" a="1"/>
  <c r="G927" i="1" s="1"/>
  <c r="G140" i="1" a="1"/>
  <c r="G140" i="1" s="1"/>
  <c r="G759" i="1" a="1"/>
  <c r="G759" i="1" s="1"/>
  <c r="G867" i="1" a="1"/>
  <c r="G867" i="1" s="1"/>
  <c r="G711" i="1" a="1"/>
  <c r="G711" i="1" s="1"/>
  <c r="G281" i="1" a="1"/>
  <c r="G281" i="1" s="1"/>
  <c r="G691" i="1" a="1"/>
  <c r="G691" i="1" s="1"/>
  <c r="G390" i="1" a="1"/>
  <c r="G390" i="1" s="1"/>
  <c r="G830" i="1" a="1"/>
  <c r="G830" i="1" s="1"/>
  <c r="G444" i="1" a="1"/>
  <c r="G444" i="1" s="1"/>
  <c r="G772" i="1" a="1"/>
  <c r="G772" i="1" s="1"/>
  <c r="G152" i="1" a="1"/>
  <c r="G152" i="1" s="1"/>
  <c r="G245" i="1" a="1"/>
  <c r="G245" i="1" s="1"/>
  <c r="G614" i="1" a="1"/>
  <c r="G614" i="1" s="1"/>
  <c r="G768" i="1" a="1"/>
  <c r="G768" i="1" s="1"/>
  <c r="G650" i="1" a="1"/>
  <c r="G650" i="1" s="1"/>
  <c r="G564" i="1" a="1"/>
  <c r="G564" i="1" s="1"/>
  <c r="G202" i="1" a="1"/>
  <c r="G202" i="1" s="1"/>
  <c r="G526" i="1" a="1"/>
  <c r="G526" i="1" s="1"/>
  <c r="G277" i="1" a="1"/>
  <c r="G277" i="1" s="1"/>
  <c r="G393" i="1" a="1"/>
  <c r="G393" i="1" s="1"/>
  <c r="G32" i="1" a="1"/>
  <c r="G32" i="1" s="1"/>
  <c r="G780" i="1" a="1"/>
  <c r="G780" i="1" s="1"/>
  <c r="G69" i="1" a="1"/>
  <c r="G69" i="1" s="1"/>
  <c r="G372" i="1" a="1"/>
  <c r="G372" i="1" s="1"/>
  <c r="G908" i="1" a="1"/>
  <c r="G908" i="1" s="1"/>
  <c r="G844" i="1" a="1"/>
  <c r="G844" i="1" s="1"/>
  <c r="G427" i="1" a="1"/>
  <c r="G427" i="1" s="1"/>
  <c r="G519" i="1" a="1"/>
  <c r="G519" i="1" s="1"/>
  <c r="G255" i="1" a="1"/>
  <c r="G255" i="1" s="1"/>
  <c r="G898" i="1" a="1"/>
  <c r="G898" i="1" s="1"/>
  <c r="G284" i="1" a="1"/>
  <c r="G284" i="1" s="1"/>
  <c r="G868" i="1" a="1"/>
  <c r="G868" i="1" s="1"/>
  <c r="G715" i="1" a="1"/>
  <c r="G715" i="1" s="1"/>
  <c r="G808" i="1" a="1"/>
  <c r="G808" i="1" s="1"/>
  <c r="G654" i="1" a="1"/>
  <c r="G654" i="1" s="1"/>
  <c r="G119" i="1" a="1"/>
  <c r="G119" i="1" s="1"/>
  <c r="G61" i="1" a="1"/>
  <c r="G61" i="1" s="1"/>
  <c r="G690" i="1" a="1"/>
  <c r="G690" i="1" s="1"/>
  <c r="G133" i="1" a="1"/>
  <c r="G133" i="1" s="1"/>
  <c r="G472" i="1" a="1"/>
  <c r="G472" i="1" s="1"/>
  <c r="G628" i="1" a="1"/>
  <c r="G628" i="1" s="1"/>
  <c r="G503" i="1" a="1"/>
  <c r="G503" i="1" s="1"/>
  <c r="G36" i="1" a="1"/>
  <c r="G36" i="1" s="1"/>
  <c r="G831" i="1" a="1"/>
  <c r="G831" i="1" s="1"/>
  <c r="G923" i="1" a="1"/>
  <c r="G923" i="1" s="1"/>
  <c r="G598" i="1" a="1"/>
  <c r="G598" i="1" s="1"/>
  <c r="G987" i="1" a="1"/>
  <c r="G987" i="1" s="1"/>
  <c r="G405" i="1" a="1"/>
  <c r="G405" i="1" s="1"/>
  <c r="G530" i="1" a="1"/>
  <c r="G530" i="1" s="1"/>
  <c r="G893" i="1" a="1"/>
  <c r="G893" i="1" s="1"/>
  <c r="G520" i="1" a="1"/>
  <c r="G520" i="1" s="1"/>
  <c r="G967" i="1" a="1"/>
  <c r="G967" i="1" s="1"/>
  <c r="G352" i="1" a="1"/>
  <c r="G352" i="1" s="1"/>
  <c r="G543" i="1" a="1"/>
  <c r="G543" i="1" s="1"/>
  <c r="G792" i="1" a="1"/>
  <c r="G792" i="1" s="1"/>
  <c r="G49" i="1" a="1"/>
  <c r="G49" i="1" s="1"/>
  <c r="G909" i="1" a="1"/>
  <c r="G909" i="1" s="1"/>
  <c r="G937" i="1" a="1"/>
  <c r="G937" i="1" s="1"/>
  <c r="G677" i="1" a="1"/>
  <c r="G677" i="1" s="1"/>
  <c r="G599" i="1" a="1"/>
  <c r="G599" i="1" s="1"/>
  <c r="G817" i="1" a="1"/>
  <c r="G817" i="1" s="1"/>
  <c r="G31" i="1" a="1"/>
  <c r="G31" i="1" s="1"/>
  <c r="G2" i="1" a="1"/>
  <c r="G2" i="1" s="1"/>
  <c r="G633" i="1" a="1"/>
  <c r="G633" i="1" s="1"/>
  <c r="G904" i="1" a="1"/>
  <c r="G904" i="1" s="1"/>
  <c r="G670" i="1" a="1"/>
  <c r="G670" i="1" s="1"/>
  <c r="G48" i="1" a="1"/>
  <c r="G48" i="1" s="1"/>
  <c r="G42" i="1" a="1"/>
  <c r="G42" i="1" s="1"/>
  <c r="G62" i="1" a="1"/>
  <c r="G62" i="1" s="1"/>
  <c r="G94" i="1" a="1"/>
  <c r="G94" i="1" s="1"/>
  <c r="G271" i="1" a="1"/>
  <c r="G271" i="1" s="1"/>
  <c r="G975" i="1" a="1"/>
  <c r="G975" i="1" s="1"/>
  <c r="G100" i="1" a="1"/>
  <c r="G100" i="1" s="1"/>
  <c r="G811" i="1" a="1"/>
  <c r="G811" i="1" s="1"/>
  <c r="G703" i="1" a="1"/>
  <c r="G703" i="1" s="1"/>
  <c r="G488" i="1" a="1"/>
  <c r="G488" i="1" s="1"/>
  <c r="G303" i="1" a="1"/>
  <c r="G303" i="1" s="1"/>
  <c r="G422" i="1" a="1"/>
  <c r="G422" i="1" s="1"/>
  <c r="G554" i="1" a="1"/>
  <c r="G554" i="1" s="1"/>
  <c r="G687" i="1" a="1"/>
  <c r="G687" i="1" s="1"/>
  <c r="G43" i="1" a="1"/>
  <c r="G43" i="1" s="1"/>
  <c r="G114" i="1" a="1"/>
  <c r="G114" i="1" s="1"/>
  <c r="G555" i="1" a="1"/>
  <c r="G555" i="1" s="1"/>
  <c r="G858" i="1" a="1"/>
  <c r="G858" i="1" s="1"/>
  <c r="G442" i="1" a="1"/>
  <c r="G442" i="1" s="1"/>
  <c r="G580" i="1" a="1"/>
  <c r="G580" i="1" s="1"/>
  <c r="G641" i="1" a="1"/>
  <c r="G641" i="1" s="1"/>
  <c r="G225" i="1" a="1"/>
  <c r="G225" i="1" s="1"/>
  <c r="G75" i="1" a="1"/>
  <c r="G75" i="1" s="1"/>
  <c r="G120" i="1" a="1"/>
  <c r="G120" i="1" s="1"/>
  <c r="G637" i="1" a="1"/>
  <c r="G637" i="1" s="1"/>
  <c r="G185" i="1" a="1"/>
  <c r="G185" i="1" s="1"/>
  <c r="G623" i="1" a="1"/>
  <c r="G623" i="1" s="1"/>
  <c r="G952" i="1" a="1"/>
  <c r="G952" i="1" s="1"/>
  <c r="G571" i="1" a="1"/>
  <c r="G571" i="1" s="1"/>
  <c r="G159" i="1" a="1"/>
  <c r="G159" i="1" s="1"/>
  <c r="G741" i="1" a="1"/>
  <c r="G741" i="1" s="1"/>
  <c r="G910" i="1" a="1"/>
  <c r="G910" i="1" s="1"/>
  <c r="G750" i="1" a="1"/>
  <c r="G750" i="1" s="1"/>
  <c r="G12" i="1" a="1"/>
  <c r="G12" i="1" s="1"/>
  <c r="G209" i="1" a="1"/>
  <c r="G209" i="1" s="1"/>
  <c r="G265" i="1" a="1"/>
  <c r="G265" i="1" s="1"/>
  <c r="G651" i="1" a="1"/>
  <c r="G651" i="1" s="1"/>
  <c r="G259" i="1" a="1"/>
  <c r="G259" i="1" s="1"/>
  <c r="G361" i="1" a="1"/>
  <c r="G361" i="1" s="1"/>
  <c r="G299" i="1" a="1"/>
  <c r="G299" i="1" s="1"/>
  <c r="G805" i="1" a="1"/>
  <c r="G805" i="1" s="1"/>
  <c r="G920" i="1" a="1"/>
  <c r="G920" i="1" s="1"/>
  <c r="G600" i="1" a="1"/>
  <c r="G600" i="1" s="1"/>
  <c r="G565" i="1" a="1"/>
  <c r="G565" i="1" s="1"/>
  <c r="G19" i="1" a="1"/>
  <c r="G19" i="1" s="1"/>
  <c r="G737" i="1" a="1"/>
  <c r="G737" i="1" s="1"/>
  <c r="G435" i="1" a="1"/>
  <c r="G435" i="1" s="1"/>
  <c r="G203" i="1" a="1"/>
  <c r="G203" i="1" s="1"/>
  <c r="G638" i="1" a="1"/>
  <c r="G638" i="1" s="1"/>
  <c r="G924" i="1" a="1"/>
  <c r="G924" i="1" s="1"/>
  <c r="G90" i="1" a="1"/>
  <c r="G90" i="1" s="1"/>
  <c r="G499" i="1" a="1"/>
  <c r="G499" i="1" s="1"/>
  <c r="G287" i="1" a="1"/>
  <c r="G287" i="1" s="1"/>
  <c r="G684" i="1" a="1"/>
  <c r="G684" i="1" s="1"/>
  <c r="G875" i="1" a="1"/>
  <c r="G875" i="1" s="1"/>
  <c r="G428" i="1" a="1"/>
  <c r="G428" i="1" s="1"/>
  <c r="G41" i="1" a="1"/>
  <c r="G41" i="1" s="1"/>
  <c r="G662" i="1" a="1"/>
  <c r="G662" i="1" s="1"/>
  <c r="G278" i="1" a="1"/>
  <c r="G278" i="1" s="1"/>
  <c r="G39" i="1" a="1"/>
  <c r="G39" i="1" s="1"/>
  <c r="G979" i="1" a="1"/>
  <c r="G979" i="1" s="1"/>
  <c r="G252" i="1" a="1"/>
  <c r="G252" i="1" s="1"/>
  <c r="G115" i="1" a="1"/>
  <c r="G115" i="1" s="1"/>
  <c r="G300" i="1" a="1"/>
  <c r="G300" i="1" s="1"/>
  <c r="G188" i="1" a="1"/>
  <c r="G188" i="1" s="1"/>
  <c r="G91" i="1" a="1"/>
  <c r="G91" i="1" s="1"/>
  <c r="G282" i="1" a="1"/>
  <c r="G282" i="1" s="1"/>
  <c r="G692" i="1" a="1"/>
  <c r="G692" i="1" s="1"/>
  <c r="G6" i="1" a="1"/>
  <c r="G6" i="1" s="1"/>
  <c r="G216" i="1" a="1"/>
  <c r="G216" i="1" s="1"/>
  <c r="G546" i="1" a="1"/>
  <c r="G546" i="1" s="1"/>
  <c r="G824" i="1" a="1"/>
  <c r="G824" i="1" s="1"/>
  <c r="G305" i="1" a="1"/>
  <c r="G305" i="1" s="1"/>
  <c r="G712" i="1" a="1"/>
  <c r="G712" i="1" s="1"/>
  <c r="G413" i="1" a="1"/>
  <c r="G413" i="1" s="1"/>
  <c r="G228" i="1" a="1"/>
  <c r="G228" i="1" s="1"/>
  <c r="G162" i="1" a="1"/>
  <c r="G162" i="1" s="1"/>
  <c r="G940" i="1" a="1"/>
  <c r="G940" i="1" s="1"/>
  <c r="G583" i="1" a="1"/>
  <c r="G583" i="1" s="1"/>
  <c r="G106" i="1" a="1"/>
  <c r="G106" i="1" s="1"/>
  <c r="G911" i="1" a="1"/>
  <c r="G911" i="1" s="1"/>
  <c r="G938" i="1" a="1"/>
  <c r="G938" i="1" s="1"/>
  <c r="G832" i="1" a="1"/>
  <c r="G832" i="1" s="1"/>
  <c r="G373" i="1" a="1"/>
  <c r="G373" i="1" s="1"/>
  <c r="G876" i="1" a="1"/>
  <c r="G876" i="1" s="1"/>
  <c r="G621" i="1" a="1"/>
  <c r="G621" i="1" s="1"/>
  <c r="G86" i="1" a="1"/>
  <c r="G86" i="1" s="1"/>
  <c r="G980" i="1" a="1"/>
  <c r="G980" i="1" s="1"/>
  <c r="G948" i="1" a="1"/>
  <c r="G948" i="1" s="1"/>
  <c r="G101" i="1" a="1"/>
  <c r="G101" i="1" s="1"/>
  <c r="G732" i="1" a="1"/>
  <c r="G732" i="1" s="1"/>
  <c r="G317" i="1" a="1"/>
  <c r="G317" i="1" s="1"/>
  <c r="G402" i="1" a="1"/>
  <c r="G402" i="1" s="1"/>
  <c r="G163" i="1" a="1"/>
  <c r="G163" i="1" s="1"/>
  <c r="G622" i="1" a="1"/>
  <c r="G622" i="1" s="1"/>
  <c r="G378" i="1" a="1"/>
  <c r="G378" i="1" s="1"/>
  <c r="G204" i="1" a="1"/>
  <c r="G204" i="1" s="1"/>
  <c r="G236" i="1" a="1"/>
  <c r="G236" i="1" s="1"/>
  <c r="G329" i="1" a="1"/>
  <c r="G329" i="1" s="1"/>
  <c r="G288" i="1" a="1"/>
  <c r="G288" i="1" s="1"/>
  <c r="G729" i="1" a="1"/>
  <c r="G729" i="1" s="1"/>
  <c r="G3" i="1" a="1"/>
  <c r="G3" i="1" s="1"/>
  <c r="G547" i="1" a="1"/>
  <c r="G547" i="1" s="1"/>
  <c r="G266" i="1" a="1"/>
  <c r="G266" i="1" s="1"/>
  <c r="G168" i="1" a="1"/>
  <c r="G168" i="1" s="1"/>
  <c r="G591" i="1" a="1"/>
  <c r="G591" i="1" s="1"/>
  <c r="G548" i="1" a="1"/>
  <c r="G548" i="1" s="1"/>
  <c r="G243" i="1" a="1"/>
  <c r="G243" i="1" s="1"/>
  <c r="G540" i="1" a="1"/>
  <c r="G540" i="1" s="1"/>
  <c r="G142" i="1" a="1"/>
  <c r="G142" i="1" s="1"/>
  <c r="G509" i="1" a="1"/>
  <c r="G509" i="1" s="1"/>
  <c r="G63" i="1" a="1"/>
  <c r="G63" i="1" s="1"/>
  <c r="G134" i="1" a="1"/>
  <c r="G134" i="1" s="1"/>
  <c r="G572" i="1" a="1"/>
  <c r="G572" i="1" s="1"/>
  <c r="G786" i="1" a="1"/>
  <c r="G786" i="1" s="1"/>
  <c r="G33" i="1" a="1"/>
  <c r="G33" i="1" s="1"/>
  <c r="G13" i="1" a="1"/>
  <c r="G13" i="1" s="1"/>
  <c r="G778" i="1" a="1"/>
  <c r="G778" i="1" s="1"/>
  <c r="G544" i="1" a="1"/>
  <c r="G544" i="1" s="1"/>
  <c r="G4" i="1" a="1"/>
  <c r="G4" i="1" s="1"/>
  <c r="G80" i="1" a="1"/>
  <c r="G80" i="1" s="1"/>
  <c r="G601" i="1" a="1"/>
  <c r="G601" i="1" s="1"/>
  <c r="G111" i="1" a="1"/>
  <c r="G111" i="1" s="1"/>
  <c r="G102" i="1" a="1"/>
  <c r="G102" i="1" s="1"/>
  <c r="G394" i="1" a="1"/>
  <c r="G394" i="1" s="1"/>
  <c r="G616" i="1" a="1"/>
  <c r="G616" i="1" s="1"/>
  <c r="G385" i="1" a="1"/>
  <c r="G385" i="1" s="1"/>
  <c r="G663" i="1" a="1"/>
  <c r="G663" i="1" s="1"/>
  <c r="G92" i="1" a="1"/>
  <c r="G92" i="1" s="1"/>
  <c r="G346" i="1" a="1"/>
  <c r="G346" i="1" s="1"/>
  <c r="G872" i="1" a="1"/>
  <c r="G872" i="1" s="1"/>
  <c r="G313" i="1" a="1"/>
  <c r="G313" i="1" s="1"/>
  <c r="G819" i="1" a="1"/>
  <c r="G819" i="1" s="1"/>
  <c r="G963" i="1" a="1"/>
  <c r="G963" i="1" s="1"/>
  <c r="G533" i="1" a="1"/>
  <c r="G533" i="1" s="1"/>
  <c r="G301" i="1" a="1"/>
  <c r="G301" i="1" s="1"/>
  <c r="G274" i="1" a="1"/>
  <c r="G274" i="1" s="1"/>
  <c r="G445" i="1" a="1"/>
  <c r="G445" i="1" s="1"/>
  <c r="G666" i="1" a="1"/>
  <c r="G666" i="1" s="1"/>
  <c r="G493" i="1" a="1"/>
  <c r="G493" i="1" s="1"/>
  <c r="G454" i="1" a="1"/>
  <c r="G454" i="1" s="1"/>
  <c r="G364" i="1" a="1"/>
  <c r="G364" i="1" s="1"/>
  <c r="G682" i="1" a="1"/>
  <c r="G682" i="1" s="1"/>
  <c r="G988" i="1" a="1"/>
  <c r="G988" i="1" s="1"/>
  <c r="G624" i="1" a="1"/>
  <c r="G624" i="1" s="1"/>
  <c r="G513" i="1" a="1"/>
  <c r="G513" i="1" s="1"/>
  <c r="G160" i="1" a="1"/>
  <c r="G160" i="1" s="1"/>
  <c r="G189" i="1" a="1"/>
  <c r="G189" i="1" s="1"/>
  <c r="G825" i="1" a="1"/>
  <c r="G825" i="1" s="1"/>
  <c r="G936" i="1" a="1"/>
  <c r="G936" i="1" s="1"/>
  <c r="G837" i="1" a="1"/>
  <c r="G837" i="1" s="1"/>
  <c r="G617" i="1" a="1"/>
  <c r="G617" i="1" s="1"/>
  <c r="G464" i="1" a="1"/>
  <c r="G464" i="1" s="1"/>
  <c r="G57" i="1" a="1"/>
  <c r="G57" i="1" s="1"/>
  <c r="G64" i="1" a="1"/>
  <c r="G64" i="1" s="1"/>
  <c r="G7" i="1" a="1"/>
  <c r="G7" i="1" s="1"/>
  <c r="G65" i="1" a="1"/>
  <c r="G65" i="1" s="1"/>
  <c r="G37" i="1" a="1"/>
  <c r="G37" i="1" s="1"/>
  <c r="G925" i="1" a="1"/>
  <c r="G925" i="1" s="1"/>
  <c r="G688" i="1" a="1"/>
  <c r="G688" i="1" s="1"/>
  <c r="G324" i="1" a="1"/>
  <c r="G324" i="1" s="1"/>
  <c r="G992" i="1" a="1"/>
  <c r="G992" i="1" s="1"/>
  <c r="G521" i="1" a="1"/>
  <c r="G521" i="1" s="1"/>
  <c r="G812" i="1" a="1"/>
  <c r="G812" i="1" s="1"/>
  <c r="G604" i="1" a="1"/>
  <c r="G604" i="1" s="1"/>
  <c r="G495" i="1" a="1"/>
  <c r="G495" i="1" s="1"/>
  <c r="G806" i="1" a="1"/>
  <c r="G806" i="1" s="1"/>
  <c r="G674" i="1" a="1"/>
  <c r="G674" i="1" s="1"/>
  <c r="G122" i="1" a="1"/>
  <c r="G122" i="1" s="1"/>
  <c r="G869" i="1" a="1"/>
  <c r="G869" i="1" s="1"/>
  <c r="G694" i="1" a="1"/>
  <c r="G694" i="1" s="1"/>
  <c r="G912" i="1" a="1"/>
  <c r="G912" i="1" s="1"/>
  <c r="G612" i="1" a="1"/>
  <c r="G612" i="1" s="1"/>
  <c r="G296" i="1" a="1"/>
  <c r="G296" i="1" s="1"/>
  <c r="G813" i="1" a="1"/>
  <c r="G813" i="1" s="1"/>
  <c r="G726" i="1" a="1"/>
  <c r="G726" i="1" s="1"/>
  <c r="G396" i="1" a="1"/>
  <c r="G396" i="1" s="1"/>
  <c r="G107" i="1" a="1"/>
  <c r="G107" i="1" s="1"/>
  <c r="G596" i="1" a="1"/>
  <c r="G596" i="1" s="1"/>
  <c r="G212" i="1" a="1"/>
  <c r="G212" i="1" s="1"/>
  <c r="G933" i="1" a="1"/>
  <c r="G933" i="1" s="1"/>
  <c r="G602" i="1" a="1"/>
  <c r="G602" i="1" s="1"/>
  <c r="G534" i="1" a="1"/>
  <c r="G534" i="1" s="1"/>
  <c r="G418" i="1" a="1"/>
  <c r="G418" i="1" s="1"/>
  <c r="G235" i="1" a="1"/>
  <c r="G235" i="1" s="1"/>
  <c r="G751" i="1" a="1"/>
  <c r="G751" i="1" s="1"/>
  <c r="G8" i="1" a="1"/>
  <c r="G8" i="1" s="1"/>
  <c r="G704" i="1" a="1"/>
  <c r="G704" i="1" s="1"/>
  <c r="G473" i="1" a="1"/>
  <c r="G473" i="1" s="1"/>
  <c r="G880" i="1" a="1"/>
  <c r="G880" i="1" s="1"/>
  <c r="G781" i="1" a="1"/>
  <c r="G781" i="1" s="1"/>
  <c r="G164" i="1" a="1"/>
  <c r="G164" i="1" s="1"/>
  <c r="G671" i="1" a="1"/>
  <c r="G671" i="1" s="1"/>
  <c r="G93" i="1" a="1"/>
  <c r="G93" i="1" s="1"/>
  <c r="G186" i="1" a="1"/>
  <c r="G186" i="1" s="1"/>
  <c r="G443" i="1" a="1"/>
  <c r="G443" i="1" s="1"/>
  <c r="G348" i="1" a="1"/>
  <c r="G348" i="1" s="1"/>
  <c r="G430" i="1" a="1"/>
  <c r="G430" i="1" s="1"/>
  <c r="G958" i="1" a="1"/>
  <c r="G958" i="1" s="1"/>
  <c r="G968" i="1" a="1"/>
  <c r="G968" i="1" s="1"/>
  <c r="G706" i="1" a="1"/>
  <c r="G706" i="1" s="1"/>
  <c r="G856" i="1" a="1"/>
  <c r="G856" i="1" s="1"/>
  <c r="G173" i="1" a="1"/>
  <c r="G173" i="1" s="1"/>
  <c r="G644" i="1" a="1"/>
  <c r="G644" i="1" s="1"/>
  <c r="G862" i="1" a="1"/>
  <c r="G862" i="1" s="1"/>
  <c r="G744" i="1" a="1"/>
  <c r="G744" i="1" s="1"/>
  <c r="G634" i="1" a="1"/>
  <c r="G634" i="1" s="1"/>
  <c r="G899" i="1" a="1"/>
  <c r="G899" i="1" s="1"/>
  <c r="G123" i="1" a="1"/>
  <c r="G123" i="1" s="1"/>
  <c r="G446" i="1" a="1"/>
  <c r="G446" i="1" s="1"/>
  <c r="G355" i="1" a="1"/>
  <c r="G355" i="1" s="1"/>
  <c r="G928" i="1" a="1"/>
  <c r="G928" i="1" s="1"/>
  <c r="G220" i="1" a="1"/>
  <c r="G220" i="1" s="1"/>
  <c r="G561" i="1" a="1"/>
  <c r="G561" i="1" s="1"/>
  <c r="G934" i="1" a="1"/>
  <c r="G934" i="1" s="1"/>
  <c r="G197" i="1" a="1"/>
  <c r="G197" i="1" s="1"/>
  <c r="G605" i="1" a="1"/>
  <c r="G605" i="1" s="1"/>
  <c r="G397" i="1" a="1"/>
  <c r="G397" i="1" s="1"/>
  <c r="G450" i="1" a="1"/>
  <c r="G450" i="1" s="1"/>
  <c r="G335" i="1" a="1"/>
  <c r="G335" i="1" s="1"/>
  <c r="G838" i="1" a="1"/>
  <c r="G838" i="1" s="1"/>
  <c r="G522" i="1" a="1"/>
  <c r="G522" i="1" s="1"/>
  <c r="G459" i="1" a="1"/>
  <c r="G459" i="1" s="1"/>
  <c r="G357" i="1" a="1"/>
  <c r="G357" i="1" s="1"/>
  <c r="G1001" i="1" a="1"/>
  <c r="G1001" i="1" s="1"/>
  <c r="G181" i="1" a="1"/>
  <c r="G181" i="1" s="1"/>
  <c r="G655" i="1" a="1"/>
  <c r="G655" i="1" s="1"/>
  <c r="G82" i="1" a="1"/>
  <c r="G82" i="1" s="1"/>
  <c r="G745" i="1" a="1"/>
  <c r="G745" i="1" s="1"/>
  <c r="G336" i="1" a="1"/>
  <c r="G336" i="1" s="1"/>
  <c r="G480" i="1" a="1"/>
  <c r="G480" i="1" s="1"/>
  <c r="G431" i="1" a="1"/>
  <c r="G431" i="1" s="1"/>
  <c r="G70" i="1" a="1"/>
  <c r="G70" i="1" s="1"/>
  <c r="G738" i="1" a="1"/>
  <c r="G738" i="1" s="1"/>
  <c r="G609" i="1" a="1"/>
  <c r="G609" i="1" s="1"/>
  <c r="G619" i="1" a="1"/>
  <c r="G619" i="1" s="1"/>
  <c r="G773" i="1" a="1"/>
  <c r="G773" i="1" s="1"/>
  <c r="G121" i="1" a="1"/>
  <c r="G121" i="1" s="1"/>
  <c r="G406" i="1" a="1"/>
  <c r="G406" i="1" s="1"/>
  <c r="G411" i="1" a="1"/>
  <c r="G411" i="1" s="1"/>
  <c r="G733" i="1" a="1"/>
  <c r="G733" i="1" s="1"/>
  <c r="G581" i="1" a="1"/>
  <c r="G581" i="1" s="1"/>
  <c r="G34" i="1" a="1"/>
  <c r="G34" i="1" s="1"/>
  <c r="G238" i="1" a="1"/>
  <c r="G238" i="1" s="1"/>
  <c r="G474" i="1" a="1"/>
  <c r="G474" i="1" s="1"/>
  <c r="G645" i="1" a="1"/>
  <c r="G645" i="1" s="1"/>
  <c r="G358" i="1" a="1"/>
  <c r="G358" i="1" s="1"/>
  <c r="G447" i="1" a="1"/>
  <c r="G447" i="1" s="1"/>
  <c r="G432" i="1" a="1"/>
  <c r="G432" i="1" s="1"/>
  <c r="G14" i="1" a="1"/>
  <c r="G14" i="1" s="1"/>
  <c r="G895" i="1" a="1"/>
  <c r="G895" i="1" s="1"/>
  <c r="G568" i="1" a="1"/>
  <c r="G568" i="1" s="1"/>
  <c r="G194" i="1" a="1"/>
  <c r="G194" i="1" s="1"/>
  <c r="G260" i="1" a="1"/>
  <c r="G260" i="1" s="1"/>
  <c r="G267" i="1" a="1"/>
  <c r="G267" i="1" s="1"/>
  <c r="G314" i="1" a="1"/>
  <c r="G314" i="1" s="1"/>
  <c r="G793" i="1" a="1"/>
  <c r="G793" i="1" s="1"/>
  <c r="G71" i="1" a="1"/>
  <c r="G71" i="1" s="1"/>
  <c r="G127" i="1" a="1"/>
  <c r="G127" i="1" s="1"/>
  <c r="G516" i="1" a="1"/>
  <c r="G516" i="1" s="1"/>
  <c r="G523" i="1" a="1"/>
  <c r="G523" i="1" s="1"/>
  <c r="G327" i="1" a="1"/>
  <c r="G327" i="1" s="1"/>
  <c r="G984" i="1" a="1"/>
  <c r="G984" i="1" s="1"/>
  <c r="G401" i="1" a="1"/>
  <c r="G401" i="1" s="1"/>
  <c r="G76" i="1" a="1"/>
  <c r="G76" i="1" s="1"/>
  <c r="G433" i="1" a="1"/>
  <c r="G433" i="1" s="1"/>
  <c r="G664" i="1" a="1"/>
  <c r="G664" i="1" s="1"/>
  <c r="G827" i="1" a="1"/>
  <c r="G827" i="1" s="1"/>
  <c r="G789" i="1" a="1"/>
  <c r="G789" i="1" s="1"/>
  <c r="G782" i="1" a="1"/>
  <c r="G782" i="1" s="1"/>
  <c r="G584" i="1" a="1"/>
  <c r="G584" i="1" s="1"/>
  <c r="G128" i="1" a="1"/>
  <c r="G128" i="1" s="1"/>
  <c r="G820" i="1" a="1"/>
  <c r="G820" i="1" s="1"/>
  <c r="G752" i="1" a="1"/>
  <c r="G752" i="1" s="1"/>
  <c r="G174" i="1" a="1"/>
  <c r="G174" i="1" s="1"/>
  <c r="G941" i="1" a="1"/>
  <c r="G941" i="1" s="1"/>
  <c r="G340" i="1" a="1"/>
  <c r="G340" i="1" s="1"/>
  <c r="G839" i="1" a="1"/>
  <c r="G839" i="1" s="1"/>
  <c r="G718" i="1" a="1"/>
  <c r="G718" i="1" s="1"/>
  <c r="G995" i="1" a="1"/>
  <c r="G995" i="1" s="1"/>
  <c r="G253" i="1" a="1"/>
  <c r="G253" i="1" s="1"/>
  <c r="G423" i="1" a="1"/>
  <c r="G423" i="1" s="1"/>
  <c r="G739" i="1" a="1"/>
  <c r="G739" i="1" s="1"/>
  <c r="G697" i="1" a="1"/>
  <c r="G697" i="1" s="1"/>
  <c r="G309" i="1" a="1"/>
  <c r="G309" i="1" s="1"/>
  <c r="G374" i="1" a="1"/>
  <c r="G374" i="1" s="1"/>
  <c r="G840" i="1" a="1"/>
  <c r="G840" i="1" s="1"/>
  <c r="G279" i="1" a="1"/>
  <c r="G279" i="1" s="1"/>
  <c r="G877" i="1" a="1"/>
  <c r="G877" i="1" s="1"/>
  <c r="G147" i="1" a="1"/>
  <c r="G147" i="1" s="1"/>
  <c r="G675" i="1" a="1"/>
  <c r="G675" i="1" s="1"/>
  <c r="G391" i="1" a="1"/>
  <c r="G391" i="1" s="1"/>
  <c r="G954" i="1" a="1"/>
  <c r="G954" i="1" s="1"/>
  <c r="G26" i="1" a="1"/>
  <c r="G26" i="1" s="1"/>
  <c r="G881" i="1" a="1"/>
  <c r="G881" i="1" s="1"/>
  <c r="G639" i="1" a="1"/>
  <c r="G639" i="1" s="1"/>
  <c r="G310" i="1" a="1"/>
  <c r="G310" i="1" s="1"/>
  <c r="G573" i="1" a="1"/>
  <c r="G573" i="1" s="1"/>
  <c r="G451" i="1" a="1"/>
  <c r="G451" i="1" s="1"/>
  <c r="G349" i="1" a="1"/>
  <c r="G349" i="1" s="1"/>
  <c r="G989" i="1" a="1"/>
  <c r="G989" i="1" s="1"/>
  <c r="G603" i="1" a="1"/>
  <c r="G603" i="1" s="1"/>
  <c r="G283" i="1" a="1"/>
  <c r="G283" i="1" s="1"/>
  <c r="G678" i="1" a="1"/>
  <c r="G678" i="1" s="1"/>
  <c r="G918" i="1" a="1"/>
  <c r="G918" i="1" s="1"/>
  <c r="G95" i="1" a="1"/>
  <c r="G95" i="1" s="1"/>
  <c r="G640" i="1" a="1"/>
  <c r="G640" i="1" s="1"/>
  <c r="G392" i="1" a="1"/>
  <c r="G392" i="1" s="1"/>
  <c r="G337" i="1" a="1"/>
  <c r="G337" i="1" s="1"/>
  <c r="G720" i="1" a="1"/>
  <c r="G720" i="1" s="1"/>
  <c r="G753" i="1" a="1"/>
  <c r="G753" i="1" s="1"/>
  <c r="G77" i="1" a="1"/>
  <c r="G77" i="1" s="1"/>
  <c r="G362" i="1" a="1"/>
  <c r="G362" i="1" s="1"/>
  <c r="G556" i="1" a="1"/>
  <c r="G556" i="1" s="1"/>
  <c r="G699" i="1" a="1"/>
  <c r="G699" i="1" s="1"/>
  <c r="G169" i="1" a="1"/>
  <c r="G169" i="1" s="1"/>
  <c r="G292" i="1" a="1"/>
  <c r="G292" i="1" s="1"/>
  <c r="G331" i="1" a="1"/>
  <c r="G331" i="1" s="1"/>
  <c r="G452" i="1" a="1"/>
  <c r="G452" i="1" s="1"/>
  <c r="G9" i="1" a="1"/>
  <c r="G9" i="1" s="1"/>
  <c r="G187" i="1" a="1"/>
  <c r="G187" i="1" s="1"/>
  <c r="G969" i="1" a="1"/>
  <c r="G969" i="1" s="1"/>
  <c r="G354" i="1" a="1"/>
  <c r="G354" i="1" s="1"/>
  <c r="G981" i="1" a="1"/>
  <c r="G981" i="1" s="1"/>
  <c r="G707" i="1" a="1"/>
  <c r="G707" i="1" s="1"/>
  <c r="G722" i="1" a="1"/>
  <c r="G722" i="1" s="1"/>
  <c r="G247" i="1" a="1"/>
  <c r="G247" i="1" s="1"/>
  <c r="G760" i="1" a="1"/>
  <c r="G760" i="1" s="1"/>
  <c r="G40" i="1" a="1"/>
  <c r="G40" i="1" s="1"/>
  <c r="G919" i="1" a="1"/>
  <c r="G919" i="1" s="1"/>
  <c r="G332" i="1" a="1"/>
  <c r="G332" i="1" s="1"/>
  <c r="G734" i="1" a="1"/>
  <c r="G734" i="1" s="1"/>
  <c r="G466" i="1" a="1"/>
  <c r="G466" i="1" s="1"/>
  <c r="G672" i="1" a="1"/>
  <c r="G672" i="1" s="1"/>
  <c r="G58" i="1" a="1"/>
  <c r="G58" i="1" s="1"/>
  <c r="G658" i="1" a="1"/>
  <c r="G658" i="1" s="1"/>
  <c r="G964" i="1" a="1"/>
  <c r="G964" i="1" s="1"/>
  <c r="G631" i="1" a="1"/>
  <c r="G631" i="1" s="1"/>
  <c r="G87" i="1" a="1"/>
  <c r="G87" i="1" s="1"/>
  <c r="G537" i="1" a="1"/>
  <c r="G537" i="1" s="1"/>
  <c r="G414" i="1" a="1"/>
  <c r="G414" i="1" s="1"/>
  <c r="G878" i="1" a="1"/>
  <c r="G878" i="1" s="1"/>
  <c r="G213" i="1" a="1"/>
  <c r="G213" i="1" s="1"/>
  <c r="G585" i="1" a="1"/>
  <c r="G585" i="1" s="1"/>
  <c r="G965" i="1" a="1"/>
  <c r="G965" i="1" s="1"/>
  <c r="G198" i="1" a="1"/>
  <c r="G198" i="1" s="1"/>
  <c r="G594" i="1" a="1"/>
  <c r="G594" i="1" s="1"/>
  <c r="G527" i="1" a="1"/>
  <c r="G527" i="1" s="1"/>
  <c r="G610" i="1" a="1"/>
  <c r="G610" i="1" s="1"/>
  <c r="G879" i="1" a="1"/>
  <c r="G879" i="1" s="1"/>
  <c r="G489" i="1" a="1"/>
  <c r="G489" i="1" s="1"/>
  <c r="G673" i="1" a="1"/>
  <c r="G673" i="1" s="1"/>
  <c r="G894" i="1" a="1"/>
  <c r="G894" i="1" s="1"/>
  <c r="G882" i="1" a="1"/>
  <c r="G882" i="1" s="1"/>
  <c r="G109" i="1" a="1"/>
  <c r="G109" i="1" s="1"/>
  <c r="G318" i="1" a="1"/>
  <c r="G318" i="1" s="1"/>
  <c r="G971" i="1" a="1"/>
  <c r="G971" i="1" s="1"/>
  <c r="G804" i="1" a="1"/>
  <c r="G804" i="1" s="1"/>
  <c r="G779" i="1" a="1"/>
  <c r="G779" i="1" s="1"/>
  <c r="G20" i="1" a="1"/>
  <c r="G20" i="1" s="1"/>
  <c r="G646" i="1" a="1"/>
  <c r="G646" i="1" s="1"/>
  <c r="G403" i="1" a="1"/>
  <c r="G403" i="1" s="1"/>
  <c r="G306" i="1" a="1"/>
  <c r="G306" i="1" s="1"/>
  <c r="G855" i="1" a="1"/>
  <c r="G855" i="1" s="1"/>
  <c r="G848" i="1" a="1"/>
  <c r="G848" i="1" s="1"/>
  <c r="G959" i="1" a="1"/>
  <c r="G959" i="1" s="1"/>
  <c r="G297" i="1" a="1"/>
  <c r="G297" i="1" s="1"/>
  <c r="G618" i="1" a="1"/>
  <c r="G618" i="1" s="1"/>
  <c r="G569" i="1" a="1"/>
  <c r="G569" i="1" s="1"/>
  <c r="G730" i="1" a="1"/>
  <c r="G730" i="1" s="1"/>
  <c r="G794" i="1" a="1"/>
  <c r="G794" i="1" s="1"/>
  <c r="G538" i="1" a="1"/>
  <c r="G538" i="1" s="1"/>
  <c r="G359" i="1" a="1"/>
  <c r="G359" i="1" s="1"/>
  <c r="G367" i="1" a="1"/>
  <c r="G367" i="1" s="1"/>
  <c r="G562" i="1" a="1"/>
  <c r="G562" i="1" s="1"/>
  <c r="G205" i="1" a="1"/>
  <c r="G205" i="1" s="1"/>
  <c r="G592" i="1" a="1"/>
  <c r="G592" i="1" s="1"/>
  <c r="G239" i="1" a="1"/>
  <c r="G239" i="1" s="1"/>
  <c r="G758" i="1" a="1"/>
  <c r="G758" i="1" s="1"/>
  <c r="G550" i="1" a="1"/>
  <c r="G550" i="1" s="1"/>
  <c r="G148" i="1" a="1"/>
  <c r="G148" i="1" s="1"/>
  <c r="G790" i="1" a="1"/>
  <c r="G790" i="1" s="1"/>
  <c r="G960" i="1" a="1"/>
  <c r="G960" i="1" s="1"/>
  <c r="G996" i="1" a="1"/>
  <c r="G996" i="1" s="1"/>
  <c r="G629" i="1" a="1"/>
  <c r="G629" i="1" s="1"/>
  <c r="G679" i="1" a="1"/>
  <c r="G679" i="1" s="1"/>
  <c r="G762" i="1" a="1"/>
  <c r="G762" i="1" s="1"/>
  <c r="G723" i="1" a="1"/>
  <c r="G723" i="1" s="1"/>
  <c r="G110" i="1" a="1"/>
  <c r="G110" i="1" s="1"/>
  <c r="G686" i="1" a="1"/>
  <c r="G686" i="1" s="1"/>
  <c r="G21" i="1" a="1"/>
  <c r="G21" i="1" s="1"/>
  <c r="G356" i="1" a="1"/>
  <c r="G356" i="1" s="1"/>
  <c r="G116" i="1" a="1"/>
  <c r="G116" i="1" s="1"/>
  <c r="G683" i="1" a="1"/>
  <c r="G683" i="1" s="1"/>
  <c r="G606" i="1" a="1"/>
  <c r="G606" i="1" s="1"/>
  <c r="G700" i="1" a="1"/>
  <c r="G700" i="1" s="1"/>
  <c r="G841" i="1" a="1"/>
  <c r="G841" i="1" s="1"/>
  <c r="G388" i="1" a="1"/>
  <c r="G388" i="1" s="1"/>
  <c r="G902" i="1" a="1"/>
  <c r="G902" i="1" s="1"/>
  <c r="G490" i="1" a="1"/>
  <c r="G490" i="1" s="1"/>
  <c r="G246" i="1" a="1"/>
  <c r="G246" i="1" s="1"/>
  <c r="G926" i="1" a="1"/>
  <c r="G926" i="1" s="1"/>
  <c r="G511" i="1" a="1"/>
  <c r="G511" i="1" s="1"/>
  <c r="G319" i="1" a="1"/>
  <c r="G319" i="1" s="1"/>
  <c r="G625" i="1" a="1"/>
  <c r="G625" i="1" s="1"/>
  <c r="G942" i="1" a="1"/>
  <c r="G942" i="1" s="1"/>
  <c r="G821" i="1" a="1"/>
  <c r="G821" i="1" s="1"/>
  <c r="G410" i="1" a="1"/>
  <c r="G410" i="1" s="1"/>
  <c r="G272" i="1" a="1"/>
  <c r="G272" i="1" s="1"/>
  <c r="G721" i="1" a="1"/>
  <c r="G721" i="1" s="1"/>
  <c r="G845" i="1" a="1"/>
  <c r="G845" i="1" s="1"/>
  <c r="G903" i="1" a="1"/>
  <c r="G903" i="1" s="1"/>
  <c r="G460" i="1" a="1"/>
  <c r="G460" i="1" s="1"/>
  <c r="G977" i="1" a="1"/>
  <c r="G977" i="1" s="1"/>
  <c r="G221" i="1" a="1"/>
  <c r="G221" i="1" s="1"/>
  <c r="G990" i="1" a="1"/>
  <c r="G990" i="1" s="1"/>
  <c r="G708" i="1" a="1"/>
  <c r="G708" i="1" s="1"/>
  <c r="G344" i="1" a="1"/>
  <c r="G344" i="1" s="1"/>
  <c r="G461" i="1" a="1"/>
  <c r="G461" i="1" s="1"/>
  <c r="G363" i="1" a="1"/>
  <c r="G363" i="1" s="1"/>
  <c r="G455" i="1" a="1"/>
  <c r="G455" i="1" s="1"/>
  <c r="G574" i="1" a="1"/>
  <c r="G574" i="1" s="1"/>
  <c r="G135" i="1" a="1"/>
  <c r="G135" i="1" s="1"/>
  <c r="G724" i="1" a="1"/>
  <c r="G724" i="1" s="1"/>
  <c r="G375" i="1" a="1"/>
  <c r="G375" i="1" s="1"/>
  <c r="G859" i="1" a="1"/>
  <c r="G859" i="1" s="1"/>
  <c r="G972" i="1" a="1"/>
  <c r="G972" i="1" s="1"/>
  <c r="G656" i="1" a="1"/>
  <c r="G656" i="1" s="1"/>
  <c r="G913" i="1" a="1"/>
  <c r="G913" i="1" s="1"/>
  <c r="G15" i="1" a="1"/>
  <c r="G15" i="1" s="1"/>
  <c r="G465" i="1" a="1"/>
  <c r="G465" i="1" s="1"/>
  <c r="G436" i="1" a="1"/>
  <c r="G436" i="1" s="1"/>
  <c r="G949" i="1" a="1"/>
  <c r="G949" i="1" s="1"/>
  <c r="G809" i="1" a="1"/>
  <c r="G809" i="1" s="1"/>
  <c r="G539" i="1" a="1"/>
  <c r="G539" i="1" s="1"/>
  <c r="G59" i="1" a="1"/>
  <c r="G59" i="1" s="1"/>
  <c r="W762" i="1" l="1"/>
  <c r="X762" i="1" s="1"/>
  <c r="W793" i="1"/>
  <c r="X793" i="1" s="1"/>
  <c r="X235" i="1"/>
  <c r="W235" i="1"/>
  <c r="W92" i="1"/>
  <c r="X92" i="1" s="1"/>
  <c r="X305" i="1"/>
  <c r="W305" i="1"/>
  <c r="X12" i="1"/>
  <c r="W12" i="1"/>
  <c r="X923" i="1"/>
  <c r="W923" i="1"/>
  <c r="W627" i="1"/>
  <c r="X627" i="1" s="1"/>
  <c r="X710" i="1"/>
  <c r="W710" i="1"/>
  <c r="X859" i="1"/>
  <c r="W859" i="1"/>
  <c r="X855" i="1"/>
  <c r="W855" i="1"/>
  <c r="W76" i="1"/>
  <c r="X76" i="1" s="1"/>
  <c r="X432" i="1"/>
  <c r="W432" i="1"/>
  <c r="X123" i="1"/>
  <c r="W123" i="1"/>
  <c r="W324" i="1"/>
  <c r="X324" i="1" s="1"/>
  <c r="W134" i="1"/>
  <c r="X134" i="1" s="1"/>
  <c r="X41" i="1"/>
  <c r="W41" i="1"/>
  <c r="X488" i="1"/>
  <c r="W488" i="1"/>
  <c r="W61" i="1"/>
  <c r="X61" i="1" s="1"/>
  <c r="W479" i="1"/>
  <c r="X479" i="1" s="1"/>
  <c r="W939" i="1"/>
  <c r="X939" i="1" s="1"/>
  <c r="X420" i="1"/>
  <c r="W420" i="1"/>
  <c r="W798" i="1"/>
  <c r="X798" i="1" s="1"/>
  <c r="W721" i="1"/>
  <c r="X721" i="1" s="1"/>
  <c r="W306" i="1"/>
  <c r="X306" i="1" s="1"/>
  <c r="X722" i="1"/>
  <c r="W722" i="1"/>
  <c r="W840" i="1"/>
  <c r="X840" i="1" s="1"/>
  <c r="W314" i="1"/>
  <c r="X314" i="1" s="1"/>
  <c r="X197" i="1"/>
  <c r="W197" i="1"/>
  <c r="W726" i="1"/>
  <c r="X726" i="1" s="1"/>
  <c r="W663" i="1"/>
  <c r="X663" i="1" s="1"/>
  <c r="W300" i="1"/>
  <c r="X300" i="1" s="1"/>
  <c r="X750" i="1"/>
  <c r="W750" i="1"/>
  <c r="X599" i="1"/>
  <c r="W599" i="1"/>
  <c r="W393" i="1"/>
  <c r="X393" i="1" s="1"/>
  <c r="W257" i="1"/>
  <c r="X257" i="1" s="1"/>
  <c r="X323" i="1"/>
  <c r="W323" i="1"/>
  <c r="W196" i="1"/>
  <c r="X196" i="1" s="1"/>
  <c r="W343" i="1"/>
  <c r="X343" i="1" s="1"/>
  <c r="W970" i="1"/>
  <c r="X970" i="1" s="1"/>
  <c r="X545" i="1"/>
  <c r="W545" i="1"/>
  <c r="X486" i="1"/>
  <c r="W486" i="1"/>
  <c r="W277" i="1"/>
  <c r="X277" i="1" s="1"/>
  <c r="W152" i="1"/>
  <c r="X152" i="1" s="1"/>
  <c r="X867" i="1"/>
  <c r="W867" i="1"/>
  <c r="X643" i="1"/>
  <c r="W643" i="1"/>
  <c r="W291" i="1"/>
  <c r="X291" i="1" s="1"/>
  <c r="W231" i="1"/>
  <c r="X231" i="1" s="1"/>
  <c r="X99" i="1"/>
  <c r="W99" i="1"/>
  <c r="X426" i="1"/>
  <c r="W426" i="1"/>
  <c r="W230" i="1"/>
  <c r="X230" i="1" s="1"/>
  <c r="W847" i="1"/>
  <c r="X847" i="1" s="1"/>
  <c r="X719" i="1"/>
  <c r="W719" i="1"/>
  <c r="X776" i="1"/>
  <c r="W776" i="1"/>
  <c r="W504" i="1"/>
  <c r="X504" i="1" s="1"/>
  <c r="W536" i="1"/>
  <c r="X536" i="1" s="1"/>
  <c r="X642" i="1"/>
  <c r="W642" i="1"/>
  <c r="X223" i="1"/>
  <c r="W223" i="1"/>
  <c r="W815" i="1"/>
  <c r="X815" i="1" s="1"/>
  <c r="W18" i="1"/>
  <c r="X18" i="1" s="1"/>
  <c r="X481" i="1"/>
  <c r="W481" i="1"/>
  <c r="X105" i="1"/>
  <c r="W105" i="1"/>
  <c r="W922" i="1"/>
  <c r="X922" i="1" s="1"/>
  <c r="W156" i="1"/>
  <c r="X156" i="1" s="1"/>
  <c r="X997" i="1"/>
  <c r="W997" i="1"/>
  <c r="X360" i="1"/>
  <c r="W360" i="1"/>
  <c r="W103" i="1"/>
  <c r="X103" i="1" s="1"/>
  <c r="W51" i="1"/>
  <c r="X51" i="1" s="1"/>
  <c r="X47" i="1"/>
  <c r="W47" i="1"/>
  <c r="X155" i="1"/>
  <c r="W155" i="1"/>
  <c r="W725" i="1"/>
  <c r="X725" i="1" s="1"/>
  <c r="W415" i="1"/>
  <c r="X415" i="1" s="1"/>
  <c r="X705" i="1"/>
  <c r="W705" i="1"/>
  <c r="X50" i="1"/>
  <c r="W50" i="1"/>
  <c r="W874" i="1"/>
  <c r="X874" i="1" s="1"/>
  <c r="W724" i="1"/>
  <c r="X724" i="1" s="1"/>
  <c r="X990" i="1"/>
  <c r="W990" i="1"/>
  <c r="X410" i="1"/>
  <c r="W410" i="1"/>
  <c r="W490" i="1"/>
  <c r="X490" i="1" s="1"/>
  <c r="W356" i="1"/>
  <c r="X356" i="1" s="1"/>
  <c r="X996" i="1"/>
  <c r="W996" i="1"/>
  <c r="X205" i="1"/>
  <c r="W205" i="1"/>
  <c r="W618" i="1"/>
  <c r="X618" i="1" s="1"/>
  <c r="W646" i="1"/>
  <c r="X646" i="1" s="1"/>
  <c r="X109" i="1"/>
  <c r="W109" i="1"/>
  <c r="X594" i="1"/>
  <c r="W594" i="1"/>
  <c r="W537" i="1"/>
  <c r="X537" i="1" s="1"/>
  <c r="W734" i="1"/>
  <c r="X734" i="1" s="1"/>
  <c r="X981" i="1"/>
  <c r="W981" i="1"/>
  <c r="X169" i="1"/>
  <c r="W169" i="1"/>
  <c r="W392" i="1"/>
  <c r="X392" i="1"/>
  <c r="W349" i="1"/>
  <c r="X349" i="1" s="1"/>
  <c r="W391" i="1"/>
  <c r="X391" i="1" s="1"/>
  <c r="X309" i="1"/>
  <c r="W309" i="1"/>
  <c r="W340" i="1"/>
  <c r="X340" i="1" s="1"/>
  <c r="W937" i="1"/>
  <c r="X937" i="1" s="1"/>
  <c r="X893" i="1"/>
  <c r="W893" i="1"/>
  <c r="X503" i="1"/>
  <c r="W503" i="1"/>
  <c r="W808" i="1"/>
  <c r="X808" i="1" s="1"/>
  <c r="W844" i="1"/>
  <c r="X844" i="1" s="1"/>
  <c r="X526" i="1"/>
  <c r="W526" i="1"/>
  <c r="X772" i="1"/>
  <c r="W772" i="1"/>
  <c r="W759" i="1"/>
  <c r="X759" i="1" s="1"/>
  <c r="W201" i="1"/>
  <c r="X201" i="1" s="1"/>
  <c r="X183" i="1"/>
  <c r="W183" i="1"/>
  <c r="X767" i="1"/>
  <c r="W767" i="1"/>
  <c r="W743" i="1"/>
  <c r="X743" i="1" s="1"/>
  <c r="W1000" i="1"/>
  <c r="X1000" i="1" s="1"/>
  <c r="X657" i="1"/>
  <c r="W657" i="1"/>
  <c r="X999" i="1"/>
  <c r="W999" i="1"/>
  <c r="W770" i="1"/>
  <c r="X770" i="1" s="1"/>
  <c r="W866" i="1"/>
  <c r="X866" i="1" s="1"/>
  <c r="X693" i="1"/>
  <c r="W693" i="1"/>
  <c r="X506" i="1"/>
  <c r="W506" i="1"/>
  <c r="W542" i="1"/>
  <c r="X542" i="1" s="1"/>
  <c r="W698" i="1"/>
  <c r="X698" i="1" s="1"/>
  <c r="X280" i="1"/>
  <c r="W280" i="1"/>
  <c r="X930" i="1"/>
  <c r="W930" i="1"/>
  <c r="W429" i="1"/>
  <c r="X429" i="1" s="1"/>
  <c r="W441" i="1"/>
  <c r="X441" i="1" s="1"/>
  <c r="X325" i="1"/>
  <c r="W325" i="1"/>
  <c r="X242" i="1"/>
  <c r="W242" i="1"/>
  <c r="W587" i="1"/>
  <c r="X587" i="1" s="1"/>
  <c r="W510" i="1"/>
  <c r="X510" i="1" s="1"/>
  <c r="X597" i="1"/>
  <c r="W597" i="1"/>
  <c r="X440" i="1"/>
  <c r="W440" i="1"/>
  <c r="W381" i="1"/>
  <c r="X381" i="1" s="1"/>
  <c r="W763" i="1"/>
  <c r="X763" i="1" s="1"/>
  <c r="X810" i="1"/>
  <c r="W810" i="1"/>
  <c r="X60" i="1"/>
  <c r="W60" i="1"/>
  <c r="W182" i="1"/>
  <c r="X182" i="1" s="1"/>
  <c r="W269" i="1"/>
  <c r="X269" i="1" s="1"/>
  <c r="X416" i="1"/>
  <c r="W416" i="1"/>
  <c r="X407" i="1"/>
  <c r="W407" i="1"/>
  <c r="W262" i="1"/>
  <c r="X262" i="1" s="1"/>
  <c r="W735" i="1"/>
  <c r="X735" i="1" s="1"/>
  <c r="X453" i="1"/>
  <c r="W453" i="1"/>
  <c r="W946" i="1"/>
  <c r="X946" i="1" s="1"/>
  <c r="W611" i="1"/>
  <c r="X611" i="1" s="1"/>
  <c r="W883" i="1"/>
  <c r="X883" i="1" s="1"/>
  <c r="W484" i="1"/>
  <c r="X484" i="1" s="1"/>
  <c r="X570" i="1"/>
  <c r="W570" i="1"/>
  <c r="W746" i="1"/>
  <c r="X746" i="1" s="1"/>
  <c r="W461" i="1"/>
  <c r="X461" i="1" s="1"/>
  <c r="X794" i="1"/>
  <c r="W794" i="1"/>
  <c r="X279" i="1"/>
  <c r="W279" i="1"/>
  <c r="W70" i="1"/>
  <c r="X70" i="1" s="1"/>
  <c r="W706" i="1"/>
  <c r="X706" i="1" s="1"/>
  <c r="X464" i="1"/>
  <c r="W464" i="1"/>
  <c r="X204" i="1"/>
  <c r="W204" i="1"/>
  <c r="W920" i="1"/>
  <c r="X920" i="1" s="1"/>
  <c r="W352" i="1"/>
  <c r="X352" i="1" s="1"/>
  <c r="X614" i="1"/>
  <c r="W614" i="1"/>
  <c r="X52" i="1"/>
  <c r="W52" i="1"/>
  <c r="W74" i="1"/>
  <c r="X74" i="1" s="1"/>
  <c r="W176" i="1"/>
  <c r="X176" i="1" s="1"/>
  <c r="X505" i="1"/>
  <c r="W505" i="1"/>
  <c r="X926" i="1"/>
  <c r="W926" i="1"/>
  <c r="W679" i="1"/>
  <c r="X679" i="1" s="1"/>
  <c r="W414" i="1"/>
  <c r="X414" i="1" s="1"/>
  <c r="X720" i="1"/>
  <c r="W720" i="1"/>
  <c r="X128" i="1"/>
  <c r="W128" i="1"/>
  <c r="W411" i="1"/>
  <c r="X411" i="1" s="1"/>
  <c r="W968" i="1"/>
  <c r="X968" i="1" s="1"/>
  <c r="X688" i="1"/>
  <c r="W688" i="1"/>
  <c r="X63" i="1"/>
  <c r="W63" i="1"/>
  <c r="W106" i="1"/>
  <c r="X106" i="1" s="1"/>
  <c r="W638" i="1"/>
  <c r="X638" i="1" s="1"/>
  <c r="X48" i="1"/>
  <c r="W48" i="1"/>
  <c r="X519" i="1"/>
  <c r="W519" i="1"/>
  <c r="W711" i="1"/>
  <c r="X711" i="1" s="1"/>
  <c r="W620" i="1"/>
  <c r="X620" i="1" s="1"/>
  <c r="X590" i="1"/>
  <c r="W590" i="1"/>
  <c r="X78" i="1"/>
  <c r="W78" i="1"/>
  <c r="W863" i="1"/>
  <c r="X863" i="1" s="1"/>
  <c r="W983" i="1"/>
  <c r="X983" i="1" s="1"/>
  <c r="X552" i="1"/>
  <c r="W552" i="1"/>
  <c r="X828" i="1"/>
  <c r="W828" i="1"/>
  <c r="W966" i="1"/>
  <c r="X966" i="1" s="1"/>
  <c r="W518" i="1"/>
  <c r="X518" i="1" s="1"/>
  <c r="X708" i="1"/>
  <c r="W708" i="1"/>
  <c r="X629" i="1"/>
  <c r="W629" i="1"/>
  <c r="W527" i="1"/>
  <c r="X527" i="1" s="1"/>
  <c r="W292" i="1"/>
  <c r="X292" i="1" s="1"/>
  <c r="X989" i="1"/>
  <c r="W989" i="1"/>
  <c r="X839" i="1"/>
  <c r="W839" i="1"/>
  <c r="W299" i="1"/>
  <c r="X299" i="1" s="1"/>
  <c r="W811" i="1"/>
  <c r="X811" i="1" s="1"/>
  <c r="X206" i="1"/>
  <c r="W206" i="1"/>
  <c r="X882" i="1"/>
  <c r="W882" i="1"/>
  <c r="W198" i="1"/>
  <c r="X198" i="1" s="1"/>
  <c r="W87" i="1"/>
  <c r="X87" i="1" s="1"/>
  <c r="X332" i="1"/>
  <c r="W332" i="1"/>
  <c r="X354" i="1"/>
  <c r="W354" i="1"/>
  <c r="W699" i="1"/>
  <c r="X699" i="1" s="1"/>
  <c r="W640" i="1"/>
  <c r="X640" i="1" s="1"/>
  <c r="X451" i="1"/>
  <c r="W451" i="1"/>
  <c r="X697" i="1"/>
  <c r="W697" i="1"/>
  <c r="W789" i="1"/>
  <c r="X789" i="1" s="1"/>
  <c r="W523" i="1"/>
  <c r="X523" i="1" s="1"/>
  <c r="X194" i="1"/>
  <c r="W194" i="1"/>
  <c r="X474" i="1"/>
  <c r="W474" i="1"/>
  <c r="W773" i="1"/>
  <c r="X773" i="1" s="1"/>
  <c r="W745" i="1"/>
  <c r="X745" i="1" s="1"/>
  <c r="X838" i="1"/>
  <c r="W838" i="1"/>
  <c r="X220" i="1"/>
  <c r="W220" i="1"/>
  <c r="W862" i="1"/>
  <c r="X862" i="1" s="1"/>
  <c r="W348" i="1"/>
  <c r="X348" i="1" s="1"/>
  <c r="X473" i="1"/>
  <c r="W473" i="1"/>
  <c r="X933" i="1"/>
  <c r="W933" i="1"/>
  <c r="W612" i="1"/>
  <c r="X612" i="1" s="1"/>
  <c r="W604" i="1"/>
  <c r="X604" i="1" s="1"/>
  <c r="X65" i="1"/>
  <c r="W65" i="1"/>
  <c r="X825" i="1"/>
  <c r="W825" i="1"/>
  <c r="W454" i="1"/>
  <c r="X454" i="1" s="1"/>
  <c r="W819" i="1"/>
  <c r="X819" i="1" s="1"/>
  <c r="X394" i="1"/>
  <c r="W394" i="1"/>
  <c r="X13" i="1"/>
  <c r="W13" i="1"/>
  <c r="W540" i="1"/>
  <c r="X540" i="1" s="1"/>
  <c r="W729" i="1"/>
  <c r="X729" i="1" s="1"/>
  <c r="X402" i="1"/>
  <c r="W402" i="1"/>
  <c r="X876" i="1"/>
  <c r="W876" i="1"/>
  <c r="W162" i="1"/>
  <c r="X162" i="1" s="1"/>
  <c r="W6" i="1"/>
  <c r="X6" i="1" s="1"/>
  <c r="X979" i="1"/>
  <c r="W979" i="1"/>
  <c r="X287" i="1"/>
  <c r="W287" i="1"/>
  <c r="W737" i="1"/>
  <c r="X737" i="1" s="1"/>
  <c r="W259" i="1"/>
  <c r="X259" i="1" s="1"/>
  <c r="X159" i="1"/>
  <c r="W159" i="1"/>
  <c r="X225" i="1"/>
  <c r="W225" i="1"/>
  <c r="W687" i="1"/>
  <c r="X687" i="1" s="1"/>
  <c r="W975" i="1"/>
  <c r="X975" i="1" s="1"/>
  <c r="X633" i="1"/>
  <c r="W633" i="1"/>
  <c r="X909" i="1"/>
  <c r="W909" i="1"/>
  <c r="W22" i="1"/>
  <c r="X22" i="1" s="1"/>
  <c r="W477" i="1"/>
  <c r="X477" i="1" s="1"/>
  <c r="X917" i="1"/>
  <c r="W917" i="1"/>
  <c r="X276" i="1"/>
  <c r="W276" i="1"/>
  <c r="W224" i="1"/>
  <c r="X224" i="1" s="1"/>
  <c r="W130" i="1"/>
  <c r="X130" i="1" s="1"/>
  <c r="X251" i="1"/>
  <c r="W251" i="1"/>
  <c r="X508" i="1"/>
  <c r="W508" i="1"/>
  <c r="W636" i="1"/>
  <c r="X636" i="1" s="1"/>
  <c r="W339" i="1"/>
  <c r="X339" i="1" s="1"/>
  <c r="X871" i="1"/>
  <c r="W871" i="1"/>
  <c r="X944" i="1"/>
  <c r="W944" i="1"/>
  <c r="W897" i="1"/>
  <c r="X897" i="1" s="1"/>
  <c r="W353" i="1"/>
  <c r="X353" i="1" s="1"/>
  <c r="X957" i="1"/>
  <c r="W957" i="1"/>
  <c r="X993" i="1"/>
  <c r="W993" i="1"/>
  <c r="W769" i="1"/>
  <c r="X769" i="1" s="1"/>
  <c r="W167" i="1"/>
  <c r="X167" i="1" s="1"/>
  <c r="X68" i="1"/>
  <c r="W68" i="1"/>
  <c r="X593" i="1"/>
  <c r="W593" i="1"/>
  <c r="W606" i="1"/>
  <c r="X606" i="1" s="1"/>
  <c r="W820" i="1"/>
  <c r="X820" i="1" s="1"/>
  <c r="X605" i="1"/>
  <c r="W605" i="1"/>
  <c r="X671" i="1"/>
  <c r="W671" i="1"/>
  <c r="W624" i="1"/>
  <c r="X624" i="1" s="1"/>
  <c r="W168" i="1"/>
  <c r="X168" i="1" s="1"/>
  <c r="X924" i="1"/>
  <c r="W924" i="1"/>
  <c r="X858" i="1"/>
  <c r="W858" i="1"/>
  <c r="W32" i="1"/>
  <c r="X32" i="1" s="1"/>
  <c r="W492" i="1"/>
  <c r="X492" i="1" s="1"/>
  <c r="X577" i="1"/>
  <c r="W577" i="1"/>
  <c r="X16" i="1"/>
  <c r="W16" i="1"/>
  <c r="W375" i="1"/>
  <c r="X375" i="1" s="1"/>
  <c r="W239" i="1"/>
  <c r="X239" i="1" s="1"/>
  <c r="X610" i="1"/>
  <c r="W610" i="1"/>
  <c r="X26" i="1"/>
  <c r="W26" i="1"/>
  <c r="W401" i="1"/>
  <c r="X401" i="1"/>
  <c r="W899" i="1"/>
  <c r="X899" i="1" s="1"/>
  <c r="X674" i="1"/>
  <c r="W674" i="1"/>
  <c r="X301" i="1"/>
  <c r="W301" i="1"/>
  <c r="W378" i="1"/>
  <c r="X378" i="1" s="1"/>
  <c r="W428" i="1"/>
  <c r="X428" i="1"/>
  <c r="X555" i="1"/>
  <c r="W555" i="1"/>
  <c r="X831" i="1"/>
  <c r="W831" i="1"/>
  <c r="W549" i="1"/>
  <c r="X549" i="1" s="1"/>
  <c r="W417" i="1"/>
  <c r="X417" i="1" s="1"/>
  <c r="X592" i="1"/>
  <c r="W592" i="1"/>
  <c r="X434" i="1"/>
  <c r="W434" i="1"/>
  <c r="W913" i="1"/>
  <c r="X913" i="1" s="1"/>
  <c r="W20" i="1"/>
  <c r="X20" i="1" s="1"/>
  <c r="X894" i="1"/>
  <c r="W894" i="1"/>
  <c r="X965" i="1"/>
  <c r="W965" i="1"/>
  <c r="W631" i="1"/>
  <c r="X631" i="1" s="1"/>
  <c r="W919" i="1"/>
  <c r="X919" i="1" s="1"/>
  <c r="X969" i="1"/>
  <c r="W969" i="1"/>
  <c r="X556" i="1"/>
  <c r="W556" i="1"/>
  <c r="W95" i="1"/>
  <c r="X95" i="1" s="1"/>
  <c r="W573" i="1"/>
  <c r="X573" i="1" s="1"/>
  <c r="X675" i="1"/>
  <c r="W675" i="1"/>
  <c r="X739" i="1"/>
  <c r="W739" i="1"/>
  <c r="W941" i="1"/>
  <c r="X941" i="1" s="1"/>
  <c r="W827" i="1"/>
  <c r="X827" i="1" s="1"/>
  <c r="W516" i="1"/>
  <c r="X516" i="1" s="1"/>
  <c r="X568" i="1"/>
  <c r="W568" i="1"/>
  <c r="W238" i="1"/>
  <c r="X238" i="1"/>
  <c r="W619" i="1"/>
  <c r="X619" i="1" s="1"/>
  <c r="W82" i="1"/>
  <c r="X82" i="1" s="1"/>
  <c r="X335" i="1"/>
  <c r="W335" i="1"/>
  <c r="W928" i="1"/>
  <c r="X928" i="1" s="1"/>
  <c r="W644" i="1"/>
  <c r="X644" i="1" s="1"/>
  <c r="X443" i="1"/>
  <c r="W443" i="1"/>
  <c r="X704" i="1"/>
  <c r="W704" i="1"/>
  <c r="W212" i="1"/>
  <c r="X212" i="1" s="1"/>
  <c r="W912" i="1"/>
  <c r="X912" i="1" s="1"/>
  <c r="X812" i="1"/>
  <c r="W812" i="1"/>
  <c r="X7" i="1"/>
  <c r="W7" i="1"/>
  <c r="X189" i="1"/>
  <c r="W189" i="1"/>
  <c r="W493" i="1"/>
  <c r="X493" i="1" s="1"/>
  <c r="X313" i="1"/>
  <c r="W313" i="1"/>
  <c r="X102" i="1"/>
  <c r="W102" i="1"/>
  <c r="X33" i="1"/>
  <c r="W33" i="1"/>
  <c r="W243" i="1"/>
  <c r="X243" i="1" s="1"/>
  <c r="X288" i="1"/>
  <c r="W288" i="1"/>
  <c r="X317" i="1"/>
  <c r="W317" i="1"/>
  <c r="X373" i="1"/>
  <c r="W373" i="1"/>
  <c r="W228" i="1"/>
  <c r="X228" i="1" s="1"/>
  <c r="X692" i="1"/>
  <c r="W692" i="1"/>
  <c r="X39" i="1"/>
  <c r="W39" i="1"/>
  <c r="X19" i="1"/>
  <c r="W19" i="1"/>
  <c r="W651" i="1"/>
  <c r="X651" i="1" s="1"/>
  <c r="X571" i="1"/>
  <c r="W571" i="1"/>
  <c r="X641" i="1"/>
  <c r="W641" i="1"/>
  <c r="X554" i="1"/>
  <c r="W554" i="1"/>
  <c r="W271" i="1"/>
  <c r="X271" i="1" s="1"/>
  <c r="X2" i="1"/>
  <c r="W2" i="1"/>
  <c r="X49" i="1"/>
  <c r="W49" i="1"/>
  <c r="X595" i="1"/>
  <c r="W595" i="1"/>
  <c r="W146" i="1"/>
  <c r="X146" i="1" s="1"/>
  <c r="X345" i="1"/>
  <c r="W345" i="1"/>
  <c r="X892" i="1"/>
  <c r="W892" i="1"/>
  <c r="X951" i="1"/>
  <c r="W951" i="1"/>
  <c r="W921" i="1"/>
  <c r="X921" i="1" s="1"/>
  <c r="X626" i="1"/>
  <c r="W626" i="1"/>
  <c r="X250" i="1"/>
  <c r="W250" i="1"/>
  <c r="X316" i="1"/>
  <c r="W316" i="1"/>
  <c r="W158" i="1"/>
  <c r="X158" i="1" s="1"/>
  <c r="X237" i="1"/>
  <c r="W237" i="1"/>
  <c r="X836" i="1"/>
  <c r="W836" i="1"/>
  <c r="X304" i="1"/>
  <c r="W304" i="1"/>
  <c r="W749" i="1"/>
  <c r="X749" i="1" s="1"/>
  <c r="X507" i="1"/>
  <c r="W507" i="1"/>
  <c r="X295" i="1"/>
  <c r="W295" i="1"/>
  <c r="X525" i="1"/>
  <c r="W525" i="1"/>
  <c r="W151" i="1"/>
  <c r="X151" i="1" s="1"/>
  <c r="X54" i="1"/>
  <c r="W54" i="1"/>
  <c r="X613" i="1"/>
  <c r="W613" i="1"/>
  <c r="X717" i="1"/>
  <c r="W717" i="1"/>
  <c r="W226" i="1"/>
  <c r="X226" i="1" s="1"/>
  <c r="X949" i="1"/>
  <c r="W949" i="1"/>
  <c r="X511" i="1"/>
  <c r="W511" i="1"/>
  <c r="X971" i="1"/>
  <c r="W971" i="1"/>
  <c r="W733" i="1"/>
  <c r="X733" i="1" s="1"/>
  <c r="X396" i="1"/>
  <c r="W396" i="1"/>
  <c r="X274" i="1"/>
  <c r="W274" i="1"/>
  <c r="X948" i="1"/>
  <c r="W948" i="1"/>
  <c r="W188" i="1"/>
  <c r="X188" i="1" s="1"/>
  <c r="X42" i="1"/>
  <c r="W42" i="1"/>
  <c r="X281" i="1"/>
  <c r="W281" i="1"/>
  <c r="X498" i="1"/>
  <c r="W498" i="1"/>
  <c r="W994" i="1"/>
  <c r="X994" i="1" s="1"/>
  <c r="X97" i="1"/>
  <c r="W97" i="1"/>
  <c r="X248" i="1"/>
  <c r="W248" i="1"/>
  <c r="X344" i="1"/>
  <c r="W344" i="1"/>
  <c r="W318" i="1"/>
  <c r="X318" i="1" s="1"/>
  <c r="X603" i="1"/>
  <c r="W603" i="1"/>
  <c r="W447" i="1"/>
  <c r="X447" i="1" s="1"/>
  <c r="X357" i="1"/>
  <c r="W357" i="1"/>
  <c r="W418" i="1"/>
  <c r="X418" i="1"/>
  <c r="X988" i="1"/>
  <c r="W988" i="1"/>
  <c r="X4" i="1"/>
  <c r="W4" i="1"/>
  <c r="X980" i="1"/>
  <c r="W980" i="1"/>
  <c r="W805" i="1"/>
  <c r="X805" i="1" s="1"/>
  <c r="X703" i="1"/>
  <c r="W703" i="1"/>
  <c r="X119" i="1"/>
  <c r="W119" i="1"/>
  <c r="X582" i="1"/>
  <c r="W582" i="1"/>
  <c r="W294" i="1"/>
  <c r="X294" i="1" s="1"/>
  <c r="X129" i="1"/>
  <c r="W129" i="1"/>
  <c r="X950" i="1"/>
  <c r="W950" i="1"/>
  <c r="X382" i="1"/>
  <c r="W382" i="1"/>
  <c r="W144" i="1"/>
  <c r="X144" i="1" s="1"/>
  <c r="X846" i="1"/>
  <c r="W846" i="1"/>
  <c r="X676" i="1"/>
  <c r="W676" i="1"/>
  <c r="X449" i="1"/>
  <c r="W449" i="1"/>
  <c r="W215" i="1"/>
  <c r="X215" i="1" s="1"/>
  <c r="X272" i="1"/>
  <c r="W272" i="1"/>
  <c r="X116" i="1"/>
  <c r="W116" i="1"/>
  <c r="X403" i="1"/>
  <c r="W403" i="1"/>
  <c r="W707" i="1"/>
  <c r="X707" i="1" s="1"/>
  <c r="X954" i="1"/>
  <c r="W954" i="1"/>
  <c r="W203" i="1"/>
  <c r="X203" i="1" s="1"/>
  <c r="X910" i="1"/>
  <c r="W910" i="1"/>
  <c r="W114" i="1"/>
  <c r="X114" i="1" s="1"/>
  <c r="X677" i="1"/>
  <c r="W677" i="1"/>
  <c r="X539" i="1"/>
  <c r="W539" i="1"/>
  <c r="X656" i="1"/>
  <c r="W656" i="1"/>
  <c r="W455" i="1"/>
  <c r="X455" i="1" s="1"/>
  <c r="X460" i="1"/>
  <c r="W460" i="1"/>
  <c r="X625" i="1"/>
  <c r="W625" i="1"/>
  <c r="X841" i="1"/>
  <c r="W841" i="1"/>
  <c r="W110" i="1"/>
  <c r="X110" i="1" s="1"/>
  <c r="X148" i="1"/>
  <c r="W148" i="1"/>
  <c r="X359" i="1"/>
  <c r="W359" i="1"/>
  <c r="X673" i="1"/>
  <c r="W673" i="1"/>
  <c r="W585" i="1"/>
  <c r="X585" i="1" s="1"/>
  <c r="X964" i="1"/>
  <c r="W964" i="1"/>
  <c r="X40" i="1"/>
  <c r="W40" i="1"/>
  <c r="X187" i="1"/>
  <c r="W187" i="1"/>
  <c r="W362" i="1"/>
  <c r="X362" i="1" s="1"/>
  <c r="X918" i="1"/>
  <c r="W918" i="1"/>
  <c r="X310" i="1"/>
  <c r="W310" i="1"/>
  <c r="X147" i="1"/>
  <c r="W147" i="1"/>
  <c r="W423" i="1"/>
  <c r="X423" i="1" s="1"/>
  <c r="X174" i="1"/>
  <c r="W174" i="1"/>
  <c r="X664" i="1"/>
  <c r="W664" i="1"/>
  <c r="X127" i="1"/>
  <c r="W127" i="1"/>
  <c r="W895" i="1"/>
  <c r="X895" i="1" s="1"/>
  <c r="X34" i="1"/>
  <c r="W34" i="1"/>
  <c r="X609" i="1"/>
  <c r="W609" i="1"/>
  <c r="X655" i="1"/>
  <c r="W655" i="1"/>
  <c r="W450" i="1"/>
  <c r="X450" i="1" s="1"/>
  <c r="X355" i="1"/>
  <c r="W355" i="1"/>
  <c r="X173" i="1"/>
  <c r="W173" i="1"/>
  <c r="X186" i="1"/>
  <c r="W186" i="1"/>
  <c r="W8" i="1"/>
  <c r="X8" i="1" s="1"/>
  <c r="X596" i="1"/>
  <c r="W596" i="1"/>
  <c r="X694" i="1"/>
  <c r="W694" i="1"/>
  <c r="X521" i="1"/>
  <c r="W521" i="1"/>
  <c r="W64" i="1"/>
  <c r="X64" i="1" s="1"/>
  <c r="X160" i="1"/>
  <c r="W160" i="1"/>
  <c r="X666" i="1"/>
  <c r="W666" i="1"/>
  <c r="X872" i="1"/>
  <c r="W872" i="1"/>
  <c r="W111" i="1"/>
  <c r="X111" i="1" s="1"/>
  <c r="X786" i="1"/>
  <c r="W786" i="1"/>
  <c r="X548" i="1"/>
  <c r="W548" i="1"/>
  <c r="X329" i="1"/>
  <c r="W329" i="1"/>
  <c r="W732" i="1"/>
  <c r="X732" i="1" s="1"/>
  <c r="X832" i="1"/>
  <c r="W832" i="1"/>
  <c r="X413" i="1"/>
  <c r="W413" i="1"/>
  <c r="X282" i="1"/>
  <c r="W282" i="1"/>
  <c r="W278" i="1"/>
  <c r="X278" i="1" s="1"/>
  <c r="X499" i="1"/>
  <c r="W499" i="1"/>
  <c r="X565" i="1"/>
  <c r="W565" i="1"/>
  <c r="X265" i="1"/>
  <c r="W265" i="1"/>
  <c r="W952" i="1"/>
  <c r="X952" i="1" s="1"/>
  <c r="X580" i="1"/>
  <c r="W580" i="1"/>
  <c r="X422" i="1"/>
  <c r="W422" i="1"/>
  <c r="X94" i="1"/>
  <c r="W94" i="1"/>
  <c r="W31" i="1"/>
  <c r="X31" i="1" s="1"/>
  <c r="X792" i="1"/>
  <c r="W792" i="1"/>
  <c r="X987" i="1"/>
  <c r="W987" i="1"/>
  <c r="X133" i="1"/>
  <c r="W133" i="1"/>
  <c r="W284" i="1"/>
  <c r="X284" i="1" s="1"/>
  <c r="X69" i="1"/>
  <c r="W69" i="1"/>
  <c r="X650" i="1"/>
  <c r="W650" i="1"/>
  <c r="X390" i="1"/>
  <c r="W390" i="1"/>
  <c r="W579" i="1"/>
  <c r="X579" i="1" s="1"/>
  <c r="X478" i="1"/>
  <c r="W478" i="1"/>
  <c r="X588" i="1"/>
  <c r="W588" i="1"/>
  <c r="X89" i="1"/>
  <c r="W89" i="1"/>
  <c r="W689" i="1"/>
  <c r="X689" i="1" s="1"/>
  <c r="X962" i="1"/>
  <c r="W962" i="1"/>
  <c r="X471" i="1"/>
  <c r="W471" i="1"/>
  <c r="X84" i="1"/>
  <c r="W84" i="1"/>
  <c r="W249" i="1"/>
  <c r="X249" i="1" s="1"/>
  <c r="X803" i="1"/>
  <c r="W803" i="1"/>
  <c r="X200" i="1"/>
  <c r="W200" i="1"/>
  <c r="X524" i="1"/>
  <c r="W524" i="1"/>
  <c r="W845" i="1"/>
  <c r="X845" i="1" s="1"/>
  <c r="X758" i="1"/>
  <c r="W758" i="1"/>
  <c r="X995" i="1"/>
  <c r="W995" i="1"/>
  <c r="X1001" i="1"/>
  <c r="W1001" i="1"/>
  <c r="W122" i="1"/>
  <c r="X122" i="1" s="1"/>
  <c r="X80" i="1"/>
  <c r="W80" i="1"/>
  <c r="X911" i="1"/>
  <c r="W911" i="1"/>
  <c r="X185" i="1"/>
  <c r="W185" i="1"/>
  <c r="W817" i="1"/>
  <c r="X817" i="1" s="1"/>
  <c r="X255" i="1"/>
  <c r="W255" i="1"/>
  <c r="X45" i="1"/>
  <c r="W45" i="1"/>
  <c r="X916" i="1"/>
  <c r="W916" i="1"/>
  <c r="W334" i="1"/>
  <c r="X334" i="1" s="1"/>
  <c r="X192" i="1"/>
  <c r="W192" i="1"/>
  <c r="X436" i="1"/>
  <c r="W436" i="1"/>
  <c r="X683" i="1"/>
  <c r="W683" i="1"/>
  <c r="W730" i="1"/>
  <c r="X730" i="1" s="1"/>
  <c r="X672" i="1"/>
  <c r="W672" i="1"/>
  <c r="X331" i="1"/>
  <c r="W331" i="1"/>
  <c r="X718" i="1"/>
  <c r="W718" i="1"/>
  <c r="W431" i="1"/>
  <c r="X431" i="1" s="1"/>
  <c r="X164" i="1"/>
  <c r="W164" i="1"/>
  <c r="W617" i="1"/>
  <c r="X617" i="1" s="1"/>
  <c r="X266" i="1"/>
  <c r="W266" i="1"/>
  <c r="W824" i="1"/>
  <c r="X824" i="1" s="1"/>
  <c r="X637" i="1"/>
  <c r="W637" i="1"/>
  <c r="X967" i="1"/>
  <c r="W967" i="1"/>
  <c r="X245" i="1"/>
  <c r="W245" i="1"/>
  <c r="W681" i="1"/>
  <c r="X681" i="1" s="1"/>
  <c r="X338" i="1"/>
  <c r="W338" i="1"/>
  <c r="X931" i="1"/>
  <c r="W931" i="1"/>
  <c r="X409" i="1"/>
  <c r="W409" i="1"/>
  <c r="W652" i="1"/>
  <c r="X652" i="1" s="1"/>
  <c r="X104" i="1"/>
  <c r="W104" i="1"/>
  <c r="X246" i="1"/>
  <c r="W246" i="1"/>
  <c r="X569" i="1"/>
  <c r="W569" i="1"/>
  <c r="W466" i="1"/>
  <c r="X466" i="1" s="1"/>
  <c r="X337" i="1"/>
  <c r="W337" i="1"/>
  <c r="X374" i="1"/>
  <c r="W374" i="1"/>
  <c r="W120" i="1"/>
  <c r="X120" i="1" s="1"/>
  <c r="W670" i="1"/>
  <c r="X670" i="1" s="1"/>
  <c r="X520" i="1"/>
  <c r="W520" i="1"/>
  <c r="X36" i="1"/>
  <c r="W36" i="1"/>
  <c r="X654" i="1"/>
  <c r="W654" i="1"/>
  <c r="W427" i="1"/>
  <c r="X427" i="1" s="1"/>
  <c r="X315" i="1"/>
  <c r="W315" i="1"/>
  <c r="X809" i="1"/>
  <c r="W809" i="1"/>
  <c r="X972" i="1"/>
  <c r="W972" i="1"/>
  <c r="W363" i="1"/>
  <c r="X363" i="1" s="1"/>
  <c r="X903" i="1"/>
  <c r="W903" i="1"/>
  <c r="X319" i="1"/>
  <c r="W319" i="1"/>
  <c r="X700" i="1"/>
  <c r="W700" i="1"/>
  <c r="W723" i="1"/>
  <c r="X723" i="1" s="1"/>
  <c r="X550" i="1"/>
  <c r="W550" i="1"/>
  <c r="W538" i="1"/>
  <c r="X538" i="1" s="1"/>
  <c r="X848" i="1"/>
  <c r="W848" i="1"/>
  <c r="W658" i="1"/>
  <c r="X658" i="1" s="1"/>
  <c r="X760" i="1"/>
  <c r="W760" i="1"/>
  <c r="X9" i="1"/>
  <c r="W9" i="1"/>
  <c r="W77" i="1"/>
  <c r="X77" i="1" s="1"/>
  <c r="W678" i="1"/>
  <c r="X678" i="1" s="1"/>
  <c r="X639" i="1"/>
  <c r="W639" i="1"/>
  <c r="X877" i="1"/>
  <c r="W877" i="1"/>
  <c r="X253" i="1"/>
  <c r="W253" i="1"/>
  <c r="W752" i="1"/>
  <c r="X752" i="1" s="1"/>
  <c r="X433" i="1"/>
  <c r="W433" i="1"/>
  <c r="X71" i="1"/>
  <c r="W71" i="1"/>
  <c r="X14" i="1"/>
  <c r="W14" i="1"/>
  <c r="W581" i="1"/>
  <c r="X581" i="1" s="1"/>
  <c r="X738" i="1"/>
  <c r="W738" i="1"/>
  <c r="X181" i="1"/>
  <c r="W181" i="1"/>
  <c r="X397" i="1"/>
  <c r="W397" i="1"/>
  <c r="W446" i="1"/>
  <c r="X446" i="1" s="1"/>
  <c r="X856" i="1"/>
  <c r="W856" i="1"/>
  <c r="X93" i="1"/>
  <c r="W93" i="1"/>
  <c r="X751" i="1"/>
  <c r="W751" i="1"/>
  <c r="W107" i="1"/>
  <c r="X107" i="1" s="1"/>
  <c r="X869" i="1"/>
  <c r="W869" i="1"/>
  <c r="X992" i="1"/>
  <c r="W992" i="1"/>
  <c r="X57" i="1"/>
  <c r="W57" i="1"/>
  <c r="W513" i="1"/>
  <c r="X513" i="1" s="1"/>
  <c r="X445" i="1"/>
  <c r="W445" i="1"/>
  <c r="X346" i="1"/>
  <c r="W346" i="1"/>
  <c r="X601" i="1"/>
  <c r="W601" i="1"/>
  <c r="W572" i="1"/>
  <c r="X572" i="1" s="1"/>
  <c r="X591" i="1"/>
  <c r="W591" i="1"/>
  <c r="X236" i="1"/>
  <c r="W236" i="1"/>
  <c r="X101" i="1"/>
  <c r="W101" i="1"/>
  <c r="W938" i="1"/>
  <c r="X938" i="1" s="1"/>
  <c r="X712" i="1"/>
  <c r="W712" i="1"/>
  <c r="X91" i="1"/>
  <c r="W91" i="1"/>
  <c r="X662" i="1"/>
  <c r="W662" i="1"/>
  <c r="W90" i="1"/>
  <c r="X90" i="1" s="1"/>
  <c r="X600" i="1"/>
  <c r="W600" i="1"/>
  <c r="X209" i="1"/>
  <c r="W209" i="1"/>
  <c r="X623" i="1"/>
  <c r="W623" i="1"/>
  <c r="W442" i="1"/>
  <c r="X442" i="1" s="1"/>
  <c r="X303" i="1"/>
  <c r="W303" i="1"/>
  <c r="X62" i="1"/>
  <c r="W62" i="1"/>
  <c r="X543" i="1"/>
  <c r="W543" i="1"/>
  <c r="W598" i="1"/>
  <c r="X598" i="1" s="1"/>
  <c r="X690" i="1"/>
  <c r="W690" i="1"/>
  <c r="X898" i="1"/>
  <c r="W898" i="1"/>
  <c r="X780" i="1"/>
  <c r="W780" i="1"/>
  <c r="W768" i="1"/>
  <c r="X768" i="1" s="1"/>
  <c r="X691" i="1"/>
  <c r="W691" i="1"/>
  <c r="X23" i="1"/>
  <c r="W23" i="1"/>
  <c r="W785" i="1"/>
  <c r="X785" i="1" s="1"/>
  <c r="W771" i="1"/>
  <c r="X771" i="1" s="1"/>
  <c r="X865" i="1"/>
  <c r="W865" i="1"/>
  <c r="X559" i="1"/>
  <c r="W559" i="1"/>
  <c r="X864" i="1"/>
  <c r="W864" i="1"/>
  <c r="W929" i="1"/>
  <c r="X929" i="1" s="1"/>
  <c r="X138" i="1"/>
  <c r="W138" i="1"/>
  <c r="X369" i="1"/>
  <c r="W369" i="1"/>
  <c r="X88" i="1"/>
  <c r="W88" i="1"/>
  <c r="W229" i="1"/>
  <c r="X229" i="1" s="1"/>
  <c r="X321" i="1"/>
  <c r="W321" i="1"/>
  <c r="X660" i="1"/>
  <c r="W660" i="1"/>
  <c r="X293" i="1"/>
  <c r="W293" i="1"/>
  <c r="W184" i="1"/>
  <c r="X184" i="1" s="1"/>
  <c r="X256" i="1"/>
  <c r="W256" i="1"/>
  <c r="X254" i="1"/>
  <c r="W254" i="1"/>
  <c r="X118" i="1"/>
  <c r="W118" i="1"/>
  <c r="W386" i="1"/>
  <c r="X386" i="1" s="1"/>
  <c r="X713" i="1"/>
  <c r="W713" i="1"/>
  <c r="X408" i="1"/>
  <c r="W408" i="1"/>
  <c r="W475" i="1"/>
  <c r="X475" i="1" s="1"/>
  <c r="W695" i="1"/>
  <c r="X695" i="1" s="1"/>
  <c r="X30" i="1"/>
  <c r="W30" i="1"/>
  <c r="X884" i="1"/>
  <c r="W884" i="1"/>
  <c r="X826" i="1"/>
  <c r="W826" i="1"/>
  <c r="W779" i="1"/>
  <c r="X779" i="1" s="1"/>
  <c r="X247" i="1"/>
  <c r="W247" i="1"/>
  <c r="X358" i="1"/>
  <c r="W358" i="1"/>
  <c r="X634" i="1"/>
  <c r="W634" i="1"/>
  <c r="W781" i="1"/>
  <c r="X781" i="1" s="1"/>
  <c r="X837" i="1"/>
  <c r="W837" i="1"/>
  <c r="X509" i="1"/>
  <c r="W509" i="1"/>
  <c r="X546" i="1"/>
  <c r="W546" i="1"/>
  <c r="W741" i="1"/>
  <c r="X741" i="1" s="1"/>
  <c r="X202" i="1"/>
  <c r="W202" i="1"/>
  <c r="X258" i="1"/>
  <c r="W258" i="1"/>
  <c r="X532" i="1"/>
  <c r="W532" i="1"/>
  <c r="W974" i="1"/>
  <c r="X974" i="1" s="1"/>
  <c r="X818" i="1"/>
  <c r="W818" i="1"/>
  <c r="X764" i="1"/>
  <c r="W764" i="1"/>
  <c r="X469" i="1"/>
  <c r="W469" i="1"/>
  <c r="W67" i="1"/>
  <c r="X67" i="1" s="1"/>
  <c r="X515" i="1"/>
  <c r="W515" i="1"/>
  <c r="X991" i="1"/>
  <c r="W991" i="1"/>
  <c r="X535" i="1"/>
  <c r="W535" i="1"/>
  <c r="W900" i="1"/>
  <c r="X900" i="1" s="1"/>
  <c r="X132" i="1"/>
  <c r="W132" i="1"/>
  <c r="X157" i="1"/>
  <c r="W157" i="1"/>
  <c r="X487" i="1"/>
  <c r="W487" i="1"/>
  <c r="W955" i="1"/>
  <c r="X955" i="1" s="1"/>
  <c r="X860" i="1"/>
  <c r="W860" i="1"/>
  <c r="X945" i="1"/>
  <c r="W945" i="1"/>
  <c r="X998" i="1"/>
  <c r="W998" i="1"/>
  <c r="W942" i="1"/>
  <c r="X942" i="1" s="1"/>
  <c r="X367" i="1"/>
  <c r="W367" i="1"/>
  <c r="X522" i="1"/>
  <c r="W522" i="1"/>
  <c r="X296" i="1"/>
  <c r="W296" i="1"/>
  <c r="W616" i="1"/>
  <c r="X616" i="1" s="1"/>
  <c r="X621" i="1"/>
  <c r="W621" i="1"/>
  <c r="X564" i="1"/>
  <c r="W564" i="1"/>
  <c r="X166" i="1"/>
  <c r="W166" i="1"/>
  <c r="W351" i="1"/>
  <c r="X351" i="1" s="1"/>
  <c r="X635" i="1"/>
  <c r="W635" i="1"/>
  <c r="X553" i="1"/>
  <c r="W553" i="1"/>
  <c r="X171" i="1"/>
  <c r="W171" i="1"/>
  <c r="W935" i="1"/>
  <c r="X935" i="1" s="1"/>
  <c r="X286" i="1"/>
  <c r="W286" i="1"/>
  <c r="X765" i="1"/>
  <c r="W765" i="1"/>
  <c r="X312" i="1"/>
  <c r="W312" i="1"/>
  <c r="W463" i="1"/>
  <c r="X463" i="1" s="1"/>
  <c r="X497" i="1"/>
  <c r="W497" i="1"/>
  <c r="X791" i="1"/>
  <c r="W791" i="1"/>
  <c r="X829" i="1"/>
  <c r="W829" i="1"/>
  <c r="W179" i="1"/>
  <c r="X179" i="1" s="1"/>
  <c r="X470" i="1"/>
  <c r="W470" i="1"/>
  <c r="X905" i="1"/>
  <c r="W905" i="1"/>
  <c r="X901" i="1"/>
  <c r="W901" i="1"/>
  <c r="W668" i="1"/>
  <c r="X668" i="1" s="1"/>
  <c r="X976" i="1"/>
  <c r="W976" i="1"/>
  <c r="X66" i="1"/>
  <c r="W66" i="1"/>
  <c r="X853" i="1"/>
  <c r="W853" i="1"/>
  <c r="W384" i="1"/>
  <c r="X384" i="1" s="1"/>
  <c r="X665" i="1"/>
  <c r="W665" i="1"/>
  <c r="X736" i="1"/>
  <c r="W736" i="1"/>
  <c r="X424" i="1"/>
  <c r="W424" i="1"/>
  <c r="W541" i="1"/>
  <c r="X541" i="1" s="1"/>
  <c r="X214" i="1"/>
  <c r="W214" i="1"/>
  <c r="X462" i="1"/>
  <c r="W462" i="1"/>
  <c r="X25" i="1"/>
  <c r="W25" i="1"/>
  <c r="W143" i="1"/>
  <c r="X143" i="1" s="1"/>
  <c r="X261" i="1"/>
  <c r="W261" i="1"/>
  <c r="X290" i="1"/>
  <c r="W290" i="1"/>
  <c r="X24" i="1"/>
  <c r="W24" i="1"/>
  <c r="W870" i="1"/>
  <c r="X870" i="1" s="1"/>
  <c r="X29" i="1"/>
  <c r="W29" i="1"/>
  <c r="X849" i="1"/>
  <c r="W849" i="1"/>
  <c r="X514" i="1"/>
  <c r="W514" i="1"/>
  <c r="W56" i="1"/>
  <c r="X56" i="1" s="1"/>
  <c r="X83" i="1"/>
  <c r="W83" i="1"/>
  <c r="X298" i="1"/>
  <c r="W298" i="1"/>
  <c r="W716" i="1"/>
  <c r="X716" i="1" s="1"/>
  <c r="W907" i="1"/>
  <c r="X907" i="1" s="1"/>
  <c r="X322" i="1"/>
  <c r="W322" i="1"/>
  <c r="X483" i="1"/>
  <c r="W483" i="1"/>
  <c r="X395" i="1"/>
  <c r="W395" i="1"/>
  <c r="W379" i="1"/>
  <c r="X379" i="1" s="1"/>
  <c r="X438" i="1"/>
  <c r="W438" i="1"/>
  <c r="X285" i="1"/>
  <c r="W285" i="1"/>
  <c r="X217" i="1"/>
  <c r="W217" i="1"/>
  <c r="W210" i="1"/>
  <c r="X210" i="1" s="1"/>
  <c r="X960" i="1"/>
  <c r="W960" i="1"/>
  <c r="X58" i="1"/>
  <c r="W58" i="1"/>
  <c r="X283" i="1"/>
  <c r="W283" i="1"/>
  <c r="W984" i="1"/>
  <c r="X984" i="1" s="1"/>
  <c r="X406" i="1"/>
  <c r="W406" i="1"/>
  <c r="X958" i="1"/>
  <c r="W958" i="1"/>
  <c r="X925" i="1"/>
  <c r="W925" i="1"/>
  <c r="W533" i="1"/>
  <c r="X533" i="1" s="1"/>
  <c r="X547" i="1"/>
  <c r="W547" i="1"/>
  <c r="X115" i="1"/>
  <c r="W115" i="1"/>
  <c r="W100" i="1"/>
  <c r="X100" i="1" s="1"/>
  <c r="W908" i="1"/>
  <c r="X908" i="1" s="1"/>
  <c r="X140" i="1"/>
  <c r="W140" i="1"/>
  <c r="X578" i="1"/>
  <c r="W578" i="1"/>
  <c r="W891" i="1"/>
  <c r="X891" i="1" s="1"/>
  <c r="W139" i="1"/>
  <c r="X139" i="1" s="1"/>
  <c r="X219" i="1"/>
  <c r="W219" i="1"/>
  <c r="X55" i="1"/>
  <c r="W55" i="1"/>
  <c r="W887" i="1"/>
  <c r="X887" i="1" s="1"/>
  <c r="W85" i="1"/>
  <c r="X85" i="1" s="1"/>
  <c r="X341" i="1"/>
  <c r="W341" i="1"/>
  <c r="X437" i="1"/>
  <c r="W437" i="1"/>
  <c r="W889" i="1"/>
  <c r="X889" i="1" s="1"/>
  <c r="W799" i="1"/>
  <c r="X799" i="1" s="1"/>
  <c r="X574" i="1"/>
  <c r="W574" i="1"/>
  <c r="X959" i="1"/>
  <c r="W959" i="1"/>
  <c r="W327" i="1"/>
  <c r="X327" i="1" s="1"/>
  <c r="W744" i="1"/>
  <c r="X744" i="1" s="1"/>
  <c r="X495" i="1"/>
  <c r="W495" i="1"/>
  <c r="X778" i="1"/>
  <c r="W778" i="1"/>
  <c r="X216" i="1"/>
  <c r="W216" i="1"/>
  <c r="W868" i="1"/>
  <c r="X868" i="1" s="1"/>
  <c r="X195" i="1"/>
  <c r="W195" i="1"/>
  <c r="X326" i="1"/>
  <c r="W326" i="1"/>
  <c r="X421" i="1"/>
  <c r="W421" i="1"/>
  <c r="W943" i="1"/>
  <c r="X943" i="1" s="1"/>
  <c r="X218" i="1"/>
  <c r="W218" i="1"/>
  <c r="X632" i="1"/>
  <c r="W632" i="1"/>
  <c r="X98" i="1"/>
  <c r="W98" i="1"/>
  <c r="W154" i="1"/>
  <c r="X154" i="1" s="1"/>
  <c r="X241" i="1"/>
  <c r="W241" i="1"/>
  <c r="X383" i="1"/>
  <c r="W383" i="1"/>
  <c r="X608" i="1"/>
  <c r="W608" i="1"/>
  <c r="W485" i="1"/>
  <c r="X485" i="1" s="1"/>
  <c r="X457" i="1"/>
  <c r="W457" i="1"/>
  <c r="X742" i="1"/>
  <c r="W742" i="1"/>
  <c r="X560" i="1"/>
  <c r="W560" i="1"/>
  <c r="W467" i="1"/>
  <c r="X467" i="1" s="1"/>
  <c r="X307" i="1"/>
  <c r="W307" i="1"/>
  <c r="X851" i="1"/>
  <c r="W851" i="1"/>
  <c r="X178" i="1"/>
  <c r="W178" i="1"/>
  <c r="W149" i="1"/>
  <c r="X149" i="1" s="1"/>
  <c r="X368" i="1"/>
  <c r="W368" i="1"/>
  <c r="X740" i="1"/>
  <c r="W740" i="1"/>
  <c r="X647" i="1"/>
  <c r="W647" i="1"/>
  <c r="W398" i="1"/>
  <c r="X398" i="1" s="1"/>
  <c r="X59" i="1"/>
  <c r="W59" i="1"/>
  <c r="X400" i="1"/>
  <c r="W400" i="1"/>
  <c r="X491" i="1"/>
  <c r="W491" i="1"/>
  <c r="W482" i="1"/>
  <c r="X482" i="1" s="1"/>
  <c r="X502" i="1"/>
  <c r="W502" i="1"/>
  <c r="X589" i="1"/>
  <c r="W589" i="1"/>
  <c r="X797" i="1"/>
  <c r="W797" i="1"/>
  <c r="W551" i="1"/>
  <c r="X551" i="1" s="1"/>
  <c r="X222" i="1"/>
  <c r="W222" i="1"/>
  <c r="X366" i="1"/>
  <c r="W366" i="1"/>
  <c r="X586" i="1"/>
  <c r="W586" i="1"/>
  <c r="W659" i="1"/>
  <c r="X659" i="1" s="1"/>
  <c r="X199" i="1"/>
  <c r="W199" i="1"/>
  <c r="X563" i="1"/>
  <c r="W563" i="1"/>
  <c r="X15" i="1"/>
  <c r="W15" i="1"/>
  <c r="W686" i="1"/>
  <c r="X686" i="1" s="1"/>
  <c r="X879" i="1"/>
  <c r="W879" i="1"/>
  <c r="X121" i="1"/>
  <c r="W121" i="1"/>
  <c r="X880" i="1"/>
  <c r="W880" i="1"/>
  <c r="W936" i="1"/>
  <c r="X936" i="1" s="1"/>
  <c r="X3" i="1"/>
  <c r="W3" i="1"/>
  <c r="X252" i="1"/>
  <c r="W252" i="1"/>
  <c r="X830" i="1"/>
  <c r="W830" i="1"/>
  <c r="W124" i="1"/>
  <c r="X124" i="1" s="1"/>
  <c r="X275" i="1"/>
  <c r="W275" i="1"/>
  <c r="X161" i="1"/>
  <c r="W161" i="1"/>
  <c r="X371" i="1"/>
  <c r="W371" i="1"/>
  <c r="W234" i="1"/>
  <c r="X234" i="1" s="1"/>
  <c r="W823" i="1"/>
  <c r="X823" i="1" s="1"/>
  <c r="X531" i="1"/>
  <c r="W531" i="1"/>
  <c r="X801" i="1"/>
  <c r="W801" i="1"/>
  <c r="W73" i="1"/>
  <c r="X73" i="1" s="1"/>
  <c r="X370" i="1"/>
  <c r="W370" i="1"/>
  <c r="X28" i="1"/>
  <c r="W28" i="1"/>
  <c r="W956" i="1"/>
  <c r="X956" i="1" s="1"/>
  <c r="W273" i="1"/>
  <c r="X273" i="1" s="1"/>
  <c r="W399" i="1"/>
  <c r="X399" i="1" s="1"/>
  <c r="X680" i="1"/>
  <c r="W680" i="1"/>
  <c r="X615" i="1"/>
  <c r="W615" i="1"/>
  <c r="W350" i="1"/>
  <c r="X350" i="1" s="1"/>
  <c r="W986" i="1"/>
  <c r="X986" i="1" s="1"/>
  <c r="X906" i="1"/>
  <c r="W906" i="1"/>
  <c r="X53" i="1"/>
  <c r="W53" i="1"/>
  <c r="W953" i="1"/>
  <c r="X953" i="1" s="1"/>
  <c r="W439" i="1"/>
  <c r="X439" i="1" s="1"/>
  <c r="X5" i="1"/>
  <c r="W5" i="1"/>
  <c r="X685" i="1"/>
  <c r="W685" i="1"/>
  <c r="W108" i="1"/>
  <c r="X108" i="1" s="1"/>
  <c r="W232" i="1"/>
  <c r="X232" i="1" s="1"/>
  <c r="X821" i="1"/>
  <c r="W177" i="1"/>
  <c r="X177" i="1" s="1"/>
  <c r="W727" i="1"/>
  <c r="X727" i="1" s="1"/>
  <c r="X377" i="1"/>
  <c r="W377" i="1"/>
  <c r="W333" i="1"/>
  <c r="X333" i="1" s="1"/>
  <c r="W38" i="1"/>
  <c r="X38" i="1" s="1"/>
  <c r="W774" i="1"/>
  <c r="X774" i="1" s="1"/>
  <c r="X240" i="1"/>
  <c r="W240" i="1"/>
  <c r="W566" i="1"/>
  <c r="X566" i="1" s="1"/>
  <c r="W857" i="1"/>
  <c r="X857" i="1" s="1"/>
  <c r="W135" i="1"/>
  <c r="X135" i="1" s="1"/>
  <c r="X297" i="1"/>
  <c r="W297" i="1"/>
  <c r="X753" i="1"/>
  <c r="X584" i="1"/>
  <c r="W584" i="1"/>
  <c r="W480" i="1"/>
  <c r="X480" i="1" s="1"/>
  <c r="W813" i="1"/>
  <c r="X813" i="1" s="1"/>
  <c r="X682" i="1"/>
  <c r="W682" i="1"/>
  <c r="X622" i="1"/>
  <c r="W622" i="1"/>
  <c r="W875" i="1"/>
  <c r="X875" i="1" s="1"/>
  <c r="W75" i="1"/>
  <c r="X75" i="1" s="1"/>
  <c r="W628" i="1"/>
  <c r="X628" i="1" s="1"/>
  <c r="X44" i="1"/>
  <c r="W44" i="1"/>
  <c r="W270" i="1"/>
  <c r="X270" i="1" s="1"/>
  <c r="X850" i="1"/>
  <c r="W850" i="1"/>
  <c r="W233" i="1"/>
  <c r="X233" i="1" s="1"/>
  <c r="W873" i="1"/>
  <c r="X873" i="1" s="1"/>
  <c r="W790" i="1"/>
  <c r="X790" i="1" s="1"/>
  <c r="X645" i="1"/>
  <c r="W645" i="1"/>
  <c r="W430" i="1"/>
  <c r="X430" i="1" s="1"/>
  <c r="W364" i="1"/>
  <c r="X364" i="1" s="1"/>
  <c r="W940" i="1"/>
  <c r="X940" i="1" s="1"/>
  <c r="X405" i="1"/>
  <c r="W405" i="1"/>
  <c r="W653" i="1"/>
  <c r="X653" i="1" s="1"/>
  <c r="W387" i="1"/>
  <c r="X387" i="1" s="1"/>
  <c r="W208" i="1"/>
  <c r="X208" i="1" s="1"/>
  <c r="X342" i="1"/>
  <c r="W342" i="1"/>
  <c r="W775" i="1"/>
  <c r="X775" i="1" s="1"/>
  <c r="W190" i="1"/>
  <c r="X190" i="1" s="1"/>
  <c r="W412" i="1"/>
  <c r="X412" i="1" s="1"/>
  <c r="X915" i="1"/>
  <c r="W915" i="1"/>
  <c r="W141" i="1"/>
  <c r="X141" i="1" s="1"/>
  <c r="W669" i="1"/>
  <c r="X669" i="1" s="1"/>
  <c r="W661" i="1"/>
  <c r="X661" i="1" s="1"/>
  <c r="X973" i="1"/>
  <c r="W973" i="1"/>
  <c r="X476" i="1"/>
  <c r="W476" i="1"/>
  <c r="W308" i="1"/>
  <c r="X308" i="1" s="1"/>
  <c r="W648" i="1"/>
  <c r="X648" i="1" s="1"/>
  <c r="W788" i="1"/>
  <c r="X788" i="1" s="1"/>
  <c r="X558" i="1"/>
  <c r="W558" i="1"/>
  <c r="W852" i="1"/>
  <c r="X852" i="1" s="1"/>
  <c r="W330" i="1"/>
  <c r="X330" i="1" s="1"/>
  <c r="X755" i="1"/>
  <c r="W755" i="1"/>
  <c r="X575" i="1"/>
  <c r="W575" i="1"/>
  <c r="W456" i="1"/>
  <c r="X456" i="1" s="1"/>
  <c r="X902" i="1"/>
  <c r="W748" i="1"/>
  <c r="X748" i="1" s="1"/>
  <c r="W27" i="1"/>
  <c r="X27" i="1" s="1"/>
  <c r="X81" i="1"/>
  <c r="W81" i="1"/>
  <c r="W221" i="1"/>
  <c r="X221" i="1" s="1"/>
  <c r="W562" i="1"/>
  <c r="X562" i="1" s="1"/>
  <c r="W213" i="1"/>
  <c r="X213" i="1" s="1"/>
  <c r="X452" i="1"/>
  <c r="W452" i="1"/>
  <c r="W459" i="1"/>
  <c r="X459" i="1" s="1"/>
  <c r="W806" i="1"/>
  <c r="X806" i="1" s="1"/>
  <c r="X544" i="1"/>
  <c r="W544" i="1"/>
  <c r="X86" i="1"/>
  <c r="W86" i="1"/>
  <c r="W435" i="1"/>
  <c r="X435" i="1" s="1"/>
  <c r="W43" i="1"/>
  <c r="X43" i="1" s="1"/>
  <c r="X530" i="1"/>
  <c r="W530" i="1"/>
  <c r="X444" i="1"/>
  <c r="W444" i="1"/>
  <c r="W702" i="1"/>
  <c r="X702" i="1" s="1"/>
  <c r="W777" i="1"/>
  <c r="X777" i="1"/>
  <c r="W766" i="1"/>
  <c r="X766" i="1" s="1"/>
  <c r="X35" i="1"/>
  <c r="W35" i="1"/>
  <c r="W649" i="1"/>
  <c r="X649" i="1" s="1"/>
  <c r="W458" i="1"/>
  <c r="X458" i="1" s="1"/>
  <c r="W529" i="1"/>
  <c r="X529" i="1" s="1"/>
  <c r="X795" i="1"/>
  <c r="W795" i="1"/>
  <c r="W576" i="1"/>
  <c r="X576" i="1" s="1"/>
  <c r="W365" i="1"/>
  <c r="X365" i="1" s="1"/>
  <c r="X501" i="1"/>
  <c r="W985" i="1"/>
  <c r="X985" i="1" s="1"/>
  <c r="W496" i="1"/>
  <c r="X496" i="1" s="1"/>
  <c r="W977" i="1"/>
  <c r="X977" i="1" s="1"/>
  <c r="X804" i="1"/>
  <c r="W804" i="1"/>
  <c r="W782" i="1"/>
  <c r="X782" i="1" s="1"/>
  <c r="W336" i="1"/>
  <c r="X336" i="1" s="1"/>
  <c r="W602" i="1"/>
  <c r="X602" i="1" s="1"/>
  <c r="X963" i="1"/>
  <c r="W963" i="1"/>
  <c r="W163" i="1"/>
  <c r="X163" i="1" s="1"/>
  <c r="W472" i="1"/>
  <c r="X472" i="1" s="1"/>
  <c r="W927" i="1"/>
  <c r="X927" i="1" s="1"/>
  <c r="X816" i="1"/>
  <c r="W816" i="1"/>
  <c r="W113" i="1"/>
  <c r="X113" i="1" s="1"/>
  <c r="W404" i="1"/>
  <c r="X404" i="1" s="1"/>
  <c r="W180" i="1"/>
  <c r="X180" i="1" s="1"/>
  <c r="AA819" i="1"/>
  <c r="AB819" i="1" s="1"/>
  <c r="AA554" i="1"/>
  <c r="AA343" i="1"/>
  <c r="AA409" i="1"/>
  <c r="AA341" i="1"/>
  <c r="AA233" i="1"/>
  <c r="W978" i="1"/>
  <c r="X978" i="1" s="1"/>
  <c r="X761" i="1"/>
  <c r="W761" i="1"/>
  <c r="W17" i="1"/>
  <c r="X17" i="1" s="1"/>
  <c r="W802" i="1"/>
  <c r="X802" i="1" s="1"/>
  <c r="W842" i="1"/>
  <c r="X842" i="1" s="1"/>
  <c r="X747" i="1"/>
  <c r="W747" i="1"/>
  <c r="W137" i="1"/>
  <c r="X137" i="1" s="1"/>
  <c r="W961" i="1"/>
  <c r="X961" i="1" s="1"/>
  <c r="W193" i="1"/>
  <c r="X193" i="1"/>
  <c r="X787" i="1"/>
  <c r="W787" i="1"/>
  <c r="W311" i="1"/>
  <c r="X311" i="1" s="1"/>
  <c r="X11" i="1"/>
  <c r="W11" i="1"/>
  <c r="W131" i="1"/>
  <c r="X131" i="1" s="1"/>
  <c r="X696" i="1"/>
  <c r="W696" i="1"/>
  <c r="W886" i="1"/>
  <c r="X886" i="1" s="1"/>
  <c r="W244" i="1"/>
  <c r="X244" i="1" s="1"/>
  <c r="W932" i="1"/>
  <c r="X932" i="1" s="1"/>
  <c r="X153" i="1"/>
  <c r="W153" i="1"/>
  <c r="W10" i="1"/>
  <c r="X10" i="1" s="1"/>
  <c r="W754" i="1"/>
  <c r="X754" i="1" s="1"/>
  <c r="W807" i="1"/>
  <c r="X807" i="1" s="1"/>
  <c r="X885" i="1"/>
  <c r="W885" i="1"/>
  <c r="W150" i="1"/>
  <c r="X150" i="1" s="1"/>
  <c r="X947" i="1"/>
  <c r="W947" i="1"/>
  <c r="W835" i="1"/>
  <c r="X835" i="1" s="1"/>
  <c r="X814" i="1"/>
  <c r="W814" i="1"/>
  <c r="W701" i="1"/>
  <c r="X701" i="1" s="1"/>
  <c r="X731" i="1"/>
  <c r="W731" i="1"/>
  <c r="W709" i="1"/>
  <c r="X709" i="1" s="1"/>
  <c r="W165" i="1"/>
  <c r="X165" i="1" s="1"/>
  <c r="W125" i="1"/>
  <c r="X125" i="1" s="1"/>
  <c r="W834" i="1"/>
  <c r="X834" i="1" s="1"/>
  <c r="W500" i="1"/>
  <c r="X500" i="1" s="1"/>
  <c r="X982" i="1"/>
  <c r="W982" i="1"/>
  <c r="W667" i="1"/>
  <c r="X667" i="1" s="1"/>
  <c r="X607" i="1"/>
  <c r="W607" i="1"/>
  <c r="W528" i="1"/>
  <c r="X528" i="1" s="1"/>
  <c r="W302" i="1"/>
  <c r="X302" i="1" s="1"/>
  <c r="W145" i="1"/>
  <c r="X145" i="1" s="1"/>
  <c r="X630" i="1"/>
  <c r="W630" i="1"/>
  <c r="W757" i="1"/>
  <c r="X757" i="1" s="1"/>
  <c r="W126" i="1"/>
  <c r="X126" i="1" s="1"/>
  <c r="W79" i="1"/>
  <c r="X79" i="1" s="1"/>
  <c r="X896" i="1"/>
  <c r="W896" i="1"/>
  <c r="W419" i="1"/>
  <c r="X419" i="1" s="1"/>
  <c r="W468" i="1"/>
  <c r="X468" i="1" s="1"/>
  <c r="X289" i="1"/>
  <c r="W289" i="1"/>
  <c r="X557" i="1"/>
  <c r="W557" i="1"/>
  <c r="W465" i="1"/>
  <c r="X465" i="1" s="1"/>
  <c r="W21" i="1"/>
  <c r="X21" i="1" s="1"/>
  <c r="X489" i="1"/>
  <c r="W489" i="1"/>
  <c r="X881" i="1"/>
  <c r="W267" i="1"/>
  <c r="X267" i="1" s="1"/>
  <c r="W934" i="1"/>
  <c r="X934" i="1" s="1"/>
  <c r="X534" i="1"/>
  <c r="W534" i="1"/>
  <c r="W385" i="1"/>
  <c r="X385" i="1" s="1"/>
  <c r="W583" i="1"/>
  <c r="X583" i="1" s="1"/>
  <c r="W361" i="1"/>
  <c r="X361" i="1" s="1"/>
  <c r="X904" i="1"/>
  <c r="W904" i="1"/>
  <c r="W715" i="1"/>
  <c r="X715" i="1" s="1"/>
  <c r="W227" i="1"/>
  <c r="X227" i="1" s="1"/>
  <c r="W843" i="1"/>
  <c r="X843" i="1" s="1"/>
  <c r="X389" i="1"/>
  <c r="W389" i="1"/>
  <c r="X264" i="1"/>
  <c r="W264" i="1"/>
  <c r="W784" i="1"/>
  <c r="X784" i="1" s="1"/>
  <c r="W783" i="1"/>
  <c r="X783" i="1" s="1"/>
  <c r="W388" i="1"/>
  <c r="X388" i="1" s="1"/>
  <c r="X878" i="1"/>
  <c r="W878" i="1"/>
  <c r="W260" i="1"/>
  <c r="X260" i="1" s="1"/>
  <c r="W561" i="1"/>
  <c r="X561" i="1" s="1"/>
  <c r="W37" i="1"/>
  <c r="X37" i="1" s="1"/>
  <c r="X142" i="1"/>
  <c r="W142" i="1"/>
  <c r="W684" i="1"/>
  <c r="X684" i="1" s="1"/>
  <c r="W372" i="1"/>
  <c r="X372" i="1" s="1"/>
  <c r="W888" i="1"/>
  <c r="X888" i="1" s="1"/>
  <c r="X854" i="1"/>
  <c r="W854" i="1"/>
  <c r="W425" i="1"/>
  <c r="X425" i="1" s="1"/>
  <c r="W822" i="1"/>
  <c r="X822" i="1" s="1"/>
  <c r="W861" i="1"/>
  <c r="X861" i="1" s="1"/>
  <c r="W567" i="1"/>
  <c r="X567" i="1" s="1"/>
  <c r="W211" i="1"/>
  <c r="X211" i="1" s="1"/>
  <c r="W714" i="1"/>
  <c r="X714" i="1" s="1"/>
  <c r="X328" i="1"/>
  <c r="W328" i="1"/>
  <c r="W172" i="1"/>
  <c r="X172" i="1" s="1"/>
  <c r="W756" i="1"/>
  <c r="X756" i="1" s="1"/>
  <c r="W46" i="1"/>
  <c r="X46" i="1" s="1"/>
  <c r="X96" i="1"/>
  <c r="W96" i="1"/>
  <c r="W380" i="1"/>
  <c r="X380" i="1" s="1"/>
  <c r="W191" i="1"/>
  <c r="X191" i="1" s="1"/>
  <c r="W117" i="1"/>
  <c r="X117" i="1" s="1"/>
  <c r="X72" i="1"/>
  <c r="W72" i="1"/>
  <c r="W890" i="1"/>
  <c r="X890" i="1" s="1"/>
  <c r="W207" i="1"/>
  <c r="X207" i="1" s="1"/>
  <c r="W448" i="1"/>
  <c r="X448" i="1" s="1"/>
  <c r="X728" i="1"/>
  <c r="W728" i="1"/>
  <c r="W268" i="1"/>
  <c r="X268" i="1" s="1"/>
  <c r="W263" i="1"/>
  <c r="X263" i="1" s="1"/>
  <c r="W136" i="1"/>
  <c r="X136" i="1" s="1"/>
  <c r="X512" i="1"/>
  <c r="W512" i="1"/>
  <c r="X170" i="1"/>
  <c r="X517" i="1"/>
  <c r="W517" i="1"/>
  <c r="W347" i="1"/>
  <c r="X347" i="1" s="1"/>
  <c r="W376" i="1"/>
  <c r="X376" i="1" s="1"/>
  <c r="W796" i="1"/>
  <c r="X796" i="1" s="1"/>
  <c r="X914" i="1"/>
  <c r="W914" i="1"/>
  <c r="W800" i="1"/>
  <c r="X800" i="1" s="1"/>
  <c r="W833" i="1"/>
  <c r="X833" i="1" s="1"/>
  <c r="X320" i="1"/>
  <c r="W320" i="1"/>
  <c r="X175" i="1"/>
  <c r="W175" i="1"/>
  <c r="W112" i="1"/>
  <c r="X112" i="1" s="1"/>
  <c r="W494" i="1"/>
  <c r="X494" i="1" s="1"/>
  <c r="Z906" i="1"/>
  <c r="AB906" i="1"/>
  <c r="Y876" i="1"/>
  <c r="Y668" i="1"/>
  <c r="Y976" i="1"/>
  <c r="AA976" i="1" s="1"/>
  <c r="Y66" i="1"/>
  <c r="Y629" i="1"/>
  <c r="AA629" i="1" s="1"/>
  <c r="AB629" i="1" s="1"/>
  <c r="Z819" i="1"/>
  <c r="Z554" i="1"/>
  <c r="AB554" i="1"/>
  <c r="Z343" i="1"/>
  <c r="AB343" i="1"/>
  <c r="Z409" i="1"/>
  <c r="AB409" i="1"/>
  <c r="Z341" i="1"/>
  <c r="AB341" i="1"/>
  <c r="Z233" i="1"/>
  <c r="AB233" i="1"/>
  <c r="Y25" i="1"/>
  <c r="AA25" i="1" s="1"/>
  <c r="Z567" i="1"/>
  <c r="AB567" i="1"/>
  <c r="Z668" i="1"/>
  <c r="Y143" i="1"/>
  <c r="AA143" i="1" s="1"/>
  <c r="Y594" i="1"/>
  <c r="AA594" i="1" s="1"/>
  <c r="Z761" i="1"/>
  <c r="AB761" i="1"/>
  <c r="Z901" i="1"/>
  <c r="AB901" i="1"/>
  <c r="Z976" i="1"/>
  <c r="AB976" i="1"/>
  <c r="Z736" i="1"/>
  <c r="AB736" i="1"/>
  <c r="Z680" i="1"/>
  <c r="AB680" i="1"/>
  <c r="Z5" i="1"/>
  <c r="AB5" i="1"/>
  <c r="Y195" i="1"/>
  <c r="AA195" i="1" s="1"/>
  <c r="Y540" i="1"/>
  <c r="AA540" i="1" s="1"/>
  <c r="Y800" i="1"/>
  <c r="AA800" i="1" s="1"/>
  <c r="Y129" i="1"/>
  <c r="AA129" i="1" s="1"/>
  <c r="Y576" i="1"/>
  <c r="AA576" i="1" s="1"/>
  <c r="Y298" i="1"/>
  <c r="AA298" i="1" s="1"/>
  <c r="Y529" i="1"/>
  <c r="AA529" i="1" s="1"/>
  <c r="Y849" i="1"/>
  <c r="AA849" i="1" s="1"/>
  <c r="Y322" i="1"/>
  <c r="AA322" i="1" s="1"/>
  <c r="Y381" i="1"/>
  <c r="AA381" i="1" s="1"/>
  <c r="Y338" i="1"/>
  <c r="AA338" i="1" s="1"/>
  <c r="Y520" i="1"/>
  <c r="AA520" i="1" s="1"/>
  <c r="Y933" i="1"/>
  <c r="AA933" i="1" s="1"/>
  <c r="Y240" i="1"/>
  <c r="AA240" i="1" s="1"/>
  <c r="Y772" i="1"/>
  <c r="AA772" i="1" s="1"/>
  <c r="Y122" i="1"/>
  <c r="AA122" i="1" s="1"/>
  <c r="Y290" i="1"/>
  <c r="AA290" i="1" s="1"/>
  <c r="Y339" i="1"/>
  <c r="AA339" i="1" s="1"/>
  <c r="Y157" i="1"/>
  <c r="AA157" i="1" s="1"/>
  <c r="Y217" i="1"/>
  <c r="AA217" i="1" s="1"/>
  <c r="Y481" i="1"/>
  <c r="AA481" i="1" s="1"/>
  <c r="Y604" i="1"/>
  <c r="AA604" i="1" s="1"/>
  <c r="Y825" i="1"/>
  <c r="AA825" i="1" s="1"/>
  <c r="Y13" i="1"/>
  <c r="AA13" i="1" s="1"/>
  <c r="Y225" i="1"/>
  <c r="AA225" i="1" s="1"/>
  <c r="Y372" i="1"/>
  <c r="AA372" i="1" s="1"/>
  <c r="Y166" i="1"/>
  <c r="AA166" i="1" s="1"/>
  <c r="Y351" i="1"/>
  <c r="AA351" i="1" s="1"/>
  <c r="Y446" i="1"/>
  <c r="AA446" i="1" s="1"/>
  <c r="Y856" i="1"/>
  <c r="AA856" i="1" s="1"/>
  <c r="Y388" i="1"/>
  <c r="AA388" i="1" s="1"/>
  <c r="Y19" i="1"/>
  <c r="AA19" i="1" s="1"/>
  <c r="Y627" i="1"/>
  <c r="AA627" i="1" s="1"/>
  <c r="Y382" i="1"/>
  <c r="AA382" i="1" s="1"/>
  <c r="Y613" i="1"/>
  <c r="AA613" i="1" s="1"/>
  <c r="Y408" i="1"/>
  <c r="AA408" i="1" s="1"/>
  <c r="Y918" i="1"/>
  <c r="AA918" i="1" s="1"/>
  <c r="Y371" i="1"/>
  <c r="AA371" i="1" s="1"/>
  <c r="Y541" i="1"/>
  <c r="AA541" i="1" s="1"/>
  <c r="Y890" i="1"/>
  <c r="AA890" i="1" s="1"/>
  <c r="Q967" i="1"/>
  <c r="R967" i="1" s="1"/>
  <c r="Y967" i="1"/>
  <c r="AA967" i="1" s="1"/>
  <c r="Y944" i="1"/>
  <c r="AA944" i="1" s="1"/>
  <c r="Y649" i="1"/>
  <c r="AA649" i="1" s="1"/>
  <c r="Y249" i="1"/>
  <c r="AA249" i="1" s="1"/>
  <c r="Y505" i="1"/>
  <c r="AA505" i="1" s="1"/>
  <c r="Y248" i="1"/>
  <c r="AA248" i="1" s="1"/>
  <c r="Y302" i="1"/>
  <c r="AA302" i="1" s="1"/>
  <c r="Y910" i="1"/>
  <c r="AA910" i="1" s="1"/>
  <c r="Y10" i="1"/>
  <c r="AA10" i="1" s="1"/>
  <c r="Y667" i="1"/>
  <c r="AA667" i="1" s="1"/>
  <c r="Y853" i="1"/>
  <c r="AA853" i="1" s="1"/>
  <c r="Y462" i="1"/>
  <c r="AA462" i="1" s="1"/>
  <c r="Y747" i="1"/>
  <c r="AA747" i="1" s="1"/>
  <c r="Y573" i="1"/>
  <c r="AA573" i="1" s="1"/>
  <c r="Y276" i="1"/>
  <c r="AA276" i="1" s="1"/>
  <c r="Y626" i="1"/>
  <c r="AA626" i="1" s="1"/>
  <c r="Y788" i="1"/>
  <c r="AA788" i="1" s="1"/>
  <c r="Y832" i="1"/>
  <c r="AA832" i="1" s="1"/>
  <c r="Y117" i="1"/>
  <c r="AA117" i="1" s="1"/>
  <c r="Q170" i="1"/>
  <c r="R170" i="1" s="1"/>
  <c r="Y170" i="1"/>
  <c r="AA170" i="1" s="1"/>
  <c r="Q667" i="1"/>
  <c r="R667" i="1" s="1"/>
  <c r="Y517" i="1"/>
  <c r="AA517" i="1" s="1"/>
  <c r="Y118" i="1"/>
  <c r="AA118" i="1" s="1"/>
  <c r="Y400" i="1"/>
  <c r="AA400" i="1" s="1"/>
  <c r="R600" i="1"/>
  <c r="Y896" i="1"/>
  <c r="AA896" i="1" s="1"/>
  <c r="Y891" i="1"/>
  <c r="AA891" i="1" s="1"/>
  <c r="Y98" i="1"/>
  <c r="AA98" i="1" s="1"/>
  <c r="Y330" i="1"/>
  <c r="AA330" i="1" s="1"/>
  <c r="R32" i="1"/>
  <c r="Y255" i="1"/>
  <c r="AA255" i="1" s="1"/>
  <c r="Y593" i="1"/>
  <c r="AA593" i="1" s="1"/>
  <c r="Y175" i="1"/>
  <c r="AA175" i="1" s="1"/>
  <c r="Y494" i="1"/>
  <c r="AA494" i="1" s="1"/>
  <c r="Y625" i="1"/>
  <c r="AA625" i="1" s="1"/>
  <c r="Y673" i="1"/>
  <c r="AA673" i="1" s="1"/>
  <c r="Y76" i="1"/>
  <c r="AA76" i="1" s="1"/>
  <c r="Y787" i="1"/>
  <c r="AA787" i="1" s="1"/>
  <c r="Y955" i="1"/>
  <c r="AA955" i="1" s="1"/>
  <c r="Y784" i="1"/>
  <c r="AA784" i="1" s="1"/>
  <c r="Y566" i="1"/>
  <c r="AA566" i="1" s="1"/>
  <c r="Y136" i="1"/>
  <c r="AA136" i="1" s="1"/>
  <c r="Y752" i="1"/>
  <c r="AA752" i="1" s="1"/>
  <c r="Y866" i="1"/>
  <c r="AA866" i="1" s="1"/>
  <c r="Y633" i="1"/>
  <c r="AA633" i="1" s="1"/>
  <c r="Y868" i="1"/>
  <c r="AA868" i="1" s="1"/>
  <c r="Y326" i="1"/>
  <c r="AA326" i="1" s="1"/>
  <c r="Y974" i="1"/>
  <c r="AA974" i="1" s="1"/>
  <c r="Y661" i="1"/>
  <c r="AA661" i="1" s="1"/>
  <c r="Y84" i="1"/>
  <c r="AA84" i="1" s="1"/>
  <c r="Y421" i="1"/>
  <c r="AA421" i="1" s="1"/>
  <c r="Y765" i="1"/>
  <c r="AA765" i="1" s="1"/>
  <c r="Y266" i="1"/>
  <c r="AA266" i="1" s="1"/>
  <c r="Y618" i="1"/>
  <c r="AA618" i="1" s="1"/>
  <c r="Y111" i="1"/>
  <c r="AA111" i="1" s="1"/>
  <c r="Y413" i="1"/>
  <c r="AA413" i="1" s="1"/>
  <c r="Y300" i="1"/>
  <c r="AA300" i="1" s="1"/>
  <c r="Y920" i="1"/>
  <c r="AA920" i="1" s="1"/>
  <c r="Y488" i="1"/>
  <c r="AA488" i="1" s="1"/>
  <c r="Y28" i="1"/>
  <c r="AA28" i="1" s="1"/>
  <c r="Y620" i="1"/>
  <c r="AA620" i="1" s="1"/>
  <c r="Y78" i="1"/>
  <c r="AA78" i="1" s="1"/>
  <c r="Y417" i="1"/>
  <c r="AA417" i="1" s="1"/>
  <c r="Y172" i="1"/>
  <c r="AA172" i="1" s="1"/>
  <c r="Y547" i="1"/>
  <c r="AA547" i="1" s="1"/>
  <c r="Y132" i="1"/>
  <c r="AA132" i="1" s="1"/>
  <c r="Y646" i="1"/>
  <c r="AA646" i="1" s="1"/>
  <c r="Y310" i="1"/>
  <c r="AA310" i="1" s="1"/>
  <c r="Y793" i="1"/>
  <c r="AA793" i="1" s="1"/>
  <c r="Y14" i="1"/>
  <c r="AA14" i="1" s="1"/>
  <c r="Y712" i="1"/>
  <c r="AA712" i="1" s="1"/>
  <c r="Y599" i="1"/>
  <c r="AA599" i="1" s="1"/>
  <c r="Y648" i="1"/>
  <c r="AA648" i="1" s="1"/>
  <c r="Y27" i="1"/>
  <c r="AA27" i="1" s="1"/>
  <c r="Y500" i="1"/>
  <c r="AA500" i="1" s="1"/>
  <c r="Y234" i="1"/>
  <c r="AA234" i="1" s="1"/>
  <c r="Y491" i="1"/>
  <c r="AA491" i="1" s="1"/>
  <c r="Y713" i="1"/>
  <c r="AA713" i="1" s="1"/>
  <c r="Y482" i="1"/>
  <c r="AA482" i="1" s="1"/>
  <c r="Y395" i="1"/>
  <c r="AA395" i="1" s="1"/>
  <c r="Y695" i="1"/>
  <c r="AA695" i="1" s="1"/>
  <c r="R674" i="1"/>
  <c r="Y227" i="1"/>
  <c r="AA227" i="1" s="1"/>
  <c r="Y996" i="1"/>
  <c r="AA996" i="1" s="1"/>
  <c r="Y9" i="1"/>
  <c r="AA9" i="1" s="1"/>
  <c r="Y438" i="1"/>
  <c r="AA438" i="1" s="1"/>
  <c r="Y715" i="1"/>
  <c r="AA715" i="1" s="1"/>
  <c r="Y514" i="1"/>
  <c r="AA514" i="1" s="1"/>
  <c r="Y455" i="1"/>
  <c r="AA455" i="1" s="1"/>
  <c r="Y616" i="1"/>
  <c r="AA616" i="1" s="1"/>
  <c r="Y3" i="1"/>
  <c r="AA3" i="1" s="1"/>
  <c r="R544" i="1"/>
  <c r="Y755" i="1"/>
  <c r="AA755" i="1" s="1"/>
  <c r="Y938" i="1"/>
  <c r="AA938" i="1" s="1"/>
  <c r="Y852" i="1"/>
  <c r="AA852" i="1" s="1"/>
  <c r="Y820" i="1"/>
  <c r="AA820" i="1" s="1"/>
  <c r="Y335" i="1"/>
  <c r="AA335" i="1" s="1"/>
  <c r="Y316" i="1"/>
  <c r="AA316" i="1" s="1"/>
  <c r="Y468" i="1"/>
  <c r="AA468" i="1" s="1"/>
  <c r="Y709" i="1"/>
  <c r="AA709" i="1" s="1"/>
  <c r="Y289" i="1"/>
  <c r="AA289" i="1" s="1"/>
  <c r="Y950" i="1"/>
  <c r="AA950" i="1" s="1"/>
  <c r="Y539" i="1"/>
  <c r="AA539" i="1" s="1"/>
  <c r="Y363" i="1"/>
  <c r="AA363" i="1" s="1"/>
  <c r="Y319" i="1"/>
  <c r="AA319" i="1" s="1"/>
  <c r="Y841" i="1"/>
  <c r="AA841" i="1" s="1"/>
  <c r="Y401" i="1"/>
  <c r="AA401" i="1" s="1"/>
  <c r="Y706" i="1"/>
  <c r="AA706" i="1" s="1"/>
  <c r="Y394" i="1"/>
  <c r="AA394" i="1" s="1"/>
  <c r="Y729" i="1"/>
  <c r="AA729" i="1" s="1"/>
  <c r="Y863" i="1"/>
  <c r="AA863" i="1" s="1"/>
  <c r="Y223" i="1"/>
  <c r="AA223" i="1" s="1"/>
  <c r="Y460" i="1"/>
  <c r="AA460" i="1" s="1"/>
  <c r="Y294" i="1"/>
  <c r="AA294" i="1" s="1"/>
  <c r="Y379" i="1"/>
  <c r="AA379" i="1" s="1"/>
  <c r="Y859" i="1"/>
  <c r="AA859" i="1" s="1"/>
  <c r="Y700" i="1"/>
  <c r="AA700" i="1" s="1"/>
  <c r="Y148" i="1"/>
  <c r="AA148" i="1" s="1"/>
  <c r="Y984" i="1"/>
  <c r="AA984" i="1" s="1"/>
  <c r="Y934" i="1"/>
  <c r="AA934" i="1" s="1"/>
  <c r="Y968" i="1"/>
  <c r="AA968" i="1" s="1"/>
  <c r="Y6" i="1"/>
  <c r="AA6" i="1" s="1"/>
  <c r="Y979" i="1"/>
  <c r="AA979" i="1" s="1"/>
  <c r="Y651" i="1"/>
  <c r="AA651" i="1" s="1"/>
  <c r="Y271" i="1"/>
  <c r="AA271" i="1" s="1"/>
  <c r="Y258" i="1"/>
  <c r="AA258" i="1" s="1"/>
  <c r="Y595" i="1"/>
  <c r="AA595" i="1" s="1"/>
  <c r="Y836" i="1"/>
  <c r="AA836" i="1" s="1"/>
  <c r="Y749" i="1"/>
  <c r="AA749" i="1" s="1"/>
  <c r="Y471" i="1"/>
  <c r="AA471" i="1" s="1"/>
  <c r="Y29" i="1"/>
  <c r="AA29" i="1" s="1"/>
  <c r="Y687" i="1"/>
  <c r="AA687" i="1" s="1"/>
  <c r="Y201" i="1"/>
  <c r="AA201" i="1" s="1"/>
  <c r="Y496" i="1"/>
  <c r="AA496" i="1" s="1"/>
  <c r="Y707" i="1"/>
  <c r="AA707" i="1" s="1"/>
  <c r="Y292" i="1"/>
  <c r="AA292" i="1" s="1"/>
  <c r="Y337" i="1"/>
  <c r="AA337" i="1" s="1"/>
  <c r="Y989" i="1"/>
  <c r="AA989" i="1" s="1"/>
  <c r="Y954" i="1"/>
  <c r="AA954" i="1" s="1"/>
  <c r="Y309" i="1"/>
  <c r="AA309" i="1" s="1"/>
  <c r="Y340" i="1"/>
  <c r="AA340" i="1" s="1"/>
  <c r="Y327" i="1"/>
  <c r="AA327" i="1" s="1"/>
  <c r="Y260" i="1"/>
  <c r="AA260" i="1" s="1"/>
  <c r="Y121" i="1"/>
  <c r="AA121" i="1" s="1"/>
  <c r="Y561" i="1"/>
  <c r="AA561" i="1" s="1"/>
  <c r="Y958" i="1"/>
  <c r="AA958" i="1" s="1"/>
  <c r="Y952" i="1"/>
  <c r="AA952" i="1" s="1"/>
  <c r="Y422" i="1"/>
  <c r="AA422" i="1" s="1"/>
  <c r="Y543" i="1"/>
  <c r="AA543" i="1" s="1"/>
  <c r="Y133" i="1"/>
  <c r="AA133" i="1" s="1"/>
  <c r="Y564" i="1"/>
  <c r="AA564" i="1" s="1"/>
  <c r="Y830" i="1"/>
  <c r="AA830" i="1" s="1"/>
  <c r="Y888" i="1"/>
  <c r="AA888" i="1" s="1"/>
  <c r="Y436" i="1"/>
  <c r="AA436" i="1" s="1"/>
  <c r="Y734" i="1"/>
  <c r="AA734" i="1" s="1"/>
  <c r="Y392" i="1"/>
  <c r="AA392" i="1" s="1"/>
  <c r="Y194" i="1"/>
  <c r="AA194" i="1" s="1"/>
  <c r="Y85" i="1"/>
  <c r="AA85" i="1" s="1"/>
  <c r="Y981" i="1"/>
  <c r="AA981" i="1" s="1"/>
  <c r="Y523" i="1"/>
  <c r="AA523" i="1" s="1"/>
  <c r="Y745" i="1"/>
  <c r="AA745" i="1" s="1"/>
  <c r="Y220" i="1"/>
  <c r="AA220" i="1" s="1"/>
  <c r="Y387" i="1"/>
  <c r="AA387" i="1" s="1"/>
  <c r="Y575" i="1"/>
  <c r="AA575" i="1" s="1"/>
  <c r="Y568" i="1"/>
  <c r="AA568" i="1" s="1"/>
  <c r="Y854" i="1"/>
  <c r="AA854" i="1" s="1"/>
  <c r="Y420" i="1"/>
  <c r="AA420" i="1" s="1"/>
  <c r="Y312" i="1"/>
  <c r="AA312" i="1" s="1"/>
  <c r="Y497" i="1"/>
  <c r="AA497" i="1" s="1"/>
  <c r="Y669" i="1"/>
  <c r="AA669" i="1" s="1"/>
  <c r="Y802" i="1"/>
  <c r="AA802" i="1" s="1"/>
  <c r="Y842" i="1"/>
  <c r="AA842" i="1" s="1"/>
  <c r="Y131" i="1"/>
  <c r="AA131" i="1" s="1"/>
  <c r="Y724" i="1"/>
  <c r="AA724" i="1" s="1"/>
  <c r="Y739" i="1"/>
  <c r="AA739" i="1" s="1"/>
  <c r="Y168" i="1"/>
  <c r="AA168" i="1" s="1"/>
  <c r="Y754" i="1"/>
  <c r="AA754" i="1" s="1"/>
  <c r="Y147" i="1"/>
  <c r="AA147" i="1" s="1"/>
  <c r="Y174" i="1"/>
  <c r="AA174" i="1" s="1"/>
  <c r="Y127" i="1"/>
  <c r="AA127" i="1" s="1"/>
  <c r="Y895" i="1"/>
  <c r="AA895" i="1" s="1"/>
  <c r="Y34" i="1"/>
  <c r="AA34" i="1" s="1"/>
  <c r="Y655" i="1"/>
  <c r="AA655" i="1" s="1"/>
  <c r="Y450" i="1"/>
  <c r="AA450" i="1" s="1"/>
  <c r="Y305" i="1"/>
  <c r="AA305" i="1" s="1"/>
  <c r="Y805" i="1"/>
  <c r="AA805" i="1" s="1"/>
  <c r="Y750" i="1"/>
  <c r="AA750" i="1" s="1"/>
  <c r="Y555" i="1"/>
  <c r="AA555" i="1" s="1"/>
  <c r="Y614" i="1"/>
  <c r="AA614" i="1" s="1"/>
  <c r="Y281" i="1"/>
  <c r="AA281" i="1" s="1"/>
  <c r="Y479" i="1"/>
  <c r="AA479" i="1" s="1"/>
  <c r="Y207" i="1"/>
  <c r="AA207" i="1" s="1"/>
  <c r="Y518" i="1"/>
  <c r="AA518" i="1" s="1"/>
  <c r="Y521" i="1"/>
  <c r="AA521" i="1" s="1"/>
  <c r="Y992" i="1"/>
  <c r="AA992" i="1" s="1"/>
  <c r="Y513" i="1"/>
  <c r="AA513" i="1" s="1"/>
  <c r="Y190" i="1"/>
  <c r="AA190" i="1" s="1"/>
  <c r="Y218" i="1"/>
  <c r="AA218" i="1" s="1"/>
  <c r="Y705" i="1"/>
  <c r="AA705" i="1" s="1"/>
  <c r="Y116" i="1"/>
  <c r="AA116" i="1" s="1"/>
  <c r="Y332" i="1"/>
  <c r="AA332" i="1" s="1"/>
  <c r="Y80" i="1"/>
  <c r="AA80" i="1" s="1"/>
  <c r="Y932" i="1"/>
  <c r="AA932" i="1" s="1"/>
  <c r="Y20" i="1"/>
  <c r="AA20" i="1" s="1"/>
  <c r="Y362" i="1"/>
  <c r="AA362" i="1" s="1"/>
  <c r="Y877" i="1"/>
  <c r="AA877" i="1" s="1"/>
  <c r="Y980" i="1"/>
  <c r="AA980" i="1" s="1"/>
  <c r="Y824" i="1"/>
  <c r="AA824" i="1" s="1"/>
  <c r="Y428" i="1"/>
  <c r="AA428" i="1" s="1"/>
  <c r="Y299" i="1"/>
  <c r="AA299" i="1" s="1"/>
  <c r="Y120" i="1"/>
  <c r="AA120" i="1" s="1"/>
  <c r="Y893" i="1"/>
  <c r="AA893" i="1" s="1"/>
  <c r="Y36" i="1"/>
  <c r="AA36" i="1" s="1"/>
  <c r="Y654" i="1"/>
  <c r="AA654" i="1" s="1"/>
  <c r="Y519" i="1"/>
  <c r="AA519" i="1" s="1"/>
  <c r="Y711" i="1"/>
  <c r="AA711" i="1" s="1"/>
  <c r="Y426" i="1"/>
  <c r="AA426" i="1" s="1"/>
  <c r="Y914" i="1"/>
  <c r="AA914" i="1" s="1"/>
  <c r="Y596" i="1"/>
  <c r="AA596" i="1" s="1"/>
  <c r="Y608" i="1"/>
  <c r="AA608" i="1" s="1"/>
  <c r="Y107" i="1"/>
  <c r="AA107" i="1" s="1"/>
  <c r="Y160" i="1"/>
  <c r="AA160" i="1" s="1"/>
  <c r="Y991" i="1"/>
  <c r="AA991" i="1" s="1"/>
  <c r="Y572" i="1"/>
  <c r="AA572" i="1" s="1"/>
  <c r="Y269" i="1"/>
  <c r="AA269" i="1" s="1"/>
  <c r="Y735" i="1"/>
  <c r="AA735" i="1" s="1"/>
  <c r="Y222" i="1"/>
  <c r="AA222" i="1" s="1"/>
  <c r="Y244" i="1"/>
  <c r="AA244" i="1" s="1"/>
  <c r="Y150" i="1"/>
  <c r="AA150" i="1" s="1"/>
  <c r="Y779" i="1"/>
  <c r="AA779" i="1" s="1"/>
  <c r="Y760" i="1"/>
  <c r="AA760" i="1" s="1"/>
  <c r="Y77" i="1"/>
  <c r="AA77" i="1" s="1"/>
  <c r="Y875" i="1"/>
  <c r="AA875" i="1" s="1"/>
  <c r="Y435" i="1"/>
  <c r="AA435" i="1" s="1"/>
  <c r="Y75" i="1"/>
  <c r="AA75" i="1" s="1"/>
  <c r="Y43" i="1"/>
  <c r="AA43" i="1" s="1"/>
  <c r="Y503" i="1"/>
  <c r="AA503" i="1" s="1"/>
  <c r="Y867" i="1"/>
  <c r="AA867" i="1" s="1"/>
  <c r="Y231" i="1"/>
  <c r="AA231" i="1" s="1"/>
  <c r="Y657" i="1"/>
  <c r="AA657" i="1" s="1"/>
  <c r="Y542" i="1"/>
  <c r="AA542" i="1" s="1"/>
  <c r="Y698" i="1"/>
  <c r="AA698" i="1" s="1"/>
  <c r="Y930" i="1"/>
  <c r="AA930" i="1" s="1"/>
  <c r="Y429" i="1"/>
  <c r="AA429" i="1" s="1"/>
  <c r="Y295" i="1"/>
  <c r="AA295" i="1" s="1"/>
  <c r="Y525" i="1"/>
  <c r="AA525" i="1" s="1"/>
  <c r="Y369" i="1"/>
  <c r="AA369" i="1" s="1"/>
  <c r="Y321" i="1"/>
  <c r="AA321" i="1" s="1"/>
  <c r="Y169" i="1"/>
  <c r="AA169" i="1" s="1"/>
  <c r="Y474" i="1"/>
  <c r="AA474" i="1" s="1"/>
  <c r="Y838" i="1"/>
  <c r="AA838" i="1" s="1"/>
  <c r="Y565" i="1"/>
  <c r="AA565" i="1" s="1"/>
  <c r="Q104" i="1"/>
  <c r="R104" i="1" s="1"/>
  <c r="Y104" i="1"/>
  <c r="AA104" i="1" s="1"/>
  <c r="Y306" i="1"/>
  <c r="AA306" i="1" s="1"/>
  <c r="Q274" i="1"/>
  <c r="R274" i="1" s="1"/>
  <c r="Y274" i="1"/>
  <c r="AA274" i="1" s="1"/>
  <c r="Q206" i="1"/>
  <c r="R206" i="1" s="1"/>
  <c r="Y206" i="1"/>
  <c r="AA206" i="1" s="1"/>
  <c r="Y902" i="1"/>
  <c r="AA902" i="1" s="1"/>
  <c r="Q356" i="1"/>
  <c r="R356" i="1" s="1"/>
  <c r="Q301" i="1"/>
  <c r="R301" i="1" s="1"/>
  <c r="Y301" i="1"/>
  <c r="AA301" i="1" s="1"/>
  <c r="Q92" i="1"/>
  <c r="R92" i="1" s="1"/>
  <c r="Y92" i="1"/>
  <c r="AA92" i="1" s="1"/>
  <c r="Q134" i="1"/>
  <c r="R134" i="1" s="1"/>
  <c r="Y134" i="1"/>
  <c r="AA134" i="1" s="1"/>
  <c r="Q185" i="1"/>
  <c r="R185" i="1" s="1"/>
  <c r="Y185" i="1"/>
  <c r="AA185" i="1" s="1"/>
  <c r="Y766" i="1"/>
  <c r="AA766" i="1" s="1"/>
  <c r="Q139" i="1"/>
  <c r="R139" i="1" s="1"/>
  <c r="Y139" i="1"/>
  <c r="AA139" i="1" s="1"/>
  <c r="Y946" i="1"/>
  <c r="AA946" i="1" s="1"/>
  <c r="Q749" i="1"/>
  <c r="R769" i="1"/>
  <c r="Y441" i="1"/>
  <c r="AA441" i="1" s="1"/>
  <c r="Y32" i="1"/>
  <c r="AA32" i="1" s="1"/>
  <c r="Y704" i="1"/>
  <c r="AA704" i="1" s="1"/>
  <c r="Y663" i="1"/>
  <c r="AA663" i="1" s="1"/>
  <c r="Y416" i="1"/>
  <c r="AA416" i="1" s="1"/>
  <c r="Q660" i="1"/>
  <c r="R660" i="1" s="1"/>
  <c r="Q926" i="1"/>
  <c r="R926" i="1" s="1"/>
  <c r="Y235" i="1"/>
  <c r="AA235" i="1" s="1"/>
  <c r="Y550" i="1"/>
  <c r="AA550" i="1" s="1"/>
  <c r="Q964" i="1"/>
  <c r="R964" i="1" s="1"/>
  <c r="Y964" i="1"/>
  <c r="AA964" i="1" s="1"/>
  <c r="Q187" i="1"/>
  <c r="R187" i="1" s="1"/>
  <c r="Y187" i="1"/>
  <c r="AA187" i="1" s="1"/>
  <c r="Y181" i="1"/>
  <c r="AA181" i="1" s="1"/>
  <c r="Q473" i="1"/>
  <c r="Y473" i="1"/>
  <c r="AA473" i="1" s="1"/>
  <c r="Y911" i="1"/>
  <c r="AA911" i="1" s="1"/>
  <c r="Y638" i="1"/>
  <c r="AA638" i="1" s="1"/>
  <c r="Y23" i="1"/>
  <c r="AA23" i="1" s="1"/>
  <c r="Y916" i="1"/>
  <c r="AA916" i="1" s="1"/>
  <c r="Y939" i="1"/>
  <c r="AA939" i="1" s="1"/>
  <c r="Y208" i="1"/>
  <c r="AA208" i="1" s="1"/>
  <c r="Y141" i="1"/>
  <c r="AA141" i="1" s="1"/>
  <c r="Q193" i="1"/>
  <c r="R193" i="1" s="1"/>
  <c r="Y193" i="1"/>
  <c r="AA193" i="1" s="1"/>
  <c r="Y11" i="1"/>
  <c r="AA11" i="1" s="1"/>
  <c r="Q436" i="1"/>
  <c r="R436" i="1" s="1"/>
  <c r="Q842" i="1"/>
  <c r="R842" i="1" s="1"/>
  <c r="Y1001" i="1"/>
  <c r="AA1001" i="1" s="1"/>
  <c r="Y919" i="1"/>
  <c r="AA919" i="1" s="1"/>
  <c r="Y204" i="1"/>
  <c r="AA204" i="1" s="1"/>
  <c r="Y88" i="1"/>
  <c r="AA88" i="1" s="1"/>
  <c r="Y307" i="1"/>
  <c r="AA307" i="1" s="1"/>
  <c r="Y640" i="1"/>
  <c r="AA640" i="1" s="1"/>
  <c r="Y664" i="1"/>
  <c r="AA664" i="1" s="1"/>
  <c r="Y674" i="1"/>
  <c r="AA674" i="1" s="1"/>
  <c r="Y278" i="1"/>
  <c r="AA278" i="1" s="1"/>
  <c r="Y628" i="1"/>
  <c r="AA628" i="1" s="1"/>
  <c r="Y578" i="1"/>
  <c r="AA578" i="1" s="1"/>
  <c r="Y535" i="1"/>
  <c r="AA535" i="1" s="1"/>
  <c r="Q587" i="1"/>
  <c r="R587" i="1" s="1"/>
  <c r="Y587" i="1"/>
  <c r="AA587" i="1" s="1"/>
  <c r="Y102" i="1"/>
  <c r="AA102" i="1" s="1"/>
  <c r="Y402" i="1"/>
  <c r="AA402" i="1" s="1"/>
  <c r="Q708" i="1"/>
  <c r="R708" i="1" s="1"/>
  <c r="Y708" i="1"/>
  <c r="AA708" i="1" s="1"/>
  <c r="Y683" i="1"/>
  <c r="AA683" i="1" s="1"/>
  <c r="Y527" i="1"/>
  <c r="AA527" i="1" s="1"/>
  <c r="Y773" i="1"/>
  <c r="AA773" i="1" s="1"/>
  <c r="Q773" i="1"/>
  <c r="R773" i="1" s="1"/>
  <c r="Y94" i="1"/>
  <c r="AA94" i="1" s="1"/>
  <c r="Y342" i="1"/>
  <c r="AA342" i="1" s="1"/>
  <c r="Q342" i="1"/>
  <c r="R342" i="1" s="1"/>
  <c r="Y64" i="1"/>
  <c r="AA64" i="1" s="1"/>
  <c r="Y457" i="1"/>
  <c r="AA457" i="1" s="1"/>
  <c r="Q44" i="1"/>
  <c r="R44" i="1" s="1"/>
  <c r="Y44" i="1"/>
  <c r="AA44" i="1" s="1"/>
  <c r="Q588" i="1"/>
  <c r="R588" i="1" s="1"/>
  <c r="Y588" i="1"/>
  <c r="AA588" i="1" s="1"/>
  <c r="Y610" i="1"/>
  <c r="AA610" i="1" s="1"/>
  <c r="Y434" i="1"/>
  <c r="AA434" i="1" s="1"/>
  <c r="Y403" i="1"/>
  <c r="AA403" i="1" s="1"/>
  <c r="Y656" i="1"/>
  <c r="AA656" i="1" s="1"/>
  <c r="Y562" i="1"/>
  <c r="AA562" i="1" s="1"/>
  <c r="Y658" i="1"/>
  <c r="AA658" i="1" s="1"/>
  <c r="Q733" i="1"/>
  <c r="R733" i="1" s="1"/>
  <c r="Y733" i="1"/>
  <c r="AA733" i="1" s="1"/>
  <c r="Y70" i="1"/>
  <c r="AA70" i="1" s="1"/>
  <c r="Y203" i="1"/>
  <c r="AA203" i="1" s="1"/>
  <c r="Y937" i="1"/>
  <c r="AA937" i="1" s="1"/>
  <c r="Y681" i="1"/>
  <c r="AA681" i="1" s="1"/>
  <c r="Y983" i="1"/>
  <c r="AA983" i="1" s="1"/>
  <c r="Y167" i="1"/>
  <c r="AA167" i="1" s="1"/>
  <c r="Y717" i="1"/>
  <c r="AA717" i="1" s="1"/>
  <c r="Y328" i="1"/>
  <c r="AA328" i="1" s="1"/>
  <c r="Q181" i="1"/>
  <c r="R181" i="1" s="1"/>
  <c r="Q11" i="1"/>
  <c r="R11" i="1" s="1"/>
  <c r="Y928" i="1"/>
  <c r="AA928" i="1" s="1"/>
  <c r="Y48" i="1"/>
  <c r="AA48" i="1" s="1"/>
  <c r="Y425" i="1"/>
  <c r="AA425" i="1" s="1"/>
  <c r="Y947" i="1"/>
  <c r="AA947" i="1" s="1"/>
  <c r="Y40" i="1"/>
  <c r="AA40" i="1" s="1"/>
  <c r="Y732" i="1"/>
  <c r="AA732" i="1" s="1"/>
  <c r="Y758" i="1"/>
  <c r="AA758" i="1" s="1"/>
  <c r="Y631" i="1"/>
  <c r="AA631" i="1" s="1"/>
  <c r="Y95" i="1"/>
  <c r="AA95" i="1" s="1"/>
  <c r="Y697" i="1"/>
  <c r="AA697" i="1" s="1"/>
  <c r="Y433" i="1"/>
  <c r="AA433" i="1" s="1"/>
  <c r="Y738" i="1"/>
  <c r="AA738" i="1" s="1"/>
  <c r="Y7" i="1"/>
  <c r="AA7" i="1" s="1"/>
  <c r="Y445" i="1"/>
  <c r="AA445" i="1" s="1"/>
  <c r="Y662" i="1"/>
  <c r="AA662" i="1" s="1"/>
  <c r="Y352" i="1"/>
  <c r="AA352" i="1" s="1"/>
  <c r="Y472" i="1"/>
  <c r="AA472" i="1" s="1"/>
  <c r="Y871" i="1"/>
  <c r="AA871" i="1" s="1"/>
  <c r="Y229" i="1"/>
  <c r="AA229" i="1" s="1"/>
  <c r="Y660" i="1"/>
  <c r="AA660" i="1" s="1"/>
  <c r="Q993" i="1"/>
  <c r="R993" i="1" s="1"/>
  <c r="Y993" i="1"/>
  <c r="AA993" i="1" s="1"/>
  <c r="Y158" i="1"/>
  <c r="AA158" i="1" s="1"/>
  <c r="Y869" i="1"/>
  <c r="AA869" i="1" s="1"/>
  <c r="Y560" i="1"/>
  <c r="AA560" i="1" s="1"/>
  <c r="Y353" i="1"/>
  <c r="AA353" i="1" s="1"/>
  <c r="Y769" i="1"/>
  <c r="AA769" i="1" s="1"/>
  <c r="Y149" i="1"/>
  <c r="AA149" i="1" s="1"/>
  <c r="Y972" i="1"/>
  <c r="AA972" i="1" s="1"/>
  <c r="Y903" i="1"/>
  <c r="AA903" i="1" s="1"/>
  <c r="Y686" i="1"/>
  <c r="AA686" i="1" s="1"/>
  <c r="Y804" i="1"/>
  <c r="AA804" i="1" s="1"/>
  <c r="Y58" i="1"/>
  <c r="AA58" i="1" s="1"/>
  <c r="Y753" i="1"/>
  <c r="AA753" i="1" s="1"/>
  <c r="Y283" i="1"/>
  <c r="AA283" i="1" s="1"/>
  <c r="Y431" i="1"/>
  <c r="AA431" i="1" s="1"/>
  <c r="Y123" i="1"/>
  <c r="AA123" i="1" s="1"/>
  <c r="Y8" i="1"/>
  <c r="AA8" i="1" s="1"/>
  <c r="Y612" i="1"/>
  <c r="AA612" i="1" s="1"/>
  <c r="Y65" i="1"/>
  <c r="AA65" i="1" s="1"/>
  <c r="Y454" i="1"/>
  <c r="AA454" i="1" s="1"/>
  <c r="Y142" i="1"/>
  <c r="AA142" i="1" s="1"/>
  <c r="Y86" i="1"/>
  <c r="AA86" i="1" s="1"/>
  <c r="Y546" i="1"/>
  <c r="AA546" i="1" s="1"/>
  <c r="Y909" i="1"/>
  <c r="AA909" i="1" s="1"/>
  <c r="Y277" i="1"/>
  <c r="AA277" i="1" s="1"/>
  <c r="Y230" i="1"/>
  <c r="AA230" i="1" s="1"/>
  <c r="Y536" i="1"/>
  <c r="AA536" i="1" s="1"/>
  <c r="Y642" i="1"/>
  <c r="AA642" i="1" s="1"/>
  <c r="Y815" i="1"/>
  <c r="AA815" i="1" s="1"/>
  <c r="Y17" i="1"/>
  <c r="AA17" i="1" s="1"/>
  <c r="Y757" i="1"/>
  <c r="AA757" i="1" s="1"/>
  <c r="Y126" i="1"/>
  <c r="AA126" i="1" s="1"/>
  <c r="Y377" i="1"/>
  <c r="AA377" i="1" s="1"/>
  <c r="Y38" i="1"/>
  <c r="AA38" i="1" s="1"/>
  <c r="Y502" i="1"/>
  <c r="AA502" i="1" s="1"/>
  <c r="Y990" i="1"/>
  <c r="AA990" i="1" s="1"/>
  <c r="Y348" i="1"/>
  <c r="AA348" i="1" s="1"/>
  <c r="Y173" i="1"/>
  <c r="AA173" i="1" s="1"/>
  <c r="Y508" i="1"/>
  <c r="AA508" i="1" s="1"/>
  <c r="Y239" i="1"/>
  <c r="AA239" i="1" s="1"/>
  <c r="Y63" i="1"/>
  <c r="AA63" i="1" s="1"/>
  <c r="Y532" i="1"/>
  <c r="AA532" i="1" s="1"/>
  <c r="Y504" i="1"/>
  <c r="AA504" i="1" s="1"/>
  <c r="Y689" i="1"/>
  <c r="AA689" i="1" s="1"/>
  <c r="Y325" i="1"/>
  <c r="AA325" i="1" s="1"/>
  <c r="Y60" i="1"/>
  <c r="AA60" i="1" s="1"/>
  <c r="Y721" i="1"/>
  <c r="AA721" i="1" s="1"/>
  <c r="Y451" i="1"/>
  <c r="AA451" i="1" s="1"/>
  <c r="Y581" i="1"/>
  <c r="AA581" i="1" s="1"/>
  <c r="Y988" i="1"/>
  <c r="AA988" i="1" s="1"/>
  <c r="Y106" i="1"/>
  <c r="AA106" i="1" s="1"/>
  <c r="Y858" i="1"/>
  <c r="AA858" i="1" s="1"/>
  <c r="Y816" i="1"/>
  <c r="AA816" i="1" s="1"/>
  <c r="Y897" i="1"/>
  <c r="AA897" i="1" s="1"/>
  <c r="Y957" i="1"/>
  <c r="AA957" i="1" s="1"/>
  <c r="Y797" i="1"/>
  <c r="AA797" i="1" s="1"/>
  <c r="Y796" i="1"/>
  <c r="AA796" i="1" s="1"/>
  <c r="Y607" i="1"/>
  <c r="AA607" i="1" s="1"/>
  <c r="Y632" i="1"/>
  <c r="AA632" i="1" s="1"/>
  <c r="Y273" i="1"/>
  <c r="AA273" i="1" s="1"/>
  <c r="Y241" i="1"/>
  <c r="AA241" i="1" s="1"/>
  <c r="Y953" i="1"/>
  <c r="AA953" i="1" s="1"/>
  <c r="Y215" i="1"/>
  <c r="AA215" i="1" s="1"/>
  <c r="Y264" i="1"/>
  <c r="AA264" i="1" s="1"/>
  <c r="R763" i="1"/>
  <c r="Y279" i="1"/>
  <c r="AA279" i="1" s="1"/>
  <c r="Y397" i="1"/>
  <c r="AA397" i="1" s="1"/>
  <c r="Y101" i="1"/>
  <c r="AA101" i="1" s="1"/>
  <c r="Y250" i="1"/>
  <c r="AA250" i="1" s="1"/>
  <c r="Y320" i="1"/>
  <c r="AA320" i="1" s="1"/>
  <c r="Y219" i="1"/>
  <c r="AA219" i="1" s="1"/>
  <c r="Y286" i="1"/>
  <c r="AA286" i="1" s="1"/>
  <c r="Y463" i="1"/>
  <c r="AA463" i="1" s="1"/>
  <c r="Y791" i="1"/>
  <c r="AA791" i="1" s="1"/>
  <c r="Y399" i="1"/>
  <c r="AA399" i="1" s="1"/>
  <c r="Y210" i="1"/>
  <c r="AA210" i="1" s="1"/>
  <c r="Y857" i="1"/>
  <c r="AA857" i="1" s="1"/>
  <c r="Y810" i="1"/>
  <c r="AA810" i="1" s="1"/>
  <c r="Y356" i="1"/>
  <c r="AA356" i="1" s="1"/>
  <c r="Y609" i="1"/>
  <c r="AA609" i="1" s="1"/>
  <c r="Y694" i="1"/>
  <c r="AA694" i="1" s="1"/>
  <c r="Y688" i="1"/>
  <c r="AA688" i="1" s="1"/>
  <c r="Y378" i="1"/>
  <c r="AA378" i="1" s="1"/>
  <c r="Y623" i="1"/>
  <c r="AA623" i="1" s="1"/>
  <c r="Y89" i="1"/>
  <c r="AA89" i="1" s="1"/>
  <c r="Y191" i="1"/>
  <c r="AA191" i="1" s="1"/>
  <c r="Y347" i="1"/>
  <c r="AA347" i="1" s="1"/>
  <c r="Y198" i="1"/>
  <c r="AA198" i="1" s="1"/>
  <c r="Y303" i="1"/>
  <c r="AA303" i="1" s="1"/>
  <c r="Y923" i="1"/>
  <c r="AA923" i="1" s="1"/>
  <c r="Y843" i="1"/>
  <c r="AA843" i="1" s="1"/>
  <c r="Y826" i="1"/>
  <c r="AA826" i="1" s="1"/>
  <c r="Y557" i="1"/>
  <c r="AA557" i="1" s="1"/>
  <c r="Y443" i="1"/>
  <c r="AA443" i="1" s="1"/>
  <c r="Y33" i="1"/>
  <c r="AA33" i="1" s="1"/>
  <c r="Y308" i="1"/>
  <c r="AA308" i="1" s="1"/>
  <c r="Y380" i="1"/>
  <c r="AA380" i="1" s="1"/>
  <c r="Y448" i="1"/>
  <c r="AA448" i="1" s="1"/>
  <c r="Y647" i="1"/>
  <c r="AA647" i="1" s="1"/>
  <c r="Y678" i="1"/>
  <c r="AA678" i="1" s="1"/>
  <c r="Y355" i="1"/>
  <c r="AA355" i="1" s="1"/>
  <c r="Y786" i="1"/>
  <c r="AA786" i="1" s="1"/>
  <c r="Y961" i="1"/>
  <c r="AA961" i="1" s="1"/>
  <c r="Y589" i="1"/>
  <c r="AA589" i="1" s="1"/>
  <c r="Y30" i="1"/>
  <c r="AA30" i="1" s="1"/>
  <c r="Y528" i="1"/>
  <c r="AA528" i="1" s="1"/>
  <c r="Y200" i="1"/>
  <c r="AA200" i="1" s="1"/>
  <c r="Y256" i="1"/>
  <c r="AA256" i="1" s="1"/>
  <c r="Y270" i="1"/>
  <c r="AA270" i="1" s="1"/>
  <c r="Y15" i="1"/>
  <c r="AA15" i="1" s="1"/>
  <c r="Y221" i="1"/>
  <c r="AA221" i="1" s="1"/>
  <c r="Y644" i="1"/>
  <c r="AA644" i="1" s="1"/>
  <c r="Y35" i="1"/>
  <c r="AA35" i="1" s="1"/>
  <c r="Y795" i="1"/>
  <c r="AA795" i="1" s="1"/>
  <c r="Y366" i="1"/>
  <c r="AA366" i="1" s="1"/>
  <c r="Y833" i="1"/>
  <c r="AA833" i="1" s="1"/>
  <c r="Y112" i="1"/>
  <c r="AA112" i="1" s="1"/>
  <c r="Y37" i="1"/>
  <c r="AA37" i="1" s="1"/>
  <c r="Y936" i="1"/>
  <c r="AA936" i="1" s="1"/>
  <c r="Y364" i="1"/>
  <c r="AA364" i="1" s="1"/>
  <c r="Y385" i="1"/>
  <c r="AA385" i="1" s="1"/>
  <c r="Y509" i="1"/>
  <c r="AA509" i="1" s="1"/>
  <c r="Y245" i="1"/>
  <c r="AA245" i="1" s="1"/>
  <c r="Y45" i="1"/>
  <c r="AA45" i="1" s="1"/>
  <c r="Y323" i="1"/>
  <c r="AA323" i="1" s="1"/>
  <c r="Y590" i="1"/>
  <c r="AA590" i="1" s="1"/>
  <c r="Y74" i="1"/>
  <c r="AA74" i="1" s="1"/>
  <c r="Y196" i="1"/>
  <c r="AA196" i="1" s="1"/>
  <c r="Y931" i="1"/>
  <c r="AA931" i="1" s="1"/>
  <c r="Y635" i="1"/>
  <c r="AA635" i="1" s="1"/>
  <c r="Y696" i="1"/>
  <c r="AA696" i="1" s="1"/>
  <c r="Y24" i="1"/>
  <c r="AA24" i="1" s="1"/>
  <c r="Y998" i="1"/>
  <c r="AA998" i="1" s="1"/>
  <c r="Y799" i="1"/>
  <c r="AA799" i="1" s="1"/>
  <c r="Y873" i="1"/>
  <c r="AA873" i="1" s="1"/>
  <c r="Y840" i="1"/>
  <c r="AA840" i="1" s="1"/>
  <c r="Y622" i="1"/>
  <c r="AA622" i="1" s="1"/>
  <c r="Y161" i="1"/>
  <c r="AA161" i="1" s="1"/>
  <c r="Y96" i="1"/>
  <c r="AA96" i="1" s="1"/>
  <c r="Y367" i="1"/>
  <c r="AA367" i="1" s="1"/>
  <c r="Y489" i="1"/>
  <c r="AA489" i="1" s="1"/>
  <c r="Y583" i="1"/>
  <c r="AA583" i="1" s="1"/>
  <c r="Y99" i="1"/>
  <c r="AA99" i="1" s="1"/>
  <c r="Y807" i="1"/>
  <c r="AA807" i="1" s="1"/>
  <c r="Y461" i="1"/>
  <c r="AA461" i="1" s="1"/>
  <c r="Y511" i="1"/>
  <c r="AA511" i="1" s="1"/>
  <c r="Y331" i="1"/>
  <c r="AA331" i="1" s="1"/>
  <c r="Y459" i="1"/>
  <c r="AA459" i="1" s="1"/>
  <c r="Y751" i="1"/>
  <c r="AA751" i="1" s="1"/>
  <c r="Y912" i="1"/>
  <c r="AA912" i="1" s="1"/>
  <c r="Y812" i="1"/>
  <c r="AA812" i="1" s="1"/>
  <c r="Y189" i="1"/>
  <c r="AA189" i="1" s="1"/>
  <c r="Y493" i="1"/>
  <c r="AA493" i="1" s="1"/>
  <c r="Y163" i="1"/>
  <c r="AA163" i="1" s="1"/>
  <c r="Y940" i="1"/>
  <c r="AA940" i="1" s="1"/>
  <c r="Y216" i="1"/>
  <c r="AA216" i="1" s="1"/>
  <c r="Y684" i="1"/>
  <c r="AA684" i="1" s="1"/>
  <c r="Y259" i="1"/>
  <c r="AA259" i="1" s="1"/>
  <c r="Y975" i="1"/>
  <c r="AA975" i="1" s="1"/>
  <c r="Y49" i="1"/>
  <c r="AA49" i="1" s="1"/>
  <c r="Y291" i="1"/>
  <c r="AA291" i="1" s="1"/>
  <c r="Y51" i="1"/>
  <c r="AA51" i="1" s="1"/>
  <c r="Y398" i="1"/>
  <c r="AA398" i="1" s="1"/>
  <c r="Y109" i="1"/>
  <c r="AA109" i="1" s="1"/>
  <c r="Y349" i="1"/>
  <c r="AA349" i="1" s="1"/>
  <c r="Y430" i="1"/>
  <c r="AA430" i="1" s="1"/>
  <c r="Y317" i="1"/>
  <c r="AA317" i="1" s="1"/>
  <c r="Y373" i="1"/>
  <c r="AA373" i="1" s="1"/>
  <c r="Y692" i="1"/>
  <c r="AA692" i="1" s="1"/>
  <c r="Y39" i="1"/>
  <c r="AA39" i="1" s="1"/>
  <c r="Y987" i="1"/>
  <c r="AA987" i="1" s="1"/>
  <c r="Y345" i="1"/>
  <c r="AA345" i="1" s="1"/>
  <c r="Y251" i="1"/>
  <c r="AA251" i="1" s="1"/>
  <c r="Y237" i="1"/>
  <c r="AA237" i="1" s="1"/>
  <c r="Y929" i="1"/>
  <c r="AA929" i="1" s="1"/>
  <c r="Y334" i="1"/>
  <c r="AA334" i="1" s="1"/>
  <c r="Y97" i="1"/>
  <c r="AA97" i="1" s="1"/>
  <c r="Y710" i="1"/>
  <c r="AA710" i="1" s="1"/>
  <c r="Y365" i="1"/>
  <c r="AA365" i="1" s="1"/>
  <c r="Y728" i="1"/>
  <c r="AA728" i="1" s="1"/>
  <c r="Y814" i="1"/>
  <c r="AA814" i="1" s="1"/>
  <c r="Y412" i="1"/>
  <c r="AA412" i="1" s="1"/>
  <c r="Y490" i="1"/>
  <c r="AA490" i="1" s="1"/>
  <c r="Y679" i="1"/>
  <c r="AA679" i="1" s="1"/>
  <c r="Y730" i="1"/>
  <c r="AA730" i="1" s="1"/>
  <c r="Y87" i="1"/>
  <c r="AA87" i="1" s="1"/>
  <c r="Y354" i="1"/>
  <c r="AA354" i="1" s="1"/>
  <c r="Y699" i="1"/>
  <c r="AA699" i="1" s="1"/>
  <c r="Y675" i="1"/>
  <c r="AA675" i="1" s="1"/>
  <c r="Y941" i="1"/>
  <c r="AA941" i="1" s="1"/>
  <c r="Y827" i="1"/>
  <c r="AA827" i="1" s="1"/>
  <c r="Y516" i="1"/>
  <c r="AA516" i="1" s="1"/>
  <c r="Y238" i="1"/>
  <c r="AA238" i="1" s="1"/>
  <c r="Y880" i="1"/>
  <c r="AA880" i="1" s="1"/>
  <c r="Y282" i="1"/>
  <c r="AA282" i="1" s="1"/>
  <c r="Y90" i="1"/>
  <c r="AA90" i="1" s="1"/>
  <c r="Y442" i="1"/>
  <c r="AA442" i="1" s="1"/>
  <c r="Y598" i="1"/>
  <c r="AA598" i="1" s="1"/>
  <c r="Y690" i="1"/>
  <c r="AA690" i="1" s="1"/>
  <c r="Y284" i="1"/>
  <c r="AA284" i="1" s="1"/>
  <c r="Y69" i="1"/>
  <c r="AA69" i="1" s="1"/>
  <c r="Y650" i="1"/>
  <c r="AA650" i="1" s="1"/>
  <c r="Y390" i="1"/>
  <c r="AA390" i="1" s="1"/>
  <c r="Y921" i="1"/>
  <c r="AA921" i="1" s="1"/>
  <c r="Y386" i="1"/>
  <c r="AA386" i="1" s="1"/>
  <c r="Y389" i="1"/>
  <c r="AA389" i="1" s="1"/>
  <c r="Y179" i="1"/>
  <c r="AA179" i="1" s="1"/>
  <c r="Y470" i="1"/>
  <c r="AA470" i="1" s="1"/>
  <c r="Y154" i="1"/>
  <c r="AA154" i="1" s="1"/>
  <c r="Y553" i="1"/>
  <c r="AA553" i="1" s="1"/>
  <c r="Y144" i="1"/>
  <c r="AA144" i="1" s="1"/>
  <c r="Y970" i="1"/>
  <c r="AA970" i="1" s="1"/>
  <c r="Y404" i="1"/>
  <c r="AA404" i="1" s="1"/>
  <c r="Y552" i="1"/>
  <c r="AA552" i="1" s="1"/>
  <c r="Y846" i="1"/>
  <c r="AA846" i="1" s="1"/>
  <c r="Y449" i="1"/>
  <c r="AA449" i="1" s="1"/>
  <c r="Y384" i="1"/>
  <c r="AA384" i="1" s="1"/>
  <c r="Y659" i="1"/>
  <c r="AA659" i="1" s="1"/>
  <c r="Y419" i="1"/>
  <c r="AA419" i="1" s="1"/>
  <c r="Y774" i="1"/>
  <c r="AA774" i="1" s="1"/>
  <c r="Y285" i="1"/>
  <c r="AA285" i="1" s="1"/>
  <c r="Y512" i="1"/>
  <c r="AA512" i="1" s="1"/>
  <c r="Y376" i="1"/>
  <c r="AA376" i="1" s="1"/>
  <c r="Y982" i="1"/>
  <c r="AA982" i="1" s="1"/>
  <c r="Q458" i="1"/>
  <c r="R458" i="1" s="1"/>
  <c r="Y458" i="1"/>
  <c r="AA458" i="1" s="1"/>
  <c r="Q262" i="1"/>
  <c r="R262" i="1" s="1"/>
  <c r="Y262" i="1"/>
  <c r="AA262" i="1" s="1"/>
  <c r="Y537" i="1"/>
  <c r="AA537" i="1" s="1"/>
  <c r="Q507" i="1"/>
  <c r="R507" i="1" s="1"/>
  <c r="Y507" i="1"/>
  <c r="AA507" i="1" s="1"/>
  <c r="Q456" i="1"/>
  <c r="R456" i="1" s="1"/>
  <c r="Y456" i="1"/>
  <c r="AA456" i="1" s="1"/>
  <c r="Q864" i="1"/>
  <c r="R864" i="1" s="1"/>
  <c r="Y864" i="1"/>
  <c r="AA864" i="1" s="1"/>
  <c r="Q176" i="1"/>
  <c r="R176" i="1" s="1"/>
  <c r="Y176" i="1"/>
  <c r="AA176" i="1" s="1"/>
  <c r="Q887" i="1"/>
  <c r="R887" i="1" s="1"/>
  <c r="Y887" i="1"/>
  <c r="AA887" i="1" s="1"/>
  <c r="Q798" i="1"/>
  <c r="R798" i="1" s="1"/>
  <c r="Y798" i="1"/>
  <c r="AA798" i="1" s="1"/>
  <c r="Q192" i="1"/>
  <c r="R192" i="1" s="1"/>
  <c r="Y192" i="1"/>
  <c r="AA192" i="1" s="1"/>
  <c r="Q611" i="1"/>
  <c r="R611" i="1" s="1"/>
  <c r="Y611" i="1"/>
  <c r="AA611" i="1" s="1"/>
  <c r="Q50" i="1"/>
  <c r="R50" i="1" s="1"/>
  <c r="Y50" i="1"/>
  <c r="AA50" i="1" s="1"/>
  <c r="Q874" i="1"/>
  <c r="R874" i="1" s="1"/>
  <c r="Y874" i="1"/>
  <c r="AA874" i="1" s="1"/>
  <c r="Y314" i="1"/>
  <c r="AA314" i="1" s="1"/>
  <c r="Y357" i="1"/>
  <c r="AA357" i="1" s="1"/>
  <c r="Y114" i="1"/>
  <c r="AA114" i="1" s="1"/>
  <c r="Y582" i="1"/>
  <c r="AA582" i="1" s="1"/>
  <c r="Y847" i="1"/>
  <c r="AA847" i="1" s="1"/>
  <c r="Y67" i="1"/>
  <c r="AA67" i="1" s="1"/>
  <c r="Y822" i="1"/>
  <c r="AA822" i="1" s="1"/>
  <c r="Y453" i="1"/>
  <c r="AA453" i="1" s="1"/>
  <c r="Q296" i="1"/>
  <c r="R296" i="1" s="1"/>
  <c r="Y296" i="1"/>
  <c r="AA296" i="1" s="1"/>
  <c r="Q718" i="1"/>
  <c r="R718" i="1" s="1"/>
  <c r="Y718" i="1"/>
  <c r="AA718" i="1" s="1"/>
  <c r="Q197" i="1"/>
  <c r="R197" i="1" s="1"/>
  <c r="Y197" i="1"/>
  <c r="AA197" i="1" s="1"/>
  <c r="Y672" i="1"/>
  <c r="AA672" i="1" s="1"/>
  <c r="Q374" i="1"/>
  <c r="R374" i="1" s="1"/>
  <c r="Y374" i="1"/>
  <c r="AA374" i="1" s="1"/>
  <c r="Q267" i="1"/>
  <c r="R267" i="1" s="1"/>
  <c r="Y267" i="1"/>
  <c r="AA267" i="1" s="1"/>
  <c r="Q899" i="1"/>
  <c r="R899" i="1" s="1"/>
  <c r="Y899" i="1"/>
  <c r="AA899" i="1" s="1"/>
  <c r="Y676" i="1"/>
  <c r="AA676" i="1" s="1"/>
  <c r="Q522" i="1"/>
  <c r="R522" i="1" s="1"/>
  <c r="Y522" i="1"/>
  <c r="AA522" i="1" s="1"/>
  <c r="Y571" i="1"/>
  <c r="AA571" i="1" s="1"/>
  <c r="Y2" i="1"/>
  <c r="AA2" i="1" s="1"/>
  <c r="Q759" i="1"/>
  <c r="R759" i="1" s="1"/>
  <c r="Y759" i="1"/>
  <c r="AA759" i="1" s="1"/>
  <c r="Q956" i="1"/>
  <c r="R956" i="1" s="1"/>
  <c r="Y956" i="1"/>
  <c r="AA956" i="1" s="1"/>
  <c r="Q476" i="1"/>
  <c r="R476" i="1" s="1"/>
  <c r="Y476" i="1"/>
  <c r="AA476" i="1" s="1"/>
  <c r="Y949" i="1"/>
  <c r="AA949" i="1" s="1"/>
  <c r="Y110" i="1"/>
  <c r="AA110" i="1" s="1"/>
  <c r="Y359" i="1"/>
  <c r="AA359" i="1" s="1"/>
  <c r="Y159" i="1"/>
  <c r="AA159" i="1" s="1"/>
  <c r="Y100" i="1"/>
  <c r="AA100" i="1" s="1"/>
  <c r="Y183" i="1"/>
  <c r="AA183" i="1" s="1"/>
  <c r="Y130" i="1"/>
  <c r="AA130" i="1" s="1"/>
  <c r="Y685" i="1"/>
  <c r="AA685" i="1" s="1"/>
  <c r="Y652" i="1"/>
  <c r="AA652" i="1" s="1"/>
  <c r="Y966" i="1"/>
  <c r="AA966" i="1" s="1"/>
  <c r="Q879" i="1"/>
  <c r="R879" i="1" s="1"/>
  <c r="Y879" i="1"/>
  <c r="AA879" i="1" s="1"/>
  <c r="Q720" i="1"/>
  <c r="Y720" i="1"/>
  <c r="AA720" i="1" s="1"/>
  <c r="Q480" i="1"/>
  <c r="R480" i="1" s="1"/>
  <c r="Y480" i="1"/>
  <c r="AA480" i="1" s="1"/>
  <c r="Y1000" i="1"/>
  <c r="AA1000" i="1" s="1"/>
  <c r="Q693" i="1"/>
  <c r="R693" i="1" s="1"/>
  <c r="Y693" i="1"/>
  <c r="AA693" i="1" s="1"/>
  <c r="Q156" i="1"/>
  <c r="R156" i="1" s="1"/>
  <c r="Y156" i="1"/>
  <c r="AA156" i="1" s="1"/>
  <c r="Y809" i="1"/>
  <c r="AA809" i="1" s="1"/>
  <c r="Y741" i="1"/>
  <c r="AA741" i="1" s="1"/>
  <c r="Q782" i="1"/>
  <c r="R782" i="1" s="1"/>
  <c r="Y782" i="1"/>
  <c r="AA782" i="1" s="1"/>
  <c r="Y313" i="1"/>
  <c r="AA313" i="1" s="1"/>
  <c r="Y370" i="1"/>
  <c r="AA370" i="1" s="1"/>
  <c r="Q701" i="1"/>
  <c r="R701" i="1" s="1"/>
  <c r="Y716" i="1"/>
  <c r="AA716" i="1" s="1"/>
  <c r="Y125" i="1"/>
  <c r="AA125" i="1" s="1"/>
  <c r="Q350" i="1"/>
  <c r="R350" i="1" s="1"/>
  <c r="Y350" i="1"/>
  <c r="AA350" i="1" s="1"/>
  <c r="Q855" i="1"/>
  <c r="R855" i="1" s="1"/>
  <c r="Y855" i="1"/>
  <c r="AA855" i="1" s="1"/>
  <c r="Q466" i="1"/>
  <c r="R466" i="1" s="1"/>
  <c r="Y466" i="1"/>
  <c r="AA466" i="1" s="1"/>
  <c r="Q645" i="1"/>
  <c r="R645" i="1" s="1"/>
  <c r="Y645" i="1"/>
  <c r="AA645" i="1" s="1"/>
  <c r="Q634" i="1"/>
  <c r="R634" i="1" s="1"/>
  <c r="Y634" i="1"/>
  <c r="AA634" i="1" s="1"/>
  <c r="Q744" i="1"/>
  <c r="R744" i="1" s="1"/>
  <c r="Y744" i="1"/>
  <c r="AA744" i="1" s="1"/>
  <c r="Y580" i="1"/>
  <c r="AA580" i="1" s="1"/>
  <c r="Y31" i="1"/>
  <c r="AA31" i="1" s="1"/>
  <c r="R908" i="1"/>
  <c r="Y926" i="1"/>
  <c r="AA926" i="1" s="1"/>
  <c r="Y538" i="1"/>
  <c r="AA538" i="1" s="1"/>
  <c r="Y444" i="1"/>
  <c r="AA444" i="1" s="1"/>
  <c r="Y900" i="1"/>
  <c r="AA900" i="1" s="1"/>
  <c r="Q410" i="1"/>
  <c r="R410" i="1" s="1"/>
  <c r="Y410" i="1"/>
  <c r="AA410" i="1" s="1"/>
  <c r="Y82" i="1"/>
  <c r="AA82" i="1" s="1"/>
  <c r="Y862" i="1"/>
  <c r="AA862" i="1" s="1"/>
  <c r="Q601" i="1"/>
  <c r="R601" i="1" s="1"/>
  <c r="Y601" i="1"/>
  <c r="AA601" i="1" s="1"/>
  <c r="Q591" i="1"/>
  <c r="R591" i="1" s="1"/>
  <c r="Y591" i="1"/>
  <c r="AA591" i="1" s="1"/>
  <c r="Y62" i="1"/>
  <c r="AA62" i="1" s="1"/>
  <c r="Q817" i="1"/>
  <c r="R817" i="1" s="1"/>
  <c r="Y817" i="1"/>
  <c r="AA817" i="1" s="1"/>
  <c r="Y653" i="1"/>
  <c r="AA653" i="1" s="1"/>
  <c r="Y226" i="1"/>
  <c r="AA226" i="1" s="1"/>
  <c r="Y714" i="1"/>
  <c r="AA714" i="1" s="1"/>
  <c r="Y756" i="1"/>
  <c r="AA756" i="1" s="1"/>
  <c r="Y46" i="1"/>
  <c r="AA46" i="1" s="1"/>
  <c r="Y333" i="1"/>
  <c r="AA333" i="1" s="1"/>
  <c r="Q72" i="1"/>
  <c r="R72" i="1" s="1"/>
  <c r="Y72" i="1"/>
  <c r="AA72" i="1" s="1"/>
  <c r="Q182" i="1"/>
  <c r="R182" i="1" s="1"/>
  <c r="Y182" i="1"/>
  <c r="AA182" i="1" s="1"/>
  <c r="Q180" i="1"/>
  <c r="R180" i="1" s="1"/>
  <c r="Y180" i="1"/>
  <c r="AA180" i="1" s="1"/>
  <c r="Q315" i="1"/>
  <c r="R315" i="1" s="1"/>
  <c r="Y315" i="1"/>
  <c r="AA315" i="1" s="1"/>
  <c r="Y485" i="1"/>
  <c r="AA485" i="1" s="1"/>
  <c r="Y261" i="1"/>
  <c r="AA261" i="1" s="1"/>
  <c r="Y563" i="1"/>
  <c r="AA563" i="1" s="1"/>
  <c r="Y783" i="1"/>
  <c r="AA783" i="1" s="1"/>
  <c r="R122" i="1"/>
  <c r="Y246" i="1"/>
  <c r="AA246" i="1" s="1"/>
  <c r="Y794" i="1"/>
  <c r="AA794" i="1" s="1"/>
  <c r="Y971" i="1"/>
  <c r="AA971" i="1" s="1"/>
  <c r="Y414" i="1"/>
  <c r="AA414" i="1" s="1"/>
  <c r="Y324" i="1"/>
  <c r="AA324" i="1" s="1"/>
  <c r="Y600" i="1"/>
  <c r="AA600" i="1" s="1"/>
  <c r="Y908" i="1"/>
  <c r="AA908" i="1" s="1"/>
  <c r="Y140" i="1"/>
  <c r="AA140" i="1" s="1"/>
  <c r="Y775" i="1"/>
  <c r="AA775" i="1" s="1"/>
  <c r="Y545" i="1"/>
  <c r="AA545" i="1" s="1"/>
  <c r="Y263" i="1"/>
  <c r="AA263" i="1" s="1"/>
  <c r="Y883" i="1"/>
  <c r="AA883" i="1" s="1"/>
  <c r="Y484" i="1"/>
  <c r="AA484" i="1" s="1"/>
  <c r="Q670" i="1"/>
  <c r="R670" i="1" s="1"/>
  <c r="Q213" i="1"/>
  <c r="R213" i="1" s="1"/>
  <c r="Y213" i="1"/>
  <c r="AA213" i="1" s="1"/>
  <c r="Q452" i="1"/>
  <c r="R452" i="1" s="1"/>
  <c r="Y452" i="1"/>
  <c r="AA452" i="1" s="1"/>
  <c r="Q411" i="1"/>
  <c r="R411" i="1" s="1"/>
  <c r="Y411" i="1"/>
  <c r="AA411" i="1" s="1"/>
  <c r="Q361" i="1"/>
  <c r="R361" i="1" s="1"/>
  <c r="Y361" i="1"/>
  <c r="AA361" i="1" s="1"/>
  <c r="Q719" i="1"/>
  <c r="R719" i="1" s="1"/>
  <c r="Y719" i="1"/>
  <c r="AA719" i="1" s="1"/>
  <c r="Q469" i="1"/>
  <c r="R469" i="1" s="1"/>
  <c r="Y469" i="1"/>
  <c r="AA469" i="1" s="1"/>
  <c r="Q105" i="1"/>
  <c r="R105" i="1" s="1"/>
  <c r="Y105" i="1"/>
  <c r="AA105" i="1" s="1"/>
  <c r="Q834" i="1"/>
  <c r="R834" i="1" s="1"/>
  <c r="Y834" i="1"/>
  <c r="AA834" i="1" s="1"/>
  <c r="Y943" i="1"/>
  <c r="AA943" i="1" s="1"/>
  <c r="Q848" i="1"/>
  <c r="R848" i="1" s="1"/>
  <c r="Y848" i="1"/>
  <c r="AA848" i="1" s="1"/>
  <c r="Q878" i="1"/>
  <c r="R878" i="1" s="1"/>
  <c r="Y878" i="1"/>
  <c r="AA878" i="1" s="1"/>
  <c r="Q26" i="1"/>
  <c r="R26" i="1" s="1"/>
  <c r="Y26" i="1"/>
  <c r="AA26" i="1" s="1"/>
  <c r="Q839" i="1"/>
  <c r="R839" i="1" s="1"/>
  <c r="Y839" i="1"/>
  <c r="AA839" i="1" s="1"/>
  <c r="Q358" i="1"/>
  <c r="R358" i="1" s="1"/>
  <c r="Y358" i="1"/>
  <c r="AA358" i="1" s="1"/>
  <c r="Y737" i="1"/>
  <c r="AA737" i="1" s="1"/>
  <c r="Q808" i="1"/>
  <c r="R808" i="1" s="1"/>
  <c r="Y808" i="1"/>
  <c r="AA808" i="1" s="1"/>
  <c r="Y526" i="1"/>
  <c r="AA526" i="1" s="1"/>
  <c r="Q526" i="1"/>
  <c r="Q643" i="1"/>
  <c r="R643" i="1" s="1"/>
  <c r="Y643" i="1"/>
  <c r="AA643" i="1" s="1"/>
  <c r="Q657" i="1"/>
  <c r="R657" i="1" s="1"/>
  <c r="Q770" i="1"/>
  <c r="R770" i="1" s="1"/>
  <c r="Y770" i="1"/>
  <c r="AA770" i="1" s="1"/>
  <c r="Q776" i="1"/>
  <c r="R776" i="1" s="1"/>
  <c r="Y776" i="1"/>
  <c r="AA776" i="1" s="1"/>
  <c r="Q506" i="1"/>
  <c r="Y506" i="1"/>
  <c r="AA506" i="1" s="1"/>
  <c r="Q986" i="1"/>
  <c r="R986" i="1" s="1"/>
  <c r="Y986" i="1"/>
  <c r="AA986" i="1" s="1"/>
  <c r="Q108" i="1"/>
  <c r="R108" i="1" s="1"/>
  <c r="Y108" i="1"/>
  <c r="AA108" i="1" s="1"/>
  <c r="Y152" i="1"/>
  <c r="AA152" i="1" s="1"/>
  <c r="Y746" i="1"/>
  <c r="AA746" i="1" s="1"/>
  <c r="Q344" i="1"/>
  <c r="R344" i="1" s="1"/>
  <c r="Y344" i="1"/>
  <c r="AA344" i="1" s="1"/>
  <c r="Y792" i="1"/>
  <c r="AA792" i="1" s="1"/>
  <c r="Q202" i="1"/>
  <c r="R202" i="1" s="1"/>
  <c r="Y202" i="1"/>
  <c r="AA202" i="1" s="1"/>
  <c r="Y917" i="1"/>
  <c r="AA917" i="1" s="1"/>
  <c r="Q224" i="1"/>
  <c r="R224" i="1" s="1"/>
  <c r="Y224" i="1"/>
  <c r="AA224" i="1" s="1"/>
  <c r="Y636" i="1"/>
  <c r="AA636" i="1" s="1"/>
  <c r="Y823" i="1"/>
  <c r="AA823" i="1" s="1"/>
  <c r="Y801" i="1"/>
  <c r="AA801" i="1" s="1"/>
  <c r="Y73" i="1"/>
  <c r="AA73" i="1" s="1"/>
  <c r="Y973" i="1"/>
  <c r="AA973" i="1" s="1"/>
  <c r="Y391" i="1"/>
  <c r="AA391" i="1" s="1"/>
  <c r="Q781" i="1"/>
  <c r="R781" i="1" s="1"/>
  <c r="Y781" i="1"/>
  <c r="AA781" i="1" s="1"/>
  <c r="Q57" i="1"/>
  <c r="R57" i="1" s="1"/>
  <c r="Y57" i="1"/>
  <c r="AA57" i="1" s="1"/>
  <c r="Q872" i="1"/>
  <c r="R872" i="1" s="1"/>
  <c r="Y872" i="1"/>
  <c r="AA872" i="1" s="1"/>
  <c r="Y288" i="1"/>
  <c r="AA288" i="1" s="1"/>
  <c r="Y228" i="1"/>
  <c r="AA228" i="1" s="1"/>
  <c r="Y265" i="1"/>
  <c r="AA265" i="1" s="1"/>
  <c r="Q22" i="1"/>
  <c r="R22" i="1" s="1"/>
  <c r="Y22" i="1"/>
  <c r="AA22" i="1" s="1"/>
  <c r="R610" i="1"/>
  <c r="Y212" i="1"/>
  <c r="AA212" i="1" s="1"/>
  <c r="Y16" i="1"/>
  <c r="AA16" i="1" s="1"/>
  <c r="Y268" i="1"/>
  <c r="AA268" i="1" s="1"/>
  <c r="Q465" i="1"/>
  <c r="R465" i="1" s="1"/>
  <c r="Y465" i="1"/>
  <c r="AA465" i="1" s="1"/>
  <c r="Q882" i="1"/>
  <c r="Y882" i="1"/>
  <c r="AA882" i="1" s="1"/>
  <c r="Y619" i="1"/>
  <c r="AA619" i="1" s="1"/>
  <c r="Q418" i="1"/>
  <c r="R418" i="1" s="1"/>
  <c r="Y418" i="1"/>
  <c r="AA418" i="1" s="1"/>
  <c r="Q464" i="1"/>
  <c r="R464" i="1" s="1"/>
  <c r="Y464" i="1"/>
  <c r="AA464" i="1" s="1"/>
  <c r="Q624" i="1"/>
  <c r="R624" i="1" s="1"/>
  <c r="Q346" i="1"/>
  <c r="R346" i="1" s="1"/>
  <c r="Y346" i="1"/>
  <c r="AA346" i="1" s="1"/>
  <c r="Q329" i="1"/>
  <c r="R329" i="1" s="1"/>
  <c r="Y329" i="1"/>
  <c r="AA329" i="1" s="1"/>
  <c r="Q209" i="1"/>
  <c r="R209" i="1" s="1"/>
  <c r="Y209" i="1"/>
  <c r="AA209" i="1" s="1"/>
  <c r="Y818" i="1"/>
  <c r="AA818" i="1" s="1"/>
  <c r="Y135" i="1"/>
  <c r="AA135" i="1" s="1"/>
  <c r="Q821" i="1"/>
  <c r="R821" i="1" s="1"/>
  <c r="Y821" i="1"/>
  <c r="AA821" i="1" s="1"/>
  <c r="Q592" i="1"/>
  <c r="R592" i="1" s="1"/>
  <c r="Y592" i="1"/>
  <c r="AA592" i="1" s="1"/>
  <c r="Q969" i="1"/>
  <c r="R969" i="1" s="1"/>
  <c r="Y969" i="1"/>
  <c r="AA969" i="1" s="1"/>
  <c r="Q556" i="1"/>
  <c r="R556" i="1" s="1"/>
  <c r="Y556" i="1"/>
  <c r="AA556" i="1" s="1"/>
  <c r="Q423" i="1"/>
  <c r="R423" i="1" s="1"/>
  <c r="Y423" i="1"/>
  <c r="AA423" i="1" s="1"/>
  <c r="Q534" i="1"/>
  <c r="R534" i="1" s="1"/>
  <c r="Y534" i="1"/>
  <c r="AA534" i="1" s="1"/>
  <c r="Y726" i="1"/>
  <c r="AA726" i="1" s="1"/>
  <c r="Y124" i="1"/>
  <c r="AA124" i="1" s="1"/>
  <c r="Y865" i="1"/>
  <c r="AA865" i="1" s="1"/>
  <c r="Q962" i="1"/>
  <c r="R962" i="1" s="1"/>
  <c r="Y962" i="1"/>
  <c r="AA962" i="1" s="1"/>
  <c r="Q145" i="1"/>
  <c r="R145" i="1" s="1"/>
  <c r="Y145" i="1"/>
  <c r="AA145" i="1" s="1"/>
  <c r="Q907" i="1"/>
  <c r="R907" i="1" s="1"/>
  <c r="Y907" i="1"/>
  <c r="AA907" i="1" s="1"/>
  <c r="Q177" i="1"/>
  <c r="R177" i="1" s="1"/>
  <c r="Y177" i="1"/>
  <c r="AA177" i="1" s="1"/>
  <c r="Q151" i="1"/>
  <c r="R151" i="1" s="1"/>
  <c r="Y151" i="1"/>
  <c r="AA151" i="1" s="1"/>
  <c r="Y211" i="1"/>
  <c r="AA211" i="1" s="1"/>
  <c r="Y727" i="1"/>
  <c r="AA727" i="1" s="1"/>
  <c r="Y483" i="1"/>
  <c r="AA483" i="1" s="1"/>
  <c r="Y79" i="1"/>
  <c r="AA79" i="1" s="1"/>
  <c r="Y487" i="1"/>
  <c r="AA487" i="1" s="1"/>
  <c r="Y475" i="1"/>
  <c r="AA475" i="1" s="1"/>
  <c r="Q885" i="1"/>
  <c r="R885" i="1" s="1"/>
  <c r="Y885" i="1"/>
  <c r="AA885" i="1" s="1"/>
  <c r="Y407" i="1"/>
  <c r="AA407" i="1" s="1"/>
  <c r="Q103" i="1"/>
  <c r="R103" i="1" s="1"/>
  <c r="Y103" i="1"/>
  <c r="AA103" i="1" s="1"/>
  <c r="Q742" i="1"/>
  <c r="R742" i="1" s="1"/>
  <c r="Y742" i="1"/>
  <c r="AA742" i="1" s="1"/>
  <c r="Y851" i="1"/>
  <c r="AA851" i="1" s="1"/>
  <c r="Y870" i="1"/>
  <c r="AA870" i="1" s="1"/>
  <c r="Y56" i="1"/>
  <c r="AA56" i="1" s="1"/>
  <c r="Y83" i="1"/>
  <c r="AA83" i="1" s="1"/>
  <c r="Y318" i="1"/>
  <c r="AA318" i="1" s="1"/>
  <c r="Y639" i="1"/>
  <c r="AA639" i="1" s="1"/>
  <c r="Y671" i="1"/>
  <c r="AA671" i="1" s="1"/>
  <c r="Y624" i="1"/>
  <c r="AA624" i="1" s="1"/>
  <c r="Y115" i="1"/>
  <c r="AA115" i="1" s="1"/>
  <c r="Y670" i="1"/>
  <c r="AA670" i="1" s="1"/>
  <c r="Y927" i="1"/>
  <c r="AA927" i="1" s="1"/>
  <c r="Y767" i="1"/>
  <c r="AA767" i="1" s="1"/>
  <c r="Y280" i="1"/>
  <c r="AA280" i="1" s="1"/>
  <c r="Y630" i="1"/>
  <c r="AA630" i="1" s="1"/>
  <c r="Y439" i="1"/>
  <c r="AA439" i="1" s="1"/>
  <c r="Y254" i="1"/>
  <c r="AA254" i="1" s="1"/>
  <c r="Y467" i="1"/>
  <c r="AA467" i="1" s="1"/>
  <c r="Y570" i="1"/>
  <c r="AA570" i="1" s="1"/>
  <c r="Q495" i="1"/>
  <c r="R495" i="1" s="1"/>
  <c r="Y495" i="1"/>
  <c r="AA495" i="1" s="1"/>
  <c r="Q811" i="1"/>
  <c r="R811" i="1" s="1"/>
  <c r="Y811" i="1"/>
  <c r="AA811" i="1" s="1"/>
  <c r="Q393" i="1"/>
  <c r="R393" i="1" s="1"/>
  <c r="Y393" i="1"/>
  <c r="AA393" i="1" s="1"/>
  <c r="Q790" i="1"/>
  <c r="R790" i="1" s="1"/>
  <c r="Y790" i="1"/>
  <c r="AA790" i="1" s="1"/>
  <c r="Q959" i="1"/>
  <c r="R959" i="1" s="1"/>
  <c r="Y959" i="1"/>
  <c r="AA959" i="1" s="1"/>
  <c r="Q247" i="1"/>
  <c r="R247" i="1" s="1"/>
  <c r="Y247" i="1"/>
  <c r="AA247" i="1" s="1"/>
  <c r="Q881" i="1"/>
  <c r="R881" i="1" s="1"/>
  <c r="Y881" i="1"/>
  <c r="AA881" i="1" s="1"/>
  <c r="Q128" i="1"/>
  <c r="R128" i="1" s="1"/>
  <c r="Y128" i="1"/>
  <c r="AA128" i="1" s="1"/>
  <c r="Q447" i="1"/>
  <c r="R447" i="1" s="1"/>
  <c r="Y447" i="1"/>
  <c r="AA447" i="1" s="1"/>
  <c r="Q93" i="1"/>
  <c r="R93" i="1" s="1"/>
  <c r="Y93" i="1"/>
  <c r="AA93" i="1" s="1"/>
  <c r="Q778" i="1"/>
  <c r="R778" i="1" s="1"/>
  <c r="Y778" i="1"/>
  <c r="AA778" i="1" s="1"/>
  <c r="Q427" i="1"/>
  <c r="R427" i="1" s="1"/>
  <c r="Y427" i="1"/>
  <c r="AA427" i="1" s="1"/>
  <c r="Q549" i="1"/>
  <c r="R549" i="1" s="1"/>
  <c r="Y549" i="1"/>
  <c r="AA549" i="1" s="1"/>
  <c r="Q828" i="1"/>
  <c r="R828" i="1" s="1"/>
  <c r="Y828" i="1"/>
  <c r="AA828" i="1" s="1"/>
  <c r="Q171" i="1"/>
  <c r="R171" i="1" s="1"/>
  <c r="Y171" i="1"/>
  <c r="AA171" i="1" s="1"/>
  <c r="Q486" i="1"/>
  <c r="R486" i="1" s="1"/>
  <c r="Y486" i="1"/>
  <c r="AA486" i="1" s="1"/>
  <c r="Q731" i="1"/>
  <c r="R731" i="1" s="1"/>
  <c r="Y731" i="1"/>
  <c r="AA731" i="1" s="1"/>
  <c r="Q165" i="1"/>
  <c r="R165" i="1" s="1"/>
  <c r="Y165" i="1"/>
  <c r="AA165" i="1" s="1"/>
  <c r="Q935" i="1"/>
  <c r="R935" i="1" s="1"/>
  <c r="Y935" i="1"/>
  <c r="AA935" i="1" s="1"/>
  <c r="Q722" i="1"/>
  <c r="R722" i="1" s="1"/>
  <c r="Y722" i="1"/>
  <c r="AA722" i="1" s="1"/>
  <c r="Q603" i="1"/>
  <c r="R603" i="1" s="1"/>
  <c r="Y603" i="1"/>
  <c r="AA603" i="1" s="1"/>
  <c r="Q584" i="1"/>
  <c r="R584" i="1" s="1"/>
  <c r="Y584" i="1"/>
  <c r="AA584" i="1" s="1"/>
  <c r="Y406" i="1"/>
  <c r="AA406" i="1" s="1"/>
  <c r="Y530" i="1"/>
  <c r="AA530" i="1" s="1"/>
  <c r="Q844" i="1"/>
  <c r="R844" i="1" s="1"/>
  <c r="Y844" i="1"/>
  <c r="AA844" i="1" s="1"/>
  <c r="Q291" i="1"/>
  <c r="R291" i="1" s="1"/>
  <c r="Q743" i="1"/>
  <c r="R743" i="1" s="1"/>
  <c r="Y743" i="1"/>
  <c r="AA743" i="1" s="1"/>
  <c r="Q999" i="1"/>
  <c r="R999" i="1" s="1"/>
  <c r="Y999" i="1"/>
  <c r="AA999" i="1" s="1"/>
  <c r="Y829" i="1"/>
  <c r="AA829" i="1" s="1"/>
  <c r="Q615" i="1"/>
  <c r="R615" i="1" s="1"/>
  <c r="Y615" i="1"/>
  <c r="AA615" i="1" s="1"/>
  <c r="Q53" i="1"/>
  <c r="R53" i="1" s="1"/>
  <c r="Y53" i="1"/>
  <c r="AA53" i="1" s="1"/>
  <c r="Y922" i="1"/>
  <c r="AA922" i="1" s="1"/>
  <c r="Q336" i="1"/>
  <c r="R336" i="1" s="1"/>
  <c r="Y336" i="1"/>
  <c r="AA336" i="1" s="1"/>
  <c r="Y243" i="1"/>
  <c r="AA243" i="1" s="1"/>
  <c r="Y162" i="1"/>
  <c r="AA162" i="1" s="1"/>
  <c r="Y287" i="1"/>
  <c r="AA287" i="1" s="1"/>
  <c r="Y641" i="1"/>
  <c r="AA641" i="1" s="1"/>
  <c r="Y405" i="1"/>
  <c r="AA405" i="1" s="1"/>
  <c r="Y531" i="1"/>
  <c r="AA531" i="1" s="1"/>
  <c r="Y18" i="1"/>
  <c r="AA18" i="1" s="1"/>
  <c r="Q272" i="1"/>
  <c r="R272" i="1" s="1"/>
  <c r="Y272" i="1"/>
  <c r="AA272" i="1" s="1"/>
  <c r="Q762" i="1"/>
  <c r="R762" i="1" s="1"/>
  <c r="Y762" i="1"/>
  <c r="AA762" i="1" s="1"/>
  <c r="Q789" i="1"/>
  <c r="R789" i="1" s="1"/>
  <c r="Y789" i="1"/>
  <c r="AA789" i="1" s="1"/>
  <c r="Q513" i="1"/>
  <c r="R513" i="1" s="1"/>
  <c r="Q548" i="1"/>
  <c r="R548" i="1" s="1"/>
  <c r="Y548" i="1"/>
  <c r="AA548" i="1" s="1"/>
  <c r="Y499" i="1"/>
  <c r="AA499" i="1" s="1"/>
  <c r="Q702" i="1"/>
  <c r="R702" i="1" s="1"/>
  <c r="Y702" i="1"/>
  <c r="AA702" i="1" s="1"/>
  <c r="Y146" i="1"/>
  <c r="AA146" i="1" s="1"/>
  <c r="Q892" i="1"/>
  <c r="R892" i="1" s="1"/>
  <c r="Y892" i="1"/>
  <c r="AA892" i="1" s="1"/>
  <c r="R869" i="1"/>
  <c r="Y723" i="1"/>
  <c r="AA723" i="1" s="1"/>
  <c r="Y257" i="1"/>
  <c r="AA257" i="1" s="1"/>
  <c r="Y951" i="1"/>
  <c r="AA951" i="1" s="1"/>
  <c r="Y997" i="1"/>
  <c r="AA997" i="1" s="1"/>
  <c r="Y701" i="1"/>
  <c r="AA701" i="1" s="1"/>
  <c r="Y913" i="1"/>
  <c r="AA913" i="1" s="1"/>
  <c r="Y188" i="1"/>
  <c r="AA188" i="1" s="1"/>
  <c r="Y785" i="1"/>
  <c r="AA785" i="1" s="1"/>
  <c r="Y52" i="1"/>
  <c r="AA52" i="1" s="1"/>
  <c r="Y498" i="1"/>
  <c r="AA498" i="1" s="1"/>
  <c r="Y492" i="1"/>
  <c r="AA492" i="1" s="1"/>
  <c r="Y577" i="1"/>
  <c r="AA577" i="1" s="1"/>
  <c r="Y994" i="1"/>
  <c r="AA994" i="1" s="1"/>
  <c r="Q559" i="1"/>
  <c r="R559" i="1" s="1"/>
  <c r="Y559" i="1"/>
  <c r="AA559" i="1" s="1"/>
  <c r="Q843" i="1"/>
  <c r="R843" i="1" s="1"/>
  <c r="Q803" i="1"/>
  <c r="R803" i="1" s="1"/>
  <c r="Y803" i="1"/>
  <c r="AA803" i="1" s="1"/>
  <c r="Q524" i="1"/>
  <c r="R524" i="1" s="1"/>
  <c r="Y524" i="1"/>
  <c r="AA524" i="1" s="1"/>
  <c r="Q138" i="1"/>
  <c r="R138" i="1" s="1"/>
  <c r="Y138" i="1"/>
  <c r="AA138" i="1" s="1"/>
  <c r="Q293" i="1"/>
  <c r="R293" i="1" s="1"/>
  <c r="Y293" i="1"/>
  <c r="AA293" i="1" s="1"/>
  <c r="Y905" i="1"/>
  <c r="AA905" i="1" s="1"/>
  <c r="Y586" i="1"/>
  <c r="AA586" i="1" s="1"/>
  <c r="Y861" i="1"/>
  <c r="AA861" i="1" s="1"/>
  <c r="Y835" i="1"/>
  <c r="AA835" i="1" s="1"/>
  <c r="Q275" i="1"/>
  <c r="R275" i="1" s="1"/>
  <c r="Y275" i="1"/>
  <c r="AA275" i="1" s="1"/>
  <c r="Q47" i="1"/>
  <c r="R47" i="1" s="1"/>
  <c r="Y47" i="1"/>
  <c r="AA47" i="1" s="1"/>
  <c r="Y551" i="1"/>
  <c r="AA551" i="1" s="1"/>
  <c r="Y725" i="1"/>
  <c r="AA725" i="1" s="1"/>
  <c r="Q415" i="1"/>
  <c r="R415" i="1" s="1"/>
  <c r="Y415" i="1"/>
  <c r="AA415" i="1" s="1"/>
  <c r="Q178" i="1"/>
  <c r="R178" i="1" s="1"/>
  <c r="Y178" i="1"/>
  <c r="AA178" i="1" s="1"/>
  <c r="Q368" i="1"/>
  <c r="R368" i="1" s="1"/>
  <c r="Y368" i="1"/>
  <c r="AA368" i="1" s="1"/>
  <c r="Q740" i="1"/>
  <c r="R740" i="1" s="1"/>
  <c r="Y740" i="1"/>
  <c r="AA740" i="1" s="1"/>
  <c r="Y59" i="1"/>
  <c r="AA59" i="1" s="1"/>
  <c r="Q726" i="1"/>
  <c r="R726" i="1" s="1"/>
  <c r="Q208" i="1"/>
  <c r="R208" i="1" s="1"/>
  <c r="R484" i="1"/>
  <c r="Y375" i="1"/>
  <c r="AA375" i="1" s="1"/>
  <c r="Y845" i="1"/>
  <c r="AA845" i="1" s="1"/>
  <c r="Y606" i="1"/>
  <c r="AA606" i="1" s="1"/>
  <c r="Y569" i="1"/>
  <c r="AA569" i="1" s="1"/>
  <c r="Y894" i="1"/>
  <c r="AA894" i="1" s="1"/>
  <c r="Y164" i="1"/>
  <c r="AA164" i="1" s="1"/>
  <c r="Y396" i="1"/>
  <c r="AA396" i="1" s="1"/>
  <c r="Y666" i="1"/>
  <c r="AA666" i="1" s="1"/>
  <c r="Y621" i="1"/>
  <c r="AA621" i="1" s="1"/>
  <c r="Y252" i="1"/>
  <c r="AA252" i="1" s="1"/>
  <c r="Y904" i="1"/>
  <c r="AA904" i="1" s="1"/>
  <c r="Y477" i="1"/>
  <c r="AA477" i="1" s="1"/>
  <c r="Y764" i="1"/>
  <c r="AA764" i="1" s="1"/>
  <c r="Y184" i="1"/>
  <c r="AA184" i="1" s="1"/>
  <c r="Y515" i="1"/>
  <c r="AA515" i="1" s="1"/>
  <c r="Y155" i="1"/>
  <c r="AA155" i="1" s="1"/>
  <c r="Y232" i="1"/>
  <c r="AA232" i="1" s="1"/>
  <c r="Q574" i="1"/>
  <c r="R574" i="1" s="1"/>
  <c r="Y574" i="1"/>
  <c r="AA574" i="1" s="1"/>
  <c r="Y977" i="1"/>
  <c r="AA977" i="1" s="1"/>
  <c r="Q942" i="1"/>
  <c r="R942" i="1" s="1"/>
  <c r="Y942" i="1"/>
  <c r="AA942" i="1" s="1"/>
  <c r="Q21" i="1"/>
  <c r="R21" i="1" s="1"/>
  <c r="Y21" i="1"/>
  <c r="AA21" i="1" s="1"/>
  <c r="Q965" i="1"/>
  <c r="R965" i="1" s="1"/>
  <c r="Q14" i="1"/>
  <c r="R14" i="1" s="1"/>
  <c r="Q581" i="1"/>
  <c r="R581" i="1" s="1"/>
  <c r="Y602" i="1"/>
  <c r="AA602" i="1" s="1"/>
  <c r="Q813" i="1"/>
  <c r="R813" i="1" s="1"/>
  <c r="Y813" i="1"/>
  <c r="AA813" i="1" s="1"/>
  <c r="Q236" i="1"/>
  <c r="R236" i="1" s="1"/>
  <c r="Y236" i="1"/>
  <c r="AA236" i="1" s="1"/>
  <c r="Y91" i="1"/>
  <c r="AA91" i="1" s="1"/>
  <c r="Q12" i="1"/>
  <c r="R12" i="1" s="1"/>
  <c r="Y12" i="1"/>
  <c r="AA12" i="1" s="1"/>
  <c r="Y42" i="1"/>
  <c r="AA42" i="1" s="1"/>
  <c r="Y777" i="1"/>
  <c r="AA777" i="1" s="1"/>
  <c r="Y137" i="1"/>
  <c r="AA137" i="1" s="1"/>
  <c r="Y360" i="1"/>
  <c r="AA360" i="1" s="1"/>
  <c r="Y748" i="1"/>
  <c r="AA748" i="1" s="1"/>
  <c r="Y884" i="1"/>
  <c r="AA884" i="1" s="1"/>
  <c r="Q71" i="1"/>
  <c r="R71" i="1" s="1"/>
  <c r="R995" i="1"/>
  <c r="R4" i="1"/>
  <c r="Y965" i="1"/>
  <c r="AA965" i="1" s="1"/>
  <c r="Y253" i="1"/>
  <c r="AA253" i="1" s="1"/>
  <c r="Y432" i="1"/>
  <c r="AA432" i="1" s="1"/>
  <c r="Y605" i="1"/>
  <c r="AA605" i="1" s="1"/>
  <c r="Y186" i="1"/>
  <c r="AA186" i="1" s="1"/>
  <c r="Y703" i="1"/>
  <c r="AA703" i="1" s="1"/>
  <c r="Y113" i="1"/>
  <c r="AA113" i="1" s="1"/>
  <c r="Q960" i="1"/>
  <c r="R960" i="1" s="1"/>
  <c r="Y960" i="1"/>
  <c r="AA960" i="1" s="1"/>
  <c r="Q297" i="1"/>
  <c r="R297" i="1" s="1"/>
  <c r="Y297" i="1"/>
  <c r="AA297" i="1" s="1"/>
  <c r="Q806" i="1"/>
  <c r="R806" i="1" s="1"/>
  <c r="Y806" i="1"/>
  <c r="AA806" i="1" s="1"/>
  <c r="Y925" i="1"/>
  <c r="AA925" i="1" s="1"/>
  <c r="Q837" i="1"/>
  <c r="R837" i="1" s="1"/>
  <c r="Y837" i="1"/>
  <c r="AA837" i="1" s="1"/>
  <c r="Y682" i="1"/>
  <c r="AA682" i="1" s="1"/>
  <c r="Q533" i="1"/>
  <c r="R533" i="1" s="1"/>
  <c r="Y533" i="1"/>
  <c r="AA533" i="1" s="1"/>
  <c r="Q948" i="1"/>
  <c r="R948" i="1" s="1"/>
  <c r="Y948" i="1"/>
  <c r="AA948" i="1" s="1"/>
  <c r="Q41" i="1"/>
  <c r="R41" i="1" s="1"/>
  <c r="Y41" i="1"/>
  <c r="AA41" i="1" s="1"/>
  <c r="Y637" i="1"/>
  <c r="AA637" i="1" s="1"/>
  <c r="Q677" i="1"/>
  <c r="R677" i="1" s="1"/>
  <c r="Y677" i="1"/>
  <c r="AA677" i="1" s="1"/>
  <c r="Q119" i="1"/>
  <c r="R119" i="1" s="1"/>
  <c r="Y119" i="1"/>
  <c r="AA119" i="1" s="1"/>
  <c r="Y771" i="1"/>
  <c r="AA771" i="1" s="1"/>
  <c r="Q304" i="1"/>
  <c r="R304" i="1" s="1"/>
  <c r="Y304" i="1"/>
  <c r="AA304" i="1" s="1"/>
  <c r="Q55" i="1"/>
  <c r="R55" i="1" s="1"/>
  <c r="Y55" i="1"/>
  <c r="AA55" i="1" s="1"/>
  <c r="Y978" i="1"/>
  <c r="AA978" i="1" s="1"/>
  <c r="Y68" i="1"/>
  <c r="AA68" i="1" s="1"/>
  <c r="Y54" i="1"/>
  <c r="AA54" i="1" s="1"/>
  <c r="Y311" i="1"/>
  <c r="AA311" i="1" s="1"/>
  <c r="Y886" i="1"/>
  <c r="AA886" i="1" s="1"/>
  <c r="Q153" i="1"/>
  <c r="R153" i="1" s="1"/>
  <c r="Y153" i="1"/>
  <c r="AA153" i="1" s="1"/>
  <c r="Q10" i="1"/>
  <c r="R10" i="1" s="1"/>
  <c r="Y383" i="1"/>
  <c r="AA383" i="1" s="1"/>
  <c r="Y214" i="1"/>
  <c r="AA214" i="1" s="1"/>
  <c r="Y501" i="1"/>
  <c r="AA501" i="1" s="1"/>
  <c r="Y199" i="1"/>
  <c r="AA199" i="1" s="1"/>
  <c r="Y889" i="1"/>
  <c r="AA889" i="1" s="1"/>
  <c r="Y985" i="1"/>
  <c r="AA985" i="1" s="1"/>
  <c r="Y945" i="1"/>
  <c r="AA945" i="1" s="1"/>
  <c r="Y81" i="1"/>
  <c r="AA81" i="1" s="1"/>
  <c r="R397" i="1"/>
  <c r="Y205" i="1"/>
  <c r="AA205" i="1" s="1"/>
  <c r="Y585" i="1"/>
  <c r="AA585" i="1" s="1"/>
  <c r="Y995" i="1"/>
  <c r="AA995" i="1" s="1"/>
  <c r="Y71" i="1"/>
  <c r="AA71" i="1" s="1"/>
  <c r="Y617" i="1"/>
  <c r="AA617" i="1" s="1"/>
  <c r="Y4" i="1"/>
  <c r="AA4" i="1" s="1"/>
  <c r="Y924" i="1"/>
  <c r="AA924" i="1" s="1"/>
  <c r="Y831" i="1"/>
  <c r="AA831" i="1" s="1"/>
  <c r="Y437" i="1"/>
  <c r="AA437" i="1" s="1"/>
  <c r="Y850" i="1"/>
  <c r="AA850" i="1" s="1"/>
  <c r="Q347" i="1"/>
  <c r="R347" i="1" s="1"/>
  <c r="Y544" i="1"/>
  <c r="AA544" i="1" s="1"/>
  <c r="Y61" i="1"/>
  <c r="AA61" i="1" s="1"/>
  <c r="Y242" i="1"/>
  <c r="AA242" i="1" s="1"/>
  <c r="Y558" i="1"/>
  <c r="AA558" i="1" s="1"/>
  <c r="Y763" i="1"/>
  <c r="AA763" i="1" s="1"/>
  <c r="Y898" i="1"/>
  <c r="AA898" i="1" s="1"/>
  <c r="Y780" i="1"/>
  <c r="AA780" i="1" s="1"/>
  <c r="Y768" i="1"/>
  <c r="AA768" i="1" s="1"/>
  <c r="Y691" i="1"/>
  <c r="AA691" i="1" s="1"/>
  <c r="Y579" i="1"/>
  <c r="AA579" i="1" s="1"/>
  <c r="Y478" i="1"/>
  <c r="AA478" i="1" s="1"/>
  <c r="Y915" i="1"/>
  <c r="AA915" i="1" s="1"/>
  <c r="Y510" i="1"/>
  <c r="AA510" i="1" s="1"/>
  <c r="Y597" i="1"/>
  <c r="AA597" i="1" s="1"/>
  <c r="Y440" i="1"/>
  <c r="AA440" i="1" s="1"/>
  <c r="Y665" i="1"/>
  <c r="AA665" i="1" s="1"/>
  <c r="Y424" i="1"/>
  <c r="AA424" i="1" s="1"/>
  <c r="Y860" i="1"/>
  <c r="AA860" i="1" s="1"/>
  <c r="Y963" i="1"/>
  <c r="AA963" i="1" s="1"/>
  <c r="Q70" i="1"/>
  <c r="R70" i="1" s="1"/>
  <c r="Q283" i="1"/>
  <c r="R283" i="1"/>
  <c r="Q672" i="1"/>
  <c r="R672" i="1" s="1"/>
  <c r="Q331" i="1"/>
  <c r="R331" i="1" s="1"/>
  <c r="Q840" i="1"/>
  <c r="R840" i="1" s="1"/>
  <c r="Q442" i="1"/>
  <c r="R442" i="1" s="1"/>
  <c r="Q917" i="1"/>
  <c r="R917" i="1" s="1"/>
  <c r="Q866" i="1"/>
  <c r="R866" i="1" s="1"/>
  <c r="Q710" i="1"/>
  <c r="R710" i="1" s="1"/>
  <c r="Q457" i="1"/>
  <c r="R457" i="1" s="1"/>
  <c r="R617" i="1"/>
  <c r="R938" i="1"/>
  <c r="R477" i="1"/>
  <c r="R268" i="1"/>
  <c r="Q401" i="1"/>
  <c r="R401" i="1" s="1"/>
  <c r="Q431" i="1"/>
  <c r="R431" i="1" s="1"/>
  <c r="Q925" i="1"/>
  <c r="R925" i="1" s="1"/>
  <c r="Q63" i="1"/>
  <c r="R63" i="1" s="1"/>
  <c r="Q146" i="1"/>
  <c r="R146" i="1" s="1"/>
  <c r="Q399" i="1"/>
  <c r="R399" i="1" s="1"/>
  <c r="R605" i="1"/>
  <c r="Q683" i="1"/>
  <c r="R683" i="1" s="1"/>
  <c r="Q906" i="1"/>
  <c r="R906" i="1" s="1"/>
  <c r="Q215" i="1"/>
  <c r="R215" i="1" s="1"/>
  <c r="Q218" i="1"/>
  <c r="R218" i="1" s="1"/>
  <c r="Q705" i="1"/>
  <c r="R705" i="1" s="1"/>
  <c r="Q721" i="1"/>
  <c r="R721" i="1" s="1"/>
  <c r="R446" i="1"/>
  <c r="R662" i="1"/>
  <c r="R997" i="1"/>
  <c r="R255" i="1"/>
  <c r="Q614" i="1"/>
  <c r="R614" i="1" s="1"/>
  <c r="Q158" i="1"/>
  <c r="R158" i="1" s="1"/>
  <c r="Q836" i="1"/>
  <c r="R836" i="1" s="1"/>
  <c r="Q412" i="1"/>
  <c r="R412" i="1" s="1"/>
  <c r="R375" i="1"/>
  <c r="R924" i="1"/>
  <c r="R676" i="1"/>
  <c r="Q865" i="1"/>
  <c r="R865" i="1" s="1"/>
  <c r="Q118" i="1"/>
  <c r="R118" i="1" s="1"/>
  <c r="Q295" i="1"/>
  <c r="R295" i="1" s="1"/>
  <c r="Q932" i="1"/>
  <c r="R932" i="1" s="1"/>
  <c r="Q60" i="1"/>
  <c r="R60" i="1" s="1"/>
  <c r="Q383" i="1"/>
  <c r="R383" i="1" s="1"/>
  <c r="Q512" i="1"/>
  <c r="R512" i="1" s="1"/>
  <c r="Q517" i="1"/>
  <c r="R517" i="1" s="1"/>
  <c r="Q796" i="1"/>
  <c r="R796" i="1" s="1"/>
  <c r="Q528" i="1"/>
  <c r="R528" i="1" s="1"/>
  <c r="Q75" i="1"/>
  <c r="R75" i="1" s="1"/>
  <c r="R569" i="1"/>
  <c r="R414" i="1"/>
  <c r="R95" i="1"/>
  <c r="R671" i="1"/>
  <c r="R988" i="1"/>
  <c r="R183" i="1"/>
  <c r="R515" i="1"/>
  <c r="R709" i="1"/>
  <c r="Q400" i="1"/>
  <c r="R400" i="1" s="1"/>
  <c r="Q380" i="1"/>
  <c r="R380" i="1" s="1"/>
  <c r="R990" i="1"/>
  <c r="R164" i="1"/>
  <c r="R204" i="1"/>
  <c r="R61" i="1"/>
  <c r="R822" i="1"/>
  <c r="Q530" i="1"/>
  <c r="R530" i="1" s="1"/>
  <c r="Q230" i="1"/>
  <c r="R230" i="1" s="1"/>
  <c r="Q795" i="1"/>
  <c r="R795" i="1" s="1"/>
  <c r="Q793" i="1"/>
  <c r="R793" i="1" s="1"/>
  <c r="Q123" i="1"/>
  <c r="R123" i="1" s="1"/>
  <c r="Q99" i="1"/>
  <c r="R99" i="1" s="1"/>
  <c r="R919" i="1"/>
  <c r="R639" i="1"/>
  <c r="R1001" i="1"/>
  <c r="R257" i="1"/>
  <c r="R316" i="1"/>
  <c r="R302" i="1"/>
  <c r="R797" i="1"/>
  <c r="R746" i="1"/>
  <c r="Q859" i="1"/>
  <c r="R859" i="1" s="1"/>
  <c r="Q76" i="1"/>
  <c r="R76" i="1" s="1"/>
  <c r="Q856" i="1"/>
  <c r="R856" i="1"/>
  <c r="Q248" i="1"/>
  <c r="R248" i="1" s="1"/>
  <c r="Q835" i="1"/>
  <c r="R835" i="1" s="1"/>
  <c r="Q706" i="1"/>
  <c r="R706" i="1" s="1"/>
  <c r="Q682" i="1"/>
  <c r="R682" i="1" s="1"/>
  <c r="Q305" i="1"/>
  <c r="R305" i="1" s="1"/>
  <c r="Q661" i="1"/>
  <c r="R661" i="1" s="1"/>
  <c r="Q552" i="1"/>
  <c r="R552" i="1"/>
  <c r="Q846" i="1"/>
  <c r="R846" i="1" s="1"/>
  <c r="R943" i="1"/>
  <c r="R314" i="1"/>
  <c r="Q37" i="1"/>
  <c r="R37" i="1" s="1"/>
  <c r="Q364" i="1"/>
  <c r="R364" i="1" s="1"/>
  <c r="Q222" i="1"/>
  <c r="R222" i="1" s="1"/>
  <c r="Q725" i="1"/>
  <c r="R725" i="1" s="1"/>
  <c r="R599" i="1"/>
  <c r="R532" i="1"/>
  <c r="R353" i="1"/>
  <c r="Q116" i="1"/>
  <c r="R116" i="1" s="1"/>
  <c r="Q107" i="1"/>
  <c r="R107" i="1" s="1"/>
  <c r="Q520" i="1"/>
  <c r="R520" i="1" s="1"/>
  <c r="Q281" i="1"/>
  <c r="R281" i="1" s="1"/>
  <c r="Q689" i="1"/>
  <c r="R689" i="1" s="1"/>
  <c r="Q381" i="1"/>
  <c r="R381" i="1" s="1"/>
  <c r="Q360" i="1"/>
  <c r="R360" i="1" s="1"/>
  <c r="R720" i="1"/>
  <c r="R951" i="1"/>
  <c r="Q15" i="1"/>
  <c r="R15" i="1" s="1"/>
  <c r="Q84" i="1"/>
  <c r="R84" i="1" s="1"/>
  <c r="Q191" i="1"/>
  <c r="R191" i="1" s="1"/>
  <c r="Q807" i="1"/>
  <c r="R807" i="1" s="1"/>
  <c r="Q758" i="1"/>
  <c r="R758" i="1" s="1"/>
  <c r="R618" i="1"/>
  <c r="R242" i="1"/>
  <c r="Q804" i="1"/>
  <c r="R804" i="1" s="1"/>
  <c r="Q489" i="1"/>
  <c r="R489" i="1" s="1"/>
  <c r="Q58" i="1"/>
  <c r="R58" i="1" s="1"/>
  <c r="Q753" i="1"/>
  <c r="R753" i="1" s="1"/>
  <c r="Q279" i="1"/>
  <c r="R279" i="1" s="1"/>
  <c r="Q602" i="1"/>
  <c r="R602" i="1" s="1"/>
  <c r="R732" i="1"/>
  <c r="Q413" i="1"/>
  <c r="R413" i="1" s="1"/>
  <c r="Q256" i="1"/>
  <c r="R256" i="1" s="1"/>
  <c r="Q595" i="1"/>
  <c r="R595" i="1" s="1"/>
  <c r="Q818" i="1"/>
  <c r="R818" i="1" s="1"/>
  <c r="Q647" i="1"/>
  <c r="R647" i="1" s="1"/>
  <c r="R473" i="1"/>
  <c r="R663" i="1"/>
  <c r="R832" i="1"/>
  <c r="R703" i="1"/>
  <c r="R578" i="1"/>
  <c r="R425" i="1"/>
  <c r="R308" i="1"/>
  <c r="Q27" i="1"/>
  <c r="R27" i="1" s="1"/>
  <c r="Q779" i="1"/>
  <c r="R779" i="1" s="1"/>
  <c r="Q529" i="1"/>
  <c r="R529" i="1" s="1"/>
  <c r="Q406" i="1"/>
  <c r="R406" i="1" s="1"/>
  <c r="Q972" i="1"/>
  <c r="R972" i="1" s="1"/>
  <c r="Q841" i="1"/>
  <c r="R841" i="1" s="1"/>
  <c r="Q686" i="1"/>
  <c r="R686" i="1" s="1"/>
  <c r="Q678" i="1"/>
  <c r="R678" i="1" s="1"/>
  <c r="Q877" i="1"/>
  <c r="R877" i="1" s="1"/>
  <c r="Q752" i="1"/>
  <c r="R752" i="1" s="1"/>
  <c r="Q127" i="1"/>
  <c r="R127" i="1" s="1"/>
  <c r="Q471" i="1"/>
  <c r="R471" i="1" s="1"/>
  <c r="Q929" i="1"/>
  <c r="R929" i="1" s="1"/>
  <c r="Q126" i="1"/>
  <c r="R126" i="1" s="1"/>
  <c r="Q713" i="1"/>
  <c r="R713" i="1" s="1"/>
  <c r="Q482" i="1"/>
  <c r="R482" i="1" s="1"/>
  <c r="Q38" i="1"/>
  <c r="R38" i="1" s="1"/>
  <c r="Q269" i="1"/>
  <c r="R269" i="1" s="1"/>
  <c r="Q407" i="1"/>
  <c r="R407" i="1" s="1"/>
  <c r="Q214" i="1"/>
  <c r="R214" i="1" s="1"/>
  <c r="Q199" i="1"/>
  <c r="R199" i="1" s="1"/>
  <c r="Q889" i="1"/>
  <c r="R889" i="1" s="1"/>
  <c r="Q800" i="1"/>
  <c r="R800" i="1" s="1"/>
  <c r="Q833" i="1"/>
  <c r="R833" i="1" s="1"/>
  <c r="Q175" i="1"/>
  <c r="R175" i="1" s="1"/>
  <c r="Q494" i="1"/>
  <c r="R494" i="1" s="1"/>
  <c r="R88" i="1"/>
  <c r="Q765" i="1"/>
  <c r="R765" i="1" s="1"/>
  <c r="Q463" i="1"/>
  <c r="R463" i="1" s="1"/>
  <c r="Q157" i="1"/>
  <c r="R157" i="1" s="1"/>
  <c r="Q179" i="1"/>
  <c r="R179" i="1" s="1"/>
  <c r="Q154" i="1"/>
  <c r="R154" i="1" s="1"/>
  <c r="Q553" i="1"/>
  <c r="R553" i="1" s="1"/>
  <c r="Q97" i="1"/>
  <c r="R97" i="1" s="1"/>
  <c r="Q861" i="1"/>
  <c r="R861" i="1" s="1"/>
  <c r="Q270" i="1"/>
  <c r="R270" i="1" s="1"/>
  <c r="Q695" i="1"/>
  <c r="R695" i="1" s="1"/>
  <c r="Q150" i="1"/>
  <c r="R150" i="1" s="1"/>
  <c r="Q485" i="1"/>
  <c r="R485" i="1" s="1"/>
  <c r="Q25" i="1"/>
  <c r="R25" i="1" s="1"/>
  <c r="Q261" i="1"/>
  <c r="R261" i="1" s="1"/>
  <c r="Q945" i="1"/>
  <c r="R945" i="1" s="1"/>
  <c r="Q289" i="1"/>
  <c r="R289" i="1" s="1"/>
  <c r="Q826" i="1"/>
  <c r="R826" i="1" s="1"/>
  <c r="Q557" i="1"/>
  <c r="R557" i="1" s="1"/>
  <c r="R890" i="1"/>
  <c r="Q161" i="1"/>
  <c r="R161" i="1" s="1"/>
  <c r="Q234" i="1"/>
  <c r="R234" i="1" s="1"/>
  <c r="Q983" i="1"/>
  <c r="R983" i="1" s="1"/>
  <c r="Q382" i="1"/>
  <c r="R382" i="1" s="1"/>
  <c r="Q829" i="1"/>
  <c r="R829" i="1" s="1"/>
  <c r="Q98" i="1"/>
  <c r="R98" i="1" s="1"/>
  <c r="Q241" i="1"/>
  <c r="R241" i="1" s="1"/>
  <c r="Q505" i="1"/>
  <c r="R505" i="1" s="1"/>
  <c r="Q271" i="1"/>
  <c r="R271" i="1" s="1"/>
  <c r="Q334" i="1"/>
  <c r="R334" i="1" s="1"/>
  <c r="R229" i="1"/>
  <c r="Q188" i="1"/>
  <c r="R188" i="1" s="1"/>
  <c r="Q638" i="1"/>
  <c r="R638" i="1" s="1"/>
  <c r="Q805" i="1"/>
  <c r="R805" i="1" s="1"/>
  <c r="Q637" i="1"/>
  <c r="R637" i="1" s="1"/>
  <c r="Q62" i="1"/>
  <c r="R62" i="1" s="1"/>
  <c r="Q598" i="1"/>
  <c r="R598" i="1" s="1"/>
  <c r="Q284" i="1"/>
  <c r="R284" i="1" s="1"/>
  <c r="Q650" i="1"/>
  <c r="R650" i="1" s="1"/>
  <c r="Q345" i="1"/>
  <c r="R345" i="1" s="1"/>
  <c r="Q339" i="1"/>
  <c r="R339" i="1"/>
  <c r="Q698" i="1"/>
  <c r="R698" i="1" s="1"/>
  <c r="Q930" i="1"/>
  <c r="R930" i="1" s="1"/>
  <c r="Q823" i="1"/>
  <c r="R823" i="1" s="1"/>
  <c r="Q801" i="1"/>
  <c r="R801" i="1" s="1"/>
  <c r="Q750" i="1"/>
  <c r="R750" i="1" s="1"/>
  <c r="R858" i="1"/>
  <c r="R16" i="1"/>
  <c r="Q403" i="1"/>
  <c r="R403" i="1" s="1"/>
  <c r="Q527" i="1"/>
  <c r="R527" i="1" s="1"/>
  <c r="Q734" i="1"/>
  <c r="R734" i="1" s="1"/>
  <c r="Q169" i="1"/>
  <c r="R169" i="1" s="1"/>
  <c r="Q309" i="1"/>
  <c r="R309" i="1" s="1"/>
  <c r="Q934" i="1"/>
  <c r="R934" i="1" s="1"/>
  <c r="Q968" i="1"/>
  <c r="R968" i="1" s="1"/>
  <c r="Q751" i="1"/>
  <c r="R751" i="1" s="1"/>
  <c r="Q612" i="1"/>
  <c r="R612" i="1" s="1"/>
  <c r="Q604" i="1"/>
  <c r="R604" i="1" s="1"/>
  <c r="Q936" i="1"/>
  <c r="R936" i="1" s="1"/>
  <c r="Q980" i="1"/>
  <c r="R980" i="1" s="1"/>
  <c r="Q824" i="1"/>
  <c r="R824" i="1" s="1"/>
  <c r="Q428" i="1"/>
  <c r="R428" i="1" s="1"/>
  <c r="Q299" i="1"/>
  <c r="R299" i="1" s="1"/>
  <c r="Q120" i="1"/>
  <c r="R120" i="1" s="1"/>
  <c r="Q555" i="1"/>
  <c r="R555" i="1" s="1"/>
  <c r="Q777" i="1"/>
  <c r="R777" i="1" s="1"/>
  <c r="Q891" i="1"/>
  <c r="R891" i="1" s="1"/>
  <c r="Q944" i="1"/>
  <c r="R944" i="1" s="1"/>
  <c r="Q649" i="1"/>
  <c r="R649" i="1" s="1"/>
  <c r="Q366" i="1"/>
  <c r="R366" i="1" s="1"/>
  <c r="R963" i="1"/>
  <c r="R303" i="1"/>
  <c r="R227" i="1"/>
  <c r="R775" i="1"/>
  <c r="Q221" i="1"/>
  <c r="R221" i="1" s="1"/>
  <c r="Q902" i="1"/>
  <c r="R902" i="1" s="1"/>
  <c r="Q629" i="1"/>
  <c r="R629" i="1" s="1"/>
  <c r="Q87" i="1"/>
  <c r="R87" i="1" s="1"/>
  <c r="Q354" i="1"/>
  <c r="R354" i="1" s="1"/>
  <c r="Q391" i="1"/>
  <c r="R391" i="1" s="1"/>
  <c r="Q327" i="1"/>
  <c r="R327" i="1" s="1"/>
  <c r="Q912" i="1"/>
  <c r="R912" i="1"/>
  <c r="Q65" i="1"/>
  <c r="R65" i="1" s="1"/>
  <c r="Q454" i="1"/>
  <c r="R454" i="1" s="1"/>
  <c r="Q616" i="1"/>
  <c r="R616" i="1" s="1"/>
  <c r="Q142" i="1"/>
  <c r="R142" i="1" s="1"/>
  <c r="Q86" i="1"/>
  <c r="R86" i="1" s="1"/>
  <c r="Q546" i="1"/>
  <c r="R546" i="1" s="1"/>
  <c r="Q435" i="1"/>
  <c r="R435" i="1" s="1"/>
  <c r="Q771" i="1"/>
  <c r="R771" i="1" s="1"/>
  <c r="Q195" i="1"/>
  <c r="R195" i="1" s="1"/>
  <c r="Q387" i="1"/>
  <c r="R387" i="1" s="1"/>
  <c r="Q326" i="1"/>
  <c r="R326" i="1" s="1"/>
  <c r="Q237" i="1"/>
  <c r="R237" i="1" s="1"/>
  <c r="R113" i="1"/>
  <c r="Q539" i="1"/>
  <c r="R539" i="1" s="1"/>
  <c r="Q363" i="1"/>
  <c r="R363" i="1" s="1"/>
  <c r="Q319" i="1"/>
  <c r="R319" i="1" s="1"/>
  <c r="Q367" i="1"/>
  <c r="R367" i="1" s="1"/>
  <c r="Q760" i="1"/>
  <c r="R760" i="1" s="1"/>
  <c r="Q77" i="1"/>
  <c r="R77" i="1" s="1"/>
  <c r="Q322" i="1"/>
  <c r="R322" i="1" s="1"/>
  <c r="Q369" i="1"/>
  <c r="R369" i="1" s="1"/>
  <c r="Q483" i="1"/>
  <c r="R483" i="1" s="1"/>
  <c r="Q377" i="1"/>
  <c r="R377" i="1" s="1"/>
  <c r="Q395" i="1"/>
  <c r="R395" i="1" s="1"/>
  <c r="Q207" i="1"/>
  <c r="R207" i="1" s="1"/>
  <c r="R416" i="1"/>
  <c r="Q608" i="1"/>
  <c r="R608" i="1" s="1"/>
  <c r="Q501" i="1"/>
  <c r="R501" i="1" s="1"/>
  <c r="Q784" i="1"/>
  <c r="R784" i="1" s="1"/>
  <c r="Q985" i="1"/>
  <c r="R985" i="1" s="1"/>
  <c r="Q914" i="1"/>
  <c r="R914" i="1" s="1"/>
  <c r="Q112" i="1"/>
  <c r="R112" i="1" s="1"/>
  <c r="Q417" i="1"/>
  <c r="R417" i="1" s="1"/>
  <c r="Q312" i="1"/>
  <c r="R312" i="1" s="1"/>
  <c r="Q497" i="1"/>
  <c r="R497" i="1" s="1"/>
  <c r="Q389" i="1"/>
  <c r="R389" i="1" s="1"/>
  <c r="Q470" i="1"/>
  <c r="R470" i="1" s="1"/>
  <c r="Q144" i="1"/>
  <c r="R144" i="1" s="1"/>
  <c r="Q321" i="1"/>
  <c r="R321" i="1" s="1"/>
  <c r="R254" i="1"/>
  <c r="Q341" i="1"/>
  <c r="R341" i="1" s="1"/>
  <c r="Q438" i="1"/>
  <c r="R438" i="1" s="1"/>
  <c r="R947" i="1"/>
  <c r="Q462" i="1"/>
  <c r="R462" i="1" s="1"/>
  <c r="Q143" i="1"/>
  <c r="R143" i="1" s="1"/>
  <c r="Q290" i="1"/>
  <c r="R290" i="1" s="1"/>
  <c r="Q566" i="1"/>
  <c r="R566" i="1" s="1"/>
  <c r="Q210" i="1"/>
  <c r="R210" i="1" s="1"/>
  <c r="Q857" i="1"/>
  <c r="R857" i="1" s="1"/>
  <c r="Q81" i="1"/>
  <c r="R81" i="1" s="1"/>
  <c r="Q658" i="1"/>
  <c r="R658" i="1" s="1"/>
  <c r="Q815" i="1"/>
  <c r="R815" i="1" s="1"/>
  <c r="Q371" i="1"/>
  <c r="R371" i="1" s="1"/>
  <c r="Q343" i="1"/>
  <c r="R343" i="1" s="1"/>
  <c r="Q409" i="1"/>
  <c r="R409" i="1" s="1"/>
  <c r="Q791" i="1"/>
  <c r="R791" i="1" s="1"/>
  <c r="Q632" i="1"/>
  <c r="R632" i="1" s="1"/>
  <c r="Q273" i="1"/>
  <c r="R273" i="1" s="1"/>
  <c r="Q680" i="1"/>
  <c r="R680" i="1" s="1"/>
  <c r="Q970" i="1"/>
  <c r="R970" i="1" s="1"/>
  <c r="Q352" i="1"/>
  <c r="R352" i="1" s="1"/>
  <c r="Q690" i="1"/>
  <c r="R690" i="1" s="1"/>
  <c r="Q69" i="1"/>
  <c r="R69" i="1" s="1"/>
  <c r="Q251" i="1"/>
  <c r="R251" i="1" s="1"/>
  <c r="Q542" i="1"/>
  <c r="R542" i="1" s="1"/>
  <c r="R280" i="1"/>
  <c r="Q429" i="1"/>
  <c r="R429" i="1" s="1"/>
  <c r="Q531" i="1"/>
  <c r="R531" i="1" s="1"/>
  <c r="Q724" i="1"/>
  <c r="R724" i="1" s="1"/>
  <c r="Q490" i="1"/>
  <c r="R490" i="1" s="1"/>
  <c r="Q679" i="1"/>
  <c r="R679" i="1" s="1"/>
  <c r="Q730" i="1"/>
  <c r="R730" i="1" s="1"/>
  <c r="Q109" i="1"/>
  <c r="R109" i="1" s="1"/>
  <c r="Q537" i="1"/>
  <c r="R537" i="1" s="1"/>
  <c r="Q981" i="1"/>
  <c r="R981" i="1" s="1"/>
  <c r="Q392" i="1"/>
  <c r="R392" i="1" s="1"/>
  <c r="Q954" i="1"/>
  <c r="R954" i="1" s="1"/>
  <c r="Q340" i="1"/>
  <c r="R340" i="1" s="1"/>
  <c r="Q984" i="1"/>
  <c r="R984" i="1" s="1"/>
  <c r="Q459" i="1"/>
  <c r="R459" i="1" s="1"/>
  <c r="Q596" i="1"/>
  <c r="R596" i="1" s="1"/>
  <c r="Q385" i="1"/>
  <c r="R385" i="1" s="1"/>
  <c r="Q509" i="1"/>
  <c r="R509" i="1" s="1"/>
  <c r="Q378" i="1"/>
  <c r="R378" i="1" s="1"/>
  <c r="Q106" i="1"/>
  <c r="R106" i="1" s="1"/>
  <c r="Q300" i="1"/>
  <c r="R300" i="1" s="1"/>
  <c r="Q203" i="1"/>
  <c r="R203" i="1" s="1"/>
  <c r="Q910" i="1"/>
  <c r="R910" i="1" s="1"/>
  <c r="Q488" i="1"/>
  <c r="R488" i="1" s="1"/>
  <c r="Q42" i="1"/>
  <c r="R42" i="1" s="1"/>
  <c r="Q478" i="1"/>
  <c r="R478" i="1" s="1"/>
  <c r="Q921" i="1"/>
  <c r="R921" i="1" s="1"/>
  <c r="Q871" i="1"/>
  <c r="R871" i="1" s="1"/>
  <c r="R585" i="1"/>
  <c r="Q135" i="1"/>
  <c r="R135" i="1" s="1"/>
  <c r="Q646" i="1"/>
  <c r="R646" i="1" s="1"/>
  <c r="Q594" i="1"/>
  <c r="R594" i="1" s="1"/>
  <c r="Q332" i="1"/>
  <c r="R332" i="1" s="1"/>
  <c r="Q699" i="1"/>
  <c r="R699" i="1" s="1"/>
  <c r="Q640" i="1"/>
  <c r="R640" i="1" s="1"/>
  <c r="Q697" i="1"/>
  <c r="R697" i="1" s="1"/>
  <c r="Q260" i="1"/>
  <c r="R260" i="1" s="1"/>
  <c r="Q121" i="1"/>
  <c r="R121" i="1" s="1"/>
  <c r="Q561" i="1"/>
  <c r="R561" i="1" s="1"/>
  <c r="Q958" i="1"/>
  <c r="R958" i="1" s="1"/>
  <c r="Q235" i="1"/>
  <c r="R235" i="1" s="1"/>
  <c r="Q825" i="1"/>
  <c r="R825" i="1" s="1"/>
  <c r="Q819" i="1"/>
  <c r="R819" i="1" s="1"/>
  <c r="Q3" i="1"/>
  <c r="R3" i="1" s="1"/>
  <c r="Q622" i="1"/>
  <c r="R622" i="1" s="1"/>
  <c r="Q583" i="1"/>
  <c r="R583" i="1" s="1"/>
  <c r="Q875" i="1"/>
  <c r="R875" i="1" s="1"/>
  <c r="Q785" i="1"/>
  <c r="R785" i="1" s="1"/>
  <c r="Q124" i="1"/>
  <c r="R124" i="1" s="1"/>
  <c r="Q166" i="1"/>
  <c r="R166" i="1" s="1"/>
  <c r="Q351" i="1"/>
  <c r="R351" i="1" s="1"/>
  <c r="Q766" i="1"/>
  <c r="R766" i="1" s="1"/>
  <c r="R89" i="1"/>
  <c r="Q989" i="1"/>
  <c r="R989" i="1" s="1"/>
  <c r="Q626" i="1"/>
  <c r="R626" i="1" s="1"/>
  <c r="R882" i="1"/>
  <c r="R508" i="1"/>
  <c r="Q913" i="1"/>
  <c r="R913" i="1" s="1"/>
  <c r="Q977" i="1"/>
  <c r="R977" i="1" s="1"/>
  <c r="Q388" i="1"/>
  <c r="R388" i="1" s="1"/>
  <c r="Q996" i="1"/>
  <c r="R996" i="1" s="1"/>
  <c r="R205" i="1"/>
  <c r="Q20" i="1"/>
  <c r="R20" i="1" s="1"/>
  <c r="Q198" i="1"/>
  <c r="R198" i="1" s="1"/>
  <c r="Q631" i="1"/>
  <c r="R631" i="1" s="1"/>
  <c r="Q451" i="1"/>
  <c r="R451" i="1" s="1"/>
  <c r="Q675" i="1"/>
  <c r="R675" i="1" s="1"/>
  <c r="Q739" i="1"/>
  <c r="R739" i="1" s="1"/>
  <c r="Q941" i="1"/>
  <c r="R941" i="1" s="1"/>
  <c r="Q827" i="1"/>
  <c r="R827" i="1" s="1"/>
  <c r="Q523" i="1"/>
  <c r="R523" i="1" s="1"/>
  <c r="Q194" i="1"/>
  <c r="R194" i="1" s="1"/>
  <c r="Q474" i="1"/>
  <c r="R474" i="1" s="1"/>
  <c r="Q745" i="1"/>
  <c r="R745" i="1" s="1"/>
  <c r="Q838" i="1"/>
  <c r="R838" i="1" s="1"/>
  <c r="Q220" i="1"/>
  <c r="R220" i="1" s="1"/>
  <c r="Q430" i="1"/>
  <c r="R430" i="1" s="1"/>
  <c r="Q694" i="1"/>
  <c r="R694" i="1" s="1"/>
  <c r="Q812" i="1"/>
  <c r="R812" i="1" s="1"/>
  <c r="Q7" i="1"/>
  <c r="R7" i="1" s="1"/>
  <c r="Q189" i="1"/>
  <c r="R189" i="1" s="1"/>
  <c r="Q493" i="1"/>
  <c r="R493" i="1" s="1"/>
  <c r="Q394" i="1"/>
  <c r="R394" i="1" s="1"/>
  <c r="Q540" i="1"/>
  <c r="R540" i="1" s="1"/>
  <c r="Q729" i="1"/>
  <c r="R729" i="1" s="1"/>
  <c r="Q163" i="1"/>
  <c r="R163" i="1" s="1"/>
  <c r="R621" i="1"/>
  <c r="Q940" i="1"/>
  <c r="R940" i="1" s="1"/>
  <c r="Q216" i="1"/>
  <c r="R216" i="1" s="1"/>
  <c r="Q259" i="1"/>
  <c r="R259" i="1" s="1"/>
  <c r="Q937" i="1"/>
  <c r="R937" i="1" s="1"/>
  <c r="Q893" i="1"/>
  <c r="R893" i="1" s="1"/>
  <c r="Q36" i="1"/>
  <c r="R36" i="1" s="1"/>
  <c r="Q654" i="1"/>
  <c r="R654" i="1" s="1"/>
  <c r="Q519" i="1"/>
  <c r="R519" i="1" s="1"/>
  <c r="Q245" i="1"/>
  <c r="R245" i="1" s="1"/>
  <c r="Q711" i="1"/>
  <c r="R711" i="1" s="1"/>
  <c r="Q45" i="1"/>
  <c r="R45" i="1" s="1"/>
  <c r="Q52" i="1"/>
  <c r="R52" i="1" s="1"/>
  <c r="Q498" i="1"/>
  <c r="R498" i="1" s="1"/>
  <c r="Q492" i="1"/>
  <c r="R492" i="1" s="1"/>
  <c r="Q627" i="1"/>
  <c r="R627" i="1" s="1"/>
  <c r="Q916" i="1"/>
  <c r="R916" i="1" s="1"/>
  <c r="Q939" i="1"/>
  <c r="R939" i="1" s="1"/>
  <c r="Q577" i="1"/>
  <c r="R577" i="1" s="1"/>
  <c r="Q974" i="1"/>
  <c r="R974" i="1" s="1"/>
  <c r="Q35" i="1"/>
  <c r="R35" i="1" s="1"/>
  <c r="Q696" i="1"/>
  <c r="R696" i="1" s="1"/>
  <c r="Q886" i="1"/>
  <c r="R886" i="1" s="1"/>
  <c r="Q244" i="1"/>
  <c r="R244" i="1" s="1"/>
  <c r="Q376" i="1"/>
  <c r="R376" i="1" s="1"/>
  <c r="R570" i="1"/>
  <c r="Q716" i="1"/>
  <c r="R716" i="1" s="1"/>
  <c r="Q349" i="1"/>
  <c r="R349" i="1" s="1"/>
  <c r="Q13" i="1"/>
  <c r="R13" i="1" s="1"/>
  <c r="Q636" i="1"/>
  <c r="R636" i="1" s="1"/>
  <c r="Q320" i="1"/>
  <c r="R320" i="1" s="1"/>
  <c r="R239" i="1"/>
  <c r="R894" i="1"/>
  <c r="R433" i="1"/>
  <c r="R547" i="1"/>
  <c r="R712" i="1"/>
  <c r="Q656" i="1"/>
  <c r="R656" i="1" s="1"/>
  <c r="Q455" i="1"/>
  <c r="R455" i="1" s="1"/>
  <c r="Q460" i="1"/>
  <c r="R460" i="1" s="1"/>
  <c r="Q625" i="1"/>
  <c r="R625" i="1" s="1"/>
  <c r="Q562" i="1"/>
  <c r="R562" i="1" s="1"/>
  <c r="R40" i="1"/>
  <c r="Q362" i="1"/>
  <c r="R362" i="1" s="1"/>
  <c r="Q573" i="1"/>
  <c r="R573" i="1" s="1"/>
  <c r="Q147" i="1"/>
  <c r="R147" i="1" s="1"/>
  <c r="Q174" i="1"/>
  <c r="R174" i="1" s="1"/>
  <c r="Q664" i="1"/>
  <c r="R664" i="1" s="1"/>
  <c r="Q516" i="1"/>
  <c r="R516" i="1" s="1"/>
  <c r="Q568" i="1"/>
  <c r="R568" i="1" s="1"/>
  <c r="Q238" i="1"/>
  <c r="R238" i="1"/>
  <c r="Q619" i="1"/>
  <c r="R619" i="1" s="1"/>
  <c r="Q82" i="1"/>
  <c r="R82" i="1" s="1"/>
  <c r="Q335" i="1"/>
  <c r="R335" i="1" s="1"/>
  <c r="Q862" i="1"/>
  <c r="R862" i="1" s="1"/>
  <c r="Q880" i="1"/>
  <c r="R880" i="1" s="1"/>
  <c r="R396" i="1"/>
  <c r="Q521" i="1"/>
  <c r="R521" i="1" s="1"/>
  <c r="R64" i="1"/>
  <c r="Q160" i="1"/>
  <c r="R160" i="1" s="1"/>
  <c r="R666" i="1"/>
  <c r="Q313" i="1"/>
  <c r="R313" i="1" s="1"/>
  <c r="Q102" i="1"/>
  <c r="R102" i="1" s="1"/>
  <c r="Q243" i="1"/>
  <c r="R243" i="1"/>
  <c r="Q402" i="1"/>
  <c r="R402" i="1" s="1"/>
  <c r="Q876" i="1"/>
  <c r="R876" i="1" s="1"/>
  <c r="R100" i="1"/>
  <c r="Q96" i="1"/>
  <c r="R96" i="1" s="1"/>
  <c r="R117" i="1"/>
  <c r="Q884" i="1"/>
  <c r="R884" i="1" s="1"/>
  <c r="Q500" i="1"/>
  <c r="R500" i="1" s="1"/>
  <c r="Q982" i="1"/>
  <c r="R982" i="1" s="1"/>
  <c r="R607" i="1"/>
  <c r="Q593" i="1"/>
  <c r="R593" i="1" s="1"/>
  <c r="Q903" i="1"/>
  <c r="R903" i="1" s="1"/>
  <c r="Q33" i="1"/>
  <c r="R33" i="1" s="1"/>
  <c r="Q250" i="1"/>
  <c r="R250" i="1" s="1"/>
  <c r="Q404" i="1"/>
  <c r="R404" i="1" s="1"/>
  <c r="R673" i="1"/>
  <c r="R9" i="1"/>
  <c r="R310" i="1"/>
  <c r="R253" i="1"/>
  <c r="R897" i="1"/>
  <c r="R764" i="1"/>
  <c r="Q655" i="1"/>
  <c r="R655" i="1" s="1"/>
  <c r="R928" i="1"/>
  <c r="R348" i="1"/>
  <c r="Q571" i="1"/>
  <c r="R571" i="1" s="1"/>
  <c r="Q43" i="1"/>
  <c r="R43" i="1" s="1"/>
  <c r="Q277" i="1"/>
  <c r="R277" i="1" s="1"/>
  <c r="Q867" i="1"/>
  <c r="R867" i="1" s="1"/>
  <c r="Q479" i="1"/>
  <c r="R479" i="1" s="1"/>
  <c r="Q681" i="1"/>
  <c r="R681" i="1"/>
  <c r="Q294" i="1"/>
  <c r="R294" i="1"/>
  <c r="Q590" i="1"/>
  <c r="R590" i="1" s="1"/>
  <c r="Q816" i="1"/>
  <c r="R816" i="1" s="1"/>
  <c r="Q953" i="1"/>
  <c r="R953" i="1" s="1"/>
  <c r="Q668" i="1"/>
  <c r="R668" i="1" s="1"/>
  <c r="Q66" i="1"/>
  <c r="R66" i="1" s="1"/>
  <c r="Q955" i="1"/>
  <c r="R955" i="1" s="1"/>
  <c r="Q728" i="1"/>
  <c r="R728" i="1"/>
  <c r="Q560" i="1"/>
  <c r="R560" i="1" s="1"/>
  <c r="Q233" i="1"/>
  <c r="R233" i="1" s="1"/>
  <c r="Q783" i="1"/>
  <c r="R783" i="1" s="1"/>
  <c r="Q799" i="1"/>
  <c r="R799" i="1" s="1"/>
  <c r="R845" i="1"/>
  <c r="R359" i="1"/>
  <c r="R443" i="1"/>
  <c r="Q282" i="1"/>
  <c r="R282" i="1" s="1"/>
  <c r="Q499" i="1"/>
  <c r="R499" i="1" s="1"/>
  <c r="Q265" i="1"/>
  <c r="R265" i="1" s="1"/>
  <c r="Q641" i="1"/>
  <c r="R641" i="1" s="1"/>
  <c r="Q975" i="1"/>
  <c r="R975" i="1" s="1"/>
  <c r="Q49" i="1"/>
  <c r="R49" i="1" s="1"/>
  <c r="Q426" i="1"/>
  <c r="R426" i="1" s="1"/>
  <c r="R749" i="1"/>
  <c r="Q330" i="1"/>
  <c r="R330" i="1" s="1"/>
  <c r="Q449" i="1"/>
  <c r="R449" i="1" s="1"/>
  <c r="R966" i="1"/>
  <c r="Q853" i="1"/>
  <c r="R853" i="1" s="1"/>
  <c r="Q419" i="1"/>
  <c r="R419" i="1" s="1"/>
  <c r="Q51" i="1"/>
  <c r="R51" i="1" s="1"/>
  <c r="Q551" i="1"/>
  <c r="R551" i="1" s="1"/>
  <c r="Q870" i="1"/>
  <c r="R870" i="1" s="1"/>
  <c r="Q849" i="1"/>
  <c r="R849" i="1" s="1"/>
  <c r="Q503" i="1"/>
  <c r="R503" i="1" s="1"/>
  <c r="Q772" i="1"/>
  <c r="R772" i="1" s="1"/>
  <c r="R582" i="1"/>
  <c r="R685" i="1"/>
  <c r="R535" i="1"/>
  <c r="R186" i="1"/>
  <c r="R933" i="1"/>
  <c r="Q168" i="1"/>
  <c r="R168" i="1" s="1"/>
  <c r="Q101" i="1"/>
  <c r="R101" i="1" s="1"/>
  <c r="Q91" i="1"/>
  <c r="R91" i="1" s="1"/>
  <c r="R90" i="1"/>
  <c r="Q623" i="1"/>
  <c r="R623" i="1" s="1"/>
  <c r="Q580" i="1"/>
  <c r="R580" i="1" s="1"/>
  <c r="Q554" i="1"/>
  <c r="R554" i="1" s="1"/>
  <c r="Q2" i="1"/>
  <c r="R2" i="1"/>
  <c r="Q792" i="1"/>
  <c r="R792" i="1" s="1"/>
  <c r="Q405" i="1"/>
  <c r="R405" i="1" s="1"/>
  <c r="Q472" i="1"/>
  <c r="R472" i="1" s="1"/>
  <c r="Q715" i="1"/>
  <c r="R715" i="1" s="1"/>
  <c r="Q201" i="1"/>
  <c r="R201" i="1" s="1"/>
  <c r="Q231" i="1"/>
  <c r="R231" i="1" s="1"/>
  <c r="Q1000" i="1"/>
  <c r="R1000" i="1" s="1"/>
  <c r="Q536" i="1"/>
  <c r="R536" i="1" s="1"/>
  <c r="Q420" i="1"/>
  <c r="R420" i="1" s="1"/>
  <c r="Q286" i="1"/>
  <c r="R286" i="1" s="1"/>
  <c r="Q85" i="1"/>
  <c r="R85" i="1" s="1"/>
  <c r="Q386" i="1"/>
  <c r="R386" i="1" s="1"/>
  <c r="Q525" i="1"/>
  <c r="R525" i="1" s="1"/>
  <c r="Q567" i="1"/>
  <c r="R567" i="1" s="1"/>
  <c r="Q211" i="1"/>
  <c r="R211" i="1" s="1"/>
  <c r="Q727" i="1"/>
  <c r="R727" i="1" s="1"/>
  <c r="Q613" i="1"/>
  <c r="R613" i="1" s="1"/>
  <c r="Q717" i="1"/>
  <c r="R717" i="1" s="1"/>
  <c r="Q226" i="1"/>
  <c r="R226" i="1" s="1"/>
  <c r="Q961" i="1"/>
  <c r="R961" i="1" s="1"/>
  <c r="Q787" i="1"/>
  <c r="R787" i="1" s="1"/>
  <c r="Q311" i="1"/>
  <c r="R311" i="1" s="1"/>
  <c r="Q131" i="1"/>
  <c r="R131" i="1" s="1"/>
  <c r="R481" i="1"/>
  <c r="Q922" i="1"/>
  <c r="R922" i="1" s="1"/>
  <c r="Q991" i="1"/>
  <c r="R991" i="1" s="1"/>
  <c r="Q518" i="1"/>
  <c r="R518" i="1"/>
  <c r="Q264" i="1"/>
  <c r="R264" i="1" s="1"/>
  <c r="Q437" i="1"/>
  <c r="R437" i="1"/>
  <c r="Q285" i="1"/>
  <c r="R285" i="1" s="1"/>
  <c r="Q814" i="1"/>
  <c r="R814" i="1" s="1"/>
  <c r="Q735" i="1"/>
  <c r="R735" i="1" s="1"/>
  <c r="Q946" i="1"/>
  <c r="R946" i="1" s="1"/>
  <c r="R357" i="1"/>
  <c r="R152" i="1"/>
  <c r="R506" i="1"/>
  <c r="R439" i="1"/>
  <c r="R810" i="1"/>
  <c r="R155" i="1"/>
  <c r="R232" i="1"/>
  <c r="Q34" i="1"/>
  <c r="R34" i="1"/>
  <c r="Q609" i="1"/>
  <c r="R609" i="1" s="1"/>
  <c r="Q450" i="1"/>
  <c r="R450" i="1" s="1"/>
  <c r="Q644" i="1"/>
  <c r="R644" i="1" s="1"/>
  <c r="Q651" i="1"/>
  <c r="R651" i="1" s="1"/>
  <c r="Q225" i="1"/>
  <c r="R225" i="1" s="1"/>
  <c r="Q909" i="1"/>
  <c r="R909" i="1" s="1"/>
  <c r="Q620" i="1"/>
  <c r="R620" i="1"/>
  <c r="Q323" i="1"/>
  <c r="R323" i="1" s="1"/>
  <c r="Q338" i="1"/>
  <c r="R338" i="1" s="1"/>
  <c r="Q994" i="1"/>
  <c r="R994" i="1" s="1"/>
  <c r="Q901" i="1"/>
  <c r="R901" i="1" s="1"/>
  <c r="Q976" i="1"/>
  <c r="R976" i="1" s="1"/>
  <c r="Q365" i="1"/>
  <c r="R365" i="1" s="1"/>
  <c r="Q502" i="1"/>
  <c r="R502" i="1" s="1"/>
  <c r="Q24" i="1"/>
  <c r="R24" i="1" s="1"/>
  <c r="Q563" i="1"/>
  <c r="R563" i="1" s="1"/>
  <c r="Q998" i="1"/>
  <c r="R998" i="1" s="1"/>
  <c r="Q496" i="1"/>
  <c r="R496" i="1" s="1"/>
  <c r="Q511" i="1"/>
  <c r="R511" i="1" s="1"/>
  <c r="R110" i="1"/>
  <c r="Q148" i="1"/>
  <c r="R148" i="1"/>
  <c r="R355" i="1"/>
  <c r="Q39" i="1"/>
  <c r="R39" i="1" s="1"/>
  <c r="Q565" i="1"/>
  <c r="R565" i="1" s="1"/>
  <c r="Q952" i="1"/>
  <c r="R952" i="1" s="1"/>
  <c r="Q687" i="1"/>
  <c r="R687" i="1" s="1"/>
  <c r="Q633" i="1"/>
  <c r="R633" i="1" s="1"/>
  <c r="R526" i="1"/>
  <c r="R788" i="1"/>
  <c r="Q384" i="1"/>
  <c r="R384" i="1" s="1"/>
  <c r="Q659" i="1"/>
  <c r="R659" i="1" s="1"/>
  <c r="Q774" i="1"/>
  <c r="R774" i="1" s="1"/>
  <c r="Q851" i="1"/>
  <c r="R851" i="1" s="1"/>
  <c r="Q29" i="1"/>
  <c r="R29" i="1" s="1"/>
  <c r="Q514" i="1"/>
  <c r="R514" i="1" s="1"/>
  <c r="Q895" i="1"/>
  <c r="R895" i="1" s="1"/>
  <c r="R467" i="1"/>
  <c r="Q707" i="1"/>
  <c r="R707" i="1" s="1"/>
  <c r="Q292" i="1"/>
  <c r="R292" i="1" s="1"/>
  <c r="Q337" i="1"/>
  <c r="R337" i="1" s="1"/>
  <c r="Q8" i="1"/>
  <c r="R8" i="1" s="1"/>
  <c r="R212" i="1"/>
  <c r="R266" i="1"/>
  <c r="Q911" i="1"/>
  <c r="R911" i="1" s="1"/>
  <c r="Q920" i="1"/>
  <c r="R920" i="1" s="1"/>
  <c r="Q422" i="1"/>
  <c r="R422" i="1" s="1"/>
  <c r="Q94" i="1"/>
  <c r="R94" i="1" s="1"/>
  <c r="Q31" i="1"/>
  <c r="R31" i="1" s="1"/>
  <c r="Q543" i="1"/>
  <c r="R543" i="1" s="1"/>
  <c r="Q987" i="1"/>
  <c r="R987" i="1" s="1"/>
  <c r="Q133" i="1"/>
  <c r="R133" i="1" s="1"/>
  <c r="Q372" i="1"/>
  <c r="R372" i="1" s="1"/>
  <c r="Q564" i="1"/>
  <c r="R564" i="1" s="1"/>
  <c r="Q830" i="1"/>
  <c r="R830" i="1" s="1"/>
  <c r="Q258" i="1"/>
  <c r="R258" i="1" s="1"/>
  <c r="Q223" i="1"/>
  <c r="R223" i="1" s="1"/>
  <c r="Q635" i="1"/>
  <c r="R635" i="1" s="1"/>
  <c r="Q863" i="1"/>
  <c r="R863" i="1" s="1"/>
  <c r="Q249" i="1"/>
  <c r="R249" i="1" s="1"/>
  <c r="Q200" i="1"/>
  <c r="R200" i="1" s="1"/>
  <c r="Q757" i="1"/>
  <c r="R757" i="1" s="1"/>
  <c r="Q491" i="1"/>
  <c r="R491" i="1" s="1"/>
  <c r="Q714" i="1"/>
  <c r="R714" i="1" s="1"/>
  <c r="Q328" i="1"/>
  <c r="R328" i="1" s="1"/>
  <c r="Q172" i="1"/>
  <c r="R172" i="1" s="1"/>
  <c r="Q756" i="1"/>
  <c r="R756" i="1"/>
  <c r="Q46" i="1"/>
  <c r="R46" i="1" s="1"/>
  <c r="Q575" i="1"/>
  <c r="R575" i="1" s="1"/>
  <c r="Q589" i="1"/>
  <c r="R589" i="1" s="1"/>
  <c r="Q461" i="1"/>
  <c r="R461" i="1" s="1"/>
  <c r="Q700" i="1"/>
  <c r="R700" i="1" s="1"/>
  <c r="Q80" i="1"/>
  <c r="R80" i="1" s="1"/>
  <c r="Q868" i="1"/>
  <c r="R868" i="1" s="1"/>
  <c r="Q276" i="1"/>
  <c r="R276" i="1" s="1"/>
  <c r="Q5" i="1"/>
  <c r="R5" i="1" s="1"/>
  <c r="R809" i="1"/>
  <c r="R688" i="1"/>
  <c r="R558" i="1"/>
  <c r="R453" i="1"/>
  <c r="R307" i="1"/>
  <c r="Q390" i="1"/>
  <c r="R390" i="1" s="1"/>
  <c r="R927" i="1"/>
  <c r="Q653" i="1"/>
  <c r="R653" i="1" s="1"/>
  <c r="Q74" i="1"/>
  <c r="R74" i="1" s="1"/>
  <c r="Q78" i="1"/>
  <c r="R78" i="1" s="1"/>
  <c r="Q854" i="1"/>
  <c r="R854" i="1" s="1"/>
  <c r="Q73" i="1"/>
  <c r="R73" i="1" s="1"/>
  <c r="Q18" i="1"/>
  <c r="R18" i="1" s="1"/>
  <c r="Q370" i="1"/>
  <c r="R370" i="1" s="1"/>
  <c r="Q28" i="1"/>
  <c r="R28" i="1" s="1"/>
  <c r="Q141" i="1"/>
  <c r="R141" i="1" s="1"/>
  <c r="Q79" i="1"/>
  <c r="R79" i="1" s="1"/>
  <c r="Q408" i="1"/>
  <c r="R408" i="1" s="1"/>
  <c r="Q333" i="1"/>
  <c r="R333" i="1" s="1"/>
  <c r="Q665" i="1"/>
  <c r="R665" i="1"/>
  <c r="Q736" i="1"/>
  <c r="R736" i="1" s="1"/>
  <c r="Q424" i="1"/>
  <c r="R424" i="1" s="1"/>
  <c r="Q850" i="1"/>
  <c r="R850" i="1" s="1"/>
  <c r="Q56" i="1"/>
  <c r="R56" i="1" s="1"/>
  <c r="Q83" i="1"/>
  <c r="R83" i="1" s="1"/>
  <c r="Q873" i="1"/>
  <c r="R873" i="1" s="1"/>
  <c r="R971" i="1"/>
  <c r="Q288" i="1"/>
  <c r="R288" i="1" s="1"/>
  <c r="Q317" i="1"/>
  <c r="R317" i="1" s="1"/>
  <c r="Q373" i="1"/>
  <c r="R373" i="1" s="1"/>
  <c r="Q162" i="1"/>
  <c r="R162" i="1" s="1"/>
  <c r="Q6" i="1"/>
  <c r="R6" i="1" s="1"/>
  <c r="R252" i="1"/>
  <c r="Q684" i="1"/>
  <c r="R684" i="1" s="1"/>
  <c r="Q737" i="1"/>
  <c r="R737" i="1" s="1"/>
  <c r="Q898" i="1"/>
  <c r="R898" i="1" s="1"/>
  <c r="Q780" i="1"/>
  <c r="R780" i="1" s="1"/>
  <c r="Q768" i="1"/>
  <c r="R768" i="1" s="1"/>
  <c r="Q691" i="1"/>
  <c r="R691" i="1" s="1"/>
  <c r="Q579" i="1"/>
  <c r="R579" i="1" s="1"/>
  <c r="Q129" i="1"/>
  <c r="R129" i="1" s="1"/>
  <c r="Q196" i="1"/>
  <c r="R196" i="1" s="1"/>
  <c r="Q421" i="1"/>
  <c r="R421" i="1" s="1"/>
  <c r="Q915" i="1"/>
  <c r="R915" i="1" s="1"/>
  <c r="Q510" i="1"/>
  <c r="R510" i="1" s="1"/>
  <c r="Q597" i="1"/>
  <c r="R597" i="1" s="1"/>
  <c r="Q440" i="1"/>
  <c r="R440" i="1" s="1"/>
  <c r="Q669" i="1"/>
  <c r="R669" i="1" s="1"/>
  <c r="Q802" i="1"/>
  <c r="R802" i="1" s="1"/>
  <c r="Q487" i="1"/>
  <c r="R487" i="1" s="1"/>
  <c r="Q379" i="1"/>
  <c r="R379" i="1" s="1"/>
  <c r="Q30" i="1"/>
  <c r="R30" i="1" s="1"/>
  <c r="Q398" i="1"/>
  <c r="R398" i="1" s="1"/>
  <c r="Q298" i="1"/>
  <c r="R298" i="1" s="1"/>
  <c r="Q111" i="1"/>
  <c r="R111" i="1" s="1"/>
  <c r="Q190" i="1"/>
  <c r="R190" i="1" s="1"/>
  <c r="R723" i="1"/>
  <c r="R550" i="1"/>
  <c r="R538" i="1"/>
  <c r="R318" i="1"/>
  <c r="R704" i="1"/>
  <c r="R114" i="1"/>
  <c r="R767" i="1"/>
  <c r="R136" i="1"/>
  <c r="R125" i="1"/>
  <c r="Q228" i="1"/>
  <c r="R228" i="1" s="1"/>
  <c r="Q692" i="1"/>
  <c r="R692" i="1" s="1"/>
  <c r="Q979" i="1"/>
  <c r="R979" i="1" s="1"/>
  <c r="Q287" i="1"/>
  <c r="R287" i="1" s="1"/>
  <c r="Q19" i="1"/>
  <c r="R19" i="1" s="1"/>
  <c r="R159" i="1"/>
  <c r="Q23" i="1"/>
  <c r="R23" i="1" s="1"/>
  <c r="Q888" i="1"/>
  <c r="R888" i="1" s="1"/>
  <c r="Q642" i="1"/>
  <c r="R642" i="1" s="1"/>
  <c r="Q950" i="1"/>
  <c r="R950" i="1" s="1"/>
  <c r="Q931" i="1"/>
  <c r="R931" i="1" s="1"/>
  <c r="Q219" i="1"/>
  <c r="R219" i="1" s="1"/>
  <c r="Q978" i="1"/>
  <c r="R978" i="1" s="1"/>
  <c r="Q761" i="1"/>
  <c r="R761" i="1" s="1"/>
  <c r="Q17" i="1"/>
  <c r="R17" i="1" s="1"/>
  <c r="Q167" i="1"/>
  <c r="R167" i="1" s="1"/>
  <c r="Q68" i="1"/>
  <c r="R68" i="1" s="1"/>
  <c r="Q54" i="1"/>
  <c r="R54" i="1" s="1"/>
  <c r="Q747" i="1"/>
  <c r="R747" i="1" s="1"/>
  <c r="Q137" i="1"/>
  <c r="R137" i="1" s="1"/>
  <c r="Q576" i="1"/>
  <c r="R576" i="1" s="1"/>
  <c r="Q905" i="1"/>
  <c r="R905" i="1" s="1"/>
  <c r="Q586" i="1"/>
  <c r="R586" i="1" s="1"/>
  <c r="R896" i="1"/>
  <c r="Q541" i="1"/>
  <c r="R541" i="1" s="1"/>
  <c r="Q860" i="1"/>
  <c r="R860" i="1" s="1"/>
  <c r="Q748" i="1"/>
  <c r="R748" i="1" s="1"/>
  <c r="Q468" i="1"/>
  <c r="R468" i="1" s="1"/>
  <c r="R240" i="1"/>
  <c r="R217" i="1"/>
  <c r="Q59" i="1"/>
  <c r="R59" i="1" s="1"/>
  <c r="Q475" i="1"/>
  <c r="R475" i="1" s="1"/>
  <c r="Q754" i="1"/>
  <c r="R754" i="1" s="1"/>
  <c r="R606" i="1"/>
  <c r="R794" i="1"/>
  <c r="R306" i="1"/>
  <c r="R173" i="1"/>
  <c r="R786" i="1"/>
  <c r="R48" i="1"/>
  <c r="R130" i="1"/>
  <c r="R504" i="1"/>
  <c r="R441" i="1"/>
  <c r="R434" i="1"/>
  <c r="R883" i="1"/>
  <c r="R149" i="1"/>
  <c r="R900" i="1"/>
  <c r="Z629" i="1" l="1"/>
  <c r="Z66" i="1"/>
  <c r="AA66" i="1"/>
  <c r="AB66" i="1" s="1"/>
  <c r="AB668" i="1"/>
  <c r="AA668" i="1"/>
  <c r="Z876" i="1"/>
  <c r="AA876" i="1"/>
  <c r="AB876" i="1"/>
  <c r="Z597" i="1"/>
  <c r="AB597" i="1"/>
  <c r="Z205" i="1"/>
  <c r="AB205" i="1"/>
  <c r="Z68" i="1"/>
  <c r="AB68" i="1"/>
  <c r="Z297" i="1"/>
  <c r="AB297" i="1"/>
  <c r="Z666" i="1"/>
  <c r="AB666" i="1"/>
  <c r="Z275" i="1"/>
  <c r="AB275" i="1"/>
  <c r="Z743" i="1"/>
  <c r="AB743" i="1"/>
  <c r="Z280" i="1"/>
  <c r="AB280" i="1"/>
  <c r="Z145" i="1"/>
  <c r="AB145" i="1"/>
  <c r="Z619" i="1"/>
  <c r="AB619" i="1"/>
  <c r="Z344" i="1"/>
  <c r="AB344" i="1"/>
  <c r="Z943" i="1"/>
  <c r="AB943" i="1"/>
  <c r="Z783" i="1"/>
  <c r="AB783" i="1"/>
  <c r="Z926" i="1"/>
  <c r="AB926" i="1"/>
  <c r="Z720" i="1"/>
  <c r="AB720" i="1"/>
  <c r="Z676" i="1"/>
  <c r="AB676" i="1"/>
  <c r="Z507" i="1"/>
  <c r="AB507" i="1"/>
  <c r="Z690" i="1"/>
  <c r="AB690" i="1"/>
  <c r="Z317" i="1"/>
  <c r="AB317" i="1"/>
  <c r="Z873" i="1"/>
  <c r="AB873" i="1"/>
  <c r="Z961" i="1"/>
  <c r="AB961" i="1"/>
  <c r="Z215" i="1"/>
  <c r="AB215" i="1"/>
  <c r="Z757" i="1"/>
  <c r="AB757" i="1"/>
  <c r="Z660" i="1"/>
  <c r="AB660" i="1"/>
  <c r="Z658" i="1"/>
  <c r="AB658" i="1"/>
  <c r="Z307" i="1"/>
  <c r="AB307" i="1"/>
  <c r="Z244" i="1"/>
  <c r="AB244" i="1"/>
  <c r="Z513" i="1"/>
  <c r="AB513" i="1"/>
  <c r="Z575" i="1"/>
  <c r="AB575" i="1"/>
  <c r="Z687" i="1"/>
  <c r="AB687" i="1"/>
  <c r="Z709" i="1"/>
  <c r="AB709" i="1"/>
  <c r="Z28" i="1"/>
  <c r="AB28" i="1"/>
  <c r="Z98" i="1"/>
  <c r="AB98" i="1"/>
  <c r="Z541" i="1"/>
  <c r="AB541" i="1"/>
  <c r="Z383" i="1"/>
  <c r="AB383" i="1"/>
  <c r="Z813" i="1"/>
  <c r="AB813" i="1"/>
  <c r="Z146" i="1"/>
  <c r="AB146" i="1"/>
  <c r="Z53" i="1"/>
  <c r="AB53" i="1"/>
  <c r="Z447" i="1"/>
  <c r="AB447" i="1"/>
  <c r="Z83" i="1"/>
  <c r="AB83" i="1"/>
  <c r="Z346" i="1"/>
  <c r="AB346" i="1"/>
  <c r="Z834" i="1"/>
  <c r="AB834" i="1"/>
  <c r="Z563" i="1"/>
  <c r="AB563" i="1"/>
  <c r="Z847" i="1"/>
  <c r="AB847" i="1"/>
  <c r="Z512" i="1"/>
  <c r="AB512" i="1"/>
  <c r="Z941" i="1"/>
  <c r="AB941" i="1"/>
  <c r="Z237" i="1"/>
  <c r="AB237" i="1"/>
  <c r="Z583" i="1"/>
  <c r="AB583" i="1"/>
  <c r="Z37" i="1"/>
  <c r="AB37" i="1"/>
  <c r="Z810" i="1"/>
  <c r="AB810" i="1"/>
  <c r="Z173" i="1"/>
  <c r="AB173" i="1"/>
  <c r="Z229" i="1"/>
  <c r="AB229" i="1"/>
  <c r="Z562" i="1"/>
  <c r="AB562" i="1"/>
  <c r="Z134" i="1"/>
  <c r="AB134" i="1"/>
  <c r="Z576" i="1"/>
  <c r="AB576" i="1"/>
  <c r="Z682" i="1"/>
  <c r="AB682" i="1"/>
  <c r="Z777" i="1"/>
  <c r="AB777" i="1"/>
  <c r="Z997" i="1"/>
  <c r="AB997" i="1"/>
  <c r="Z641" i="1"/>
  <c r="AB641" i="1"/>
  <c r="Z885" i="1"/>
  <c r="AB885" i="1"/>
  <c r="Z962" i="1"/>
  <c r="AB962" i="1"/>
  <c r="Z224" i="1"/>
  <c r="AB224" i="1"/>
  <c r="Z26" i="1"/>
  <c r="AB26" i="1"/>
  <c r="Z324" i="1"/>
  <c r="AB324" i="1"/>
  <c r="Z759" i="1"/>
  <c r="AB759" i="1"/>
  <c r="Z611" i="1"/>
  <c r="AB611" i="1"/>
  <c r="Z285" i="1"/>
  <c r="AB285" i="1"/>
  <c r="Z814" i="1"/>
  <c r="AB814" i="1"/>
  <c r="Z751" i="1"/>
  <c r="AB751" i="1"/>
  <c r="Z323" i="1"/>
  <c r="AB323" i="1"/>
  <c r="Z355" i="1"/>
  <c r="AB355" i="1"/>
  <c r="Z250" i="1"/>
  <c r="AB250" i="1"/>
  <c r="Z478" i="1"/>
  <c r="AB478" i="1"/>
  <c r="Z153" i="1"/>
  <c r="AB153" i="1"/>
  <c r="Z837" i="1"/>
  <c r="AB837" i="1"/>
  <c r="Z602" i="1"/>
  <c r="AB602" i="1"/>
  <c r="Z59" i="1"/>
  <c r="AB59" i="1"/>
  <c r="Z844" i="1"/>
  <c r="AB844" i="1"/>
  <c r="Z128" i="1"/>
  <c r="AB128" i="1"/>
  <c r="Z556" i="1"/>
  <c r="AB556" i="1"/>
  <c r="Z105" i="1"/>
  <c r="AB105" i="1"/>
  <c r="Z485" i="1"/>
  <c r="AB485" i="1"/>
  <c r="Z262" i="1"/>
  <c r="AB262" i="1"/>
  <c r="Z970" i="1"/>
  <c r="AB970" i="1"/>
  <c r="Z90" i="1"/>
  <c r="AB90" i="1"/>
  <c r="Z274" i="1"/>
  <c r="AB274" i="1"/>
  <c r="Z875" i="1"/>
  <c r="AB875" i="1"/>
  <c r="Z428" i="1"/>
  <c r="AB428" i="1"/>
  <c r="Z518" i="1"/>
  <c r="AB518" i="1"/>
  <c r="Z497" i="1"/>
  <c r="AB497" i="1"/>
  <c r="Z888" i="1"/>
  <c r="AB888" i="1"/>
  <c r="Z337" i="1"/>
  <c r="AB337" i="1"/>
  <c r="Z968" i="1"/>
  <c r="AB968" i="1"/>
  <c r="Z319" i="1"/>
  <c r="AB319" i="1"/>
  <c r="Z695" i="1"/>
  <c r="AB695" i="1"/>
  <c r="Z547" i="1"/>
  <c r="AB547" i="1"/>
  <c r="Z300" i="1"/>
  <c r="AB300" i="1"/>
  <c r="Z566" i="1"/>
  <c r="AB566" i="1"/>
  <c r="Z117" i="1"/>
  <c r="AB117" i="1"/>
  <c r="Z860" i="1"/>
  <c r="AB860" i="1"/>
  <c r="Z579" i="1"/>
  <c r="AB579" i="1"/>
  <c r="Z61" i="1"/>
  <c r="AB61" i="1"/>
  <c r="Z617" i="1"/>
  <c r="AB617" i="1"/>
  <c r="Z985" i="1"/>
  <c r="AB985" i="1"/>
  <c r="Z304" i="1"/>
  <c r="AB304" i="1"/>
  <c r="Z41" i="1"/>
  <c r="AB41" i="1"/>
  <c r="Z113" i="1"/>
  <c r="AB113" i="1"/>
  <c r="Z12" i="1"/>
  <c r="AB12" i="1"/>
  <c r="Z977" i="1"/>
  <c r="AB977" i="1"/>
  <c r="Z477" i="1"/>
  <c r="AB477" i="1"/>
  <c r="Z569" i="1"/>
  <c r="AB569" i="1"/>
  <c r="Z740" i="1"/>
  <c r="AB740" i="1"/>
  <c r="Z725" i="1"/>
  <c r="AB725" i="1"/>
  <c r="Z586" i="1"/>
  <c r="AB586" i="1"/>
  <c r="Z803" i="1"/>
  <c r="AB803" i="1"/>
  <c r="Z498" i="1"/>
  <c r="AB498" i="1"/>
  <c r="Z257" i="1"/>
  <c r="AB257" i="1"/>
  <c r="Z499" i="1"/>
  <c r="AB499" i="1"/>
  <c r="Z162" i="1"/>
  <c r="AB162" i="1"/>
  <c r="Z467" i="1"/>
  <c r="AB467" i="1"/>
  <c r="Z115" i="1"/>
  <c r="AB115" i="1"/>
  <c r="Z851" i="1"/>
  <c r="AB851" i="1"/>
  <c r="Z475" i="1"/>
  <c r="AB475" i="1"/>
  <c r="Z177" i="1"/>
  <c r="AB177" i="1"/>
  <c r="Z865" i="1"/>
  <c r="AB865" i="1"/>
  <c r="Z818" i="1"/>
  <c r="AB818" i="1"/>
  <c r="Z464" i="1"/>
  <c r="AB464" i="1"/>
  <c r="Z228" i="1"/>
  <c r="AB228" i="1"/>
  <c r="Z391" i="1"/>
  <c r="AB391" i="1"/>
  <c r="Z917" i="1"/>
  <c r="AB917" i="1"/>
  <c r="Z108" i="1"/>
  <c r="AB108" i="1"/>
  <c r="Z770" i="1"/>
  <c r="AB770" i="1"/>
  <c r="Z878" i="1"/>
  <c r="AB878" i="1"/>
  <c r="Z263" i="1"/>
  <c r="AB263" i="1"/>
  <c r="Z971" i="1"/>
  <c r="AB971" i="1"/>
  <c r="Z315" i="1"/>
  <c r="AB315" i="1"/>
  <c r="Z333" i="1"/>
  <c r="AB333" i="1"/>
  <c r="Z62" i="1"/>
  <c r="AB62" i="1"/>
  <c r="Z744" i="1"/>
  <c r="AB744" i="1"/>
  <c r="Z855" i="1"/>
  <c r="AB855" i="1"/>
  <c r="Z313" i="1"/>
  <c r="AB313" i="1"/>
  <c r="Z966" i="1"/>
  <c r="AB966" i="1"/>
  <c r="Z110" i="1"/>
  <c r="AB110" i="1"/>
  <c r="Z2" i="1"/>
  <c r="AB2" i="1"/>
  <c r="Z296" i="1"/>
  <c r="AB296" i="1"/>
  <c r="Z357" i="1"/>
  <c r="AB357" i="1"/>
  <c r="Z192" i="1"/>
  <c r="AB192" i="1"/>
  <c r="Z864" i="1"/>
  <c r="AB864" i="1"/>
  <c r="Z419" i="1"/>
  <c r="AB419" i="1"/>
  <c r="Z144" i="1"/>
  <c r="AB144" i="1"/>
  <c r="Z390" i="1"/>
  <c r="AB390" i="1"/>
  <c r="Z282" i="1"/>
  <c r="AB282" i="1"/>
  <c r="Z354" i="1"/>
  <c r="AB354" i="1"/>
  <c r="Z365" i="1"/>
  <c r="AB365" i="1"/>
  <c r="Z987" i="1"/>
  <c r="AB987" i="1"/>
  <c r="Z398" i="1"/>
  <c r="AB398" i="1"/>
  <c r="Z940" i="1"/>
  <c r="AB940" i="1"/>
  <c r="Z331" i="1"/>
  <c r="AB331" i="1"/>
  <c r="Z96" i="1"/>
  <c r="AB96" i="1"/>
  <c r="Z696" i="1"/>
  <c r="AB696" i="1"/>
  <c r="Z245" i="1"/>
  <c r="AB245" i="1"/>
  <c r="Z366" i="1"/>
  <c r="AB366" i="1"/>
  <c r="Z200" i="1"/>
  <c r="AB200" i="1"/>
  <c r="Z647" i="1"/>
  <c r="AB647" i="1"/>
  <c r="Z843" i="1"/>
  <c r="AB843" i="1"/>
  <c r="Z378" i="1"/>
  <c r="AB378" i="1"/>
  <c r="Z399" i="1"/>
  <c r="AB399" i="1"/>
  <c r="Z397" i="1"/>
  <c r="AB397" i="1"/>
  <c r="Z632" i="1"/>
  <c r="AB632" i="1"/>
  <c r="Z106" i="1"/>
  <c r="AB106" i="1"/>
  <c r="Z504" i="1"/>
  <c r="AB504" i="1"/>
  <c r="Z502" i="1"/>
  <c r="AB502" i="1"/>
  <c r="Z536" i="1"/>
  <c r="AB536" i="1"/>
  <c r="Z65" i="1"/>
  <c r="AB65" i="1"/>
  <c r="Z804" i="1"/>
  <c r="AB804" i="1"/>
  <c r="Z869" i="1"/>
  <c r="AB869" i="1"/>
  <c r="Z352" i="1"/>
  <c r="AB352" i="1"/>
  <c r="Z631" i="1"/>
  <c r="AB631" i="1"/>
  <c r="Z203" i="1"/>
  <c r="AB203" i="1"/>
  <c r="Z434" i="1"/>
  <c r="AB434" i="1"/>
  <c r="Z278" i="1"/>
  <c r="AB278" i="1"/>
  <c r="Z1001" i="1"/>
  <c r="AB1001" i="1"/>
  <c r="Z939" i="1"/>
  <c r="AB939" i="1"/>
  <c r="Z187" i="1"/>
  <c r="AB187" i="1"/>
  <c r="Z416" i="1"/>
  <c r="AB416" i="1"/>
  <c r="Z139" i="1"/>
  <c r="AB139" i="1"/>
  <c r="Z437" i="1"/>
  <c r="AB437" i="1"/>
  <c r="Z432" i="1"/>
  <c r="AB432" i="1"/>
  <c r="Z21" i="1"/>
  <c r="AB21" i="1"/>
  <c r="Z138" i="1"/>
  <c r="AB138" i="1"/>
  <c r="Z913" i="1"/>
  <c r="AB913" i="1"/>
  <c r="Z922" i="1"/>
  <c r="AB922" i="1"/>
  <c r="Z57" i="1"/>
  <c r="AB57" i="1"/>
  <c r="Z125" i="1"/>
  <c r="AB125" i="1"/>
  <c r="Z956" i="1"/>
  <c r="AB956" i="1"/>
  <c r="Z50" i="1"/>
  <c r="AB50" i="1"/>
  <c r="Z846" i="1"/>
  <c r="AB846" i="1"/>
  <c r="Z490" i="1"/>
  <c r="AB490" i="1"/>
  <c r="Z99" i="1"/>
  <c r="AB99" i="1"/>
  <c r="Z221" i="1"/>
  <c r="AB221" i="1"/>
  <c r="Z356" i="1"/>
  <c r="AB356" i="1"/>
  <c r="Z721" i="1"/>
  <c r="AB721" i="1"/>
  <c r="Z431" i="1"/>
  <c r="AB431" i="1"/>
  <c r="Z947" i="1"/>
  <c r="AB947" i="1"/>
  <c r="Z44" i="1"/>
  <c r="AB44" i="1"/>
  <c r="Z911" i="1"/>
  <c r="AB911" i="1"/>
  <c r="Z902" i="1"/>
  <c r="AB902" i="1"/>
  <c r="Z43" i="1"/>
  <c r="AB43" i="1"/>
  <c r="Z893" i="1"/>
  <c r="AB893" i="1"/>
  <c r="Z555" i="1"/>
  <c r="AB555" i="1"/>
  <c r="Z309" i="1"/>
  <c r="AB309" i="1"/>
  <c r="Z706" i="1"/>
  <c r="AB706" i="1"/>
  <c r="Z996" i="1"/>
  <c r="AB996" i="1"/>
  <c r="Z765" i="1"/>
  <c r="AB765" i="1"/>
  <c r="Z388" i="1"/>
  <c r="AB388" i="1"/>
  <c r="Z381" i="1"/>
  <c r="AB381" i="1"/>
  <c r="Z298" i="1"/>
  <c r="AB298" i="1"/>
  <c r="Z510" i="1"/>
  <c r="AB510" i="1"/>
  <c r="Z677" i="1"/>
  <c r="AB677" i="1"/>
  <c r="Z253" i="1"/>
  <c r="AB253" i="1"/>
  <c r="Z515" i="1"/>
  <c r="AB515" i="1"/>
  <c r="Z396" i="1"/>
  <c r="AB396" i="1"/>
  <c r="Z549" i="1"/>
  <c r="AB549" i="1"/>
  <c r="Z407" i="1"/>
  <c r="AB407" i="1"/>
  <c r="Z423" i="1"/>
  <c r="AB423" i="1"/>
  <c r="Z882" i="1"/>
  <c r="AB882" i="1"/>
  <c r="Z636" i="1"/>
  <c r="AB636" i="1"/>
  <c r="Z361" i="1"/>
  <c r="AB361" i="1"/>
  <c r="Z600" i="1"/>
  <c r="AB600" i="1"/>
  <c r="Z862" i="1"/>
  <c r="AB862" i="1"/>
  <c r="Z156" i="1"/>
  <c r="AB156" i="1"/>
  <c r="Z899" i="1"/>
  <c r="AB899" i="1"/>
  <c r="Z598" i="1"/>
  <c r="AB598" i="1"/>
  <c r="Z430" i="1"/>
  <c r="AB430" i="1"/>
  <c r="Z590" i="1"/>
  <c r="AB590" i="1"/>
  <c r="Z443" i="1"/>
  <c r="AB443" i="1"/>
  <c r="Z953" i="1"/>
  <c r="AB953" i="1"/>
  <c r="Z17" i="1"/>
  <c r="AB17" i="1"/>
  <c r="Z769" i="1"/>
  <c r="AB769" i="1"/>
  <c r="Z425" i="1"/>
  <c r="AB425" i="1"/>
  <c r="Z527" i="1"/>
  <c r="AB527" i="1"/>
  <c r="Z473" i="1"/>
  <c r="AB473" i="1"/>
  <c r="Z924" i="1"/>
  <c r="AB924" i="1"/>
  <c r="Z164" i="1"/>
  <c r="AB164" i="1"/>
  <c r="Z524" i="1"/>
  <c r="AB524" i="1"/>
  <c r="Z702" i="1"/>
  <c r="AB702" i="1"/>
  <c r="Z56" i="1"/>
  <c r="AB56" i="1"/>
  <c r="Z746" i="1"/>
  <c r="AB746" i="1"/>
  <c r="Z526" i="1"/>
  <c r="AB526" i="1"/>
  <c r="Z72" i="1"/>
  <c r="AB72" i="1"/>
  <c r="Z31" i="1"/>
  <c r="AB31" i="1"/>
  <c r="Z879" i="1"/>
  <c r="AB879" i="1"/>
  <c r="Z582" i="1"/>
  <c r="AB582" i="1"/>
  <c r="Z404" i="1"/>
  <c r="AB404" i="1"/>
  <c r="Z675" i="1"/>
  <c r="AB675" i="1"/>
  <c r="Z684" i="1"/>
  <c r="AB684" i="1"/>
  <c r="Z112" i="1"/>
  <c r="AB112" i="1"/>
  <c r="Z857" i="1"/>
  <c r="AB857" i="1"/>
  <c r="Z945" i="1"/>
  <c r="AB945" i="1"/>
  <c r="Z861" i="1"/>
  <c r="AB861" i="1"/>
  <c r="Z951" i="1"/>
  <c r="AB951" i="1"/>
  <c r="Z615" i="1"/>
  <c r="AB615" i="1"/>
  <c r="Z427" i="1"/>
  <c r="AB427" i="1"/>
  <c r="Z670" i="1"/>
  <c r="AB670" i="1"/>
  <c r="Z465" i="1"/>
  <c r="AB465" i="1"/>
  <c r="Z152" i="1"/>
  <c r="AB152" i="1"/>
  <c r="Z411" i="1"/>
  <c r="AB411" i="1"/>
  <c r="Z529" i="1"/>
  <c r="AB529" i="1"/>
  <c r="Z424" i="1"/>
  <c r="AB424" i="1"/>
  <c r="Z691" i="1"/>
  <c r="AB691" i="1"/>
  <c r="Z544" i="1"/>
  <c r="AB544" i="1"/>
  <c r="Z71" i="1"/>
  <c r="AB71" i="1"/>
  <c r="Z889" i="1"/>
  <c r="AB889" i="1"/>
  <c r="Z886" i="1"/>
  <c r="AB886" i="1"/>
  <c r="Z925" i="1"/>
  <c r="AB925" i="1"/>
  <c r="Z703" i="1"/>
  <c r="AB703" i="1"/>
  <c r="Z574" i="1"/>
  <c r="AB574" i="1"/>
  <c r="Z904" i="1"/>
  <c r="AB904" i="1"/>
  <c r="Z606" i="1"/>
  <c r="AB606" i="1"/>
  <c r="Z551" i="1"/>
  <c r="AB551" i="1"/>
  <c r="Z905" i="1"/>
  <c r="AB905" i="1"/>
  <c r="Z52" i="1"/>
  <c r="AB52" i="1"/>
  <c r="Z723" i="1"/>
  <c r="AB723" i="1"/>
  <c r="Z548" i="1"/>
  <c r="AB548" i="1"/>
  <c r="Z272" i="1"/>
  <c r="AB272" i="1"/>
  <c r="Z243" i="1"/>
  <c r="AB243" i="1"/>
  <c r="Z829" i="1"/>
  <c r="AB829" i="1"/>
  <c r="Z530" i="1"/>
  <c r="AB530" i="1"/>
  <c r="Z935" i="1"/>
  <c r="AB935" i="1"/>
  <c r="Z171" i="1"/>
  <c r="AB171" i="1"/>
  <c r="Z778" i="1"/>
  <c r="AB778" i="1"/>
  <c r="Z881" i="1"/>
  <c r="AB881" i="1"/>
  <c r="Z393" i="1"/>
  <c r="AB393" i="1"/>
  <c r="Z254" i="1"/>
  <c r="AB254" i="1"/>
  <c r="Z624" i="1"/>
  <c r="AB624" i="1"/>
  <c r="Z742" i="1"/>
  <c r="AB742" i="1"/>
  <c r="Z487" i="1"/>
  <c r="AB487" i="1"/>
  <c r="Z124" i="1"/>
  <c r="AB124" i="1"/>
  <c r="Z969" i="1"/>
  <c r="AB969" i="1"/>
  <c r="Z209" i="1"/>
  <c r="AB209" i="1"/>
  <c r="Z268" i="1"/>
  <c r="AB268" i="1"/>
  <c r="Z288" i="1"/>
  <c r="AB288" i="1"/>
  <c r="Z973" i="1"/>
  <c r="AB973" i="1"/>
  <c r="Z202" i="1"/>
  <c r="AB202" i="1"/>
  <c r="Z737" i="1"/>
  <c r="AB737" i="1"/>
  <c r="Z469" i="1"/>
  <c r="AB469" i="1"/>
  <c r="Z452" i="1"/>
  <c r="AB452" i="1"/>
  <c r="Z545" i="1"/>
  <c r="AB545" i="1"/>
  <c r="Z794" i="1"/>
  <c r="AB794" i="1"/>
  <c r="Z46" i="1"/>
  <c r="AB46" i="1"/>
  <c r="Z591" i="1"/>
  <c r="AB591" i="1"/>
  <c r="Z900" i="1"/>
  <c r="AB900" i="1"/>
  <c r="Z782" i="1"/>
  <c r="AB782" i="1"/>
  <c r="Z1000" i="1"/>
  <c r="AB1000" i="1"/>
  <c r="Z652" i="1"/>
  <c r="AB652" i="1"/>
  <c r="Z949" i="1"/>
  <c r="AB949" i="1"/>
  <c r="Z571" i="1"/>
  <c r="AB571" i="1"/>
  <c r="Z374" i="1"/>
  <c r="AB374" i="1"/>
  <c r="Z314" i="1"/>
  <c r="AB314" i="1"/>
  <c r="Z458" i="1"/>
  <c r="AB458" i="1"/>
  <c r="Z659" i="1"/>
  <c r="AB659" i="1"/>
  <c r="Z553" i="1"/>
  <c r="AB553" i="1"/>
  <c r="Z650" i="1"/>
  <c r="AB650" i="1"/>
  <c r="Z880" i="1"/>
  <c r="AB880" i="1"/>
  <c r="Z87" i="1"/>
  <c r="AB87" i="1"/>
  <c r="Z710" i="1"/>
  <c r="AB710" i="1"/>
  <c r="Z306" i="1"/>
  <c r="AB306" i="1"/>
  <c r="Z369" i="1"/>
  <c r="AB369" i="1"/>
  <c r="Z231" i="1"/>
  <c r="AB231" i="1"/>
  <c r="Z760" i="1"/>
  <c r="AB760" i="1"/>
  <c r="Z991" i="1"/>
  <c r="AB991" i="1"/>
  <c r="Z519" i="1"/>
  <c r="AB519" i="1"/>
  <c r="Z980" i="1"/>
  <c r="AB980" i="1"/>
  <c r="Z705" i="1"/>
  <c r="AB705" i="1"/>
  <c r="Z479" i="1"/>
  <c r="AB479" i="1"/>
  <c r="Z655" i="1"/>
  <c r="AB655" i="1"/>
  <c r="Z739" i="1"/>
  <c r="AB739" i="1"/>
  <c r="Z420" i="1"/>
  <c r="AB420" i="1"/>
  <c r="Z981" i="1"/>
  <c r="AB981" i="1"/>
  <c r="Z564" i="1"/>
  <c r="AB564" i="1"/>
  <c r="Z260" i="1"/>
  <c r="AB260" i="1"/>
  <c r="Z707" i="1"/>
  <c r="AB707" i="1"/>
  <c r="Z595" i="1"/>
  <c r="AB595" i="1"/>
  <c r="Z984" i="1"/>
  <c r="AB984" i="1"/>
  <c r="Z863" i="1"/>
  <c r="AB863" i="1"/>
  <c r="Z539" i="1"/>
  <c r="AB539" i="1"/>
  <c r="Z852" i="1"/>
  <c r="AB852" i="1"/>
  <c r="Z715" i="1"/>
  <c r="AB715" i="1"/>
  <c r="Z482" i="1"/>
  <c r="AB482" i="1"/>
  <c r="Z712" i="1"/>
  <c r="AB712" i="1"/>
  <c r="Z417" i="1"/>
  <c r="AB417" i="1"/>
  <c r="Z111" i="1"/>
  <c r="AB111" i="1"/>
  <c r="Z326" i="1"/>
  <c r="AB326" i="1"/>
  <c r="Z955" i="1"/>
  <c r="AB955" i="1"/>
  <c r="Z255" i="1"/>
  <c r="AB255" i="1"/>
  <c r="Z118" i="1"/>
  <c r="AB118" i="1"/>
  <c r="Z788" i="1"/>
  <c r="AB788" i="1"/>
  <c r="Z10" i="1"/>
  <c r="AB10" i="1"/>
  <c r="Z967" i="1"/>
  <c r="AB967" i="1"/>
  <c r="Z382" i="1"/>
  <c r="AB382" i="1"/>
  <c r="Z372" i="1"/>
  <c r="AB372" i="1"/>
  <c r="Z339" i="1"/>
  <c r="AB339" i="1"/>
  <c r="Z531" i="1"/>
  <c r="AB531" i="1"/>
  <c r="Z727" i="1"/>
  <c r="AB727" i="1"/>
  <c r="Z823" i="1"/>
  <c r="AB823" i="1"/>
  <c r="Z839" i="1"/>
  <c r="AB839" i="1"/>
  <c r="Z908" i="1"/>
  <c r="AB908" i="1"/>
  <c r="Z226" i="1"/>
  <c r="AB226" i="1"/>
  <c r="Z645" i="1"/>
  <c r="AB645" i="1"/>
  <c r="Z183" i="1"/>
  <c r="AB183" i="1"/>
  <c r="Z197" i="1"/>
  <c r="AB197" i="1"/>
  <c r="Z887" i="1"/>
  <c r="AB887" i="1"/>
  <c r="Z179" i="1"/>
  <c r="AB179" i="1"/>
  <c r="Z929" i="1"/>
  <c r="AB929" i="1"/>
  <c r="Z812" i="1"/>
  <c r="AB812" i="1"/>
  <c r="Z936" i="1"/>
  <c r="AB936" i="1"/>
  <c r="Z347" i="1"/>
  <c r="AB347" i="1"/>
  <c r="Z957" i="1"/>
  <c r="AB957" i="1"/>
  <c r="Z546" i="1"/>
  <c r="AB546" i="1"/>
  <c r="Z738" i="1"/>
  <c r="AB738" i="1"/>
  <c r="Z773" i="1"/>
  <c r="AB773" i="1"/>
  <c r="Z193" i="1"/>
  <c r="AB193" i="1"/>
  <c r="Z550" i="1"/>
  <c r="AB550" i="1"/>
  <c r="Z565" i="1"/>
  <c r="AB565" i="1"/>
  <c r="Z608" i="1"/>
  <c r="AB608" i="1"/>
  <c r="Z127" i="1"/>
  <c r="AB127" i="1"/>
  <c r="Z392" i="1"/>
  <c r="AB392" i="1"/>
  <c r="Z651" i="1"/>
  <c r="AB651" i="1"/>
  <c r="Z310" i="1"/>
  <c r="AB310" i="1"/>
  <c r="Z673" i="1"/>
  <c r="AB673" i="1"/>
  <c r="Z248" i="1"/>
  <c r="AB248" i="1"/>
  <c r="Z772" i="1"/>
  <c r="AB772" i="1"/>
  <c r="Z831" i="1"/>
  <c r="AB831" i="1"/>
  <c r="Z137" i="1"/>
  <c r="AB137" i="1"/>
  <c r="Z994" i="1"/>
  <c r="AB994" i="1"/>
  <c r="Z789" i="1"/>
  <c r="AB789" i="1"/>
  <c r="Z731" i="1"/>
  <c r="AB731" i="1"/>
  <c r="Z495" i="1"/>
  <c r="AB495" i="1"/>
  <c r="Z211" i="1"/>
  <c r="AB211" i="1"/>
  <c r="Z821" i="1"/>
  <c r="AB821" i="1"/>
  <c r="Z22" i="1"/>
  <c r="AB22" i="1"/>
  <c r="Z389" i="1"/>
  <c r="AB389" i="1"/>
  <c r="Z259" i="1"/>
  <c r="AB259" i="1"/>
  <c r="Z799" i="1"/>
  <c r="AB799" i="1"/>
  <c r="Z786" i="1"/>
  <c r="AB786" i="1"/>
  <c r="Z191" i="1"/>
  <c r="AB191" i="1"/>
  <c r="Z897" i="1"/>
  <c r="AB897" i="1"/>
  <c r="Z86" i="1"/>
  <c r="AB86" i="1"/>
  <c r="Z433" i="1"/>
  <c r="AB433" i="1"/>
  <c r="Z88" i="1"/>
  <c r="AB88" i="1"/>
  <c r="Z915" i="1"/>
  <c r="AB915" i="1"/>
  <c r="Z81" i="1"/>
  <c r="AB81" i="1"/>
  <c r="Z960" i="1"/>
  <c r="AB960" i="1"/>
  <c r="Z184" i="1"/>
  <c r="AB184" i="1"/>
  <c r="Z835" i="1"/>
  <c r="AB835" i="1"/>
  <c r="Z151" i="1"/>
  <c r="AB151" i="1"/>
  <c r="Z781" i="1"/>
  <c r="AB781" i="1"/>
  <c r="Z776" i="1"/>
  <c r="AB776" i="1"/>
  <c r="Z484" i="1"/>
  <c r="AB484" i="1"/>
  <c r="Z82" i="1"/>
  <c r="AB82" i="1"/>
  <c r="Z176" i="1"/>
  <c r="AB176" i="1"/>
  <c r="Z386" i="1"/>
  <c r="AB386" i="1"/>
  <c r="Z349" i="1"/>
  <c r="AB349" i="1"/>
  <c r="Z489" i="1"/>
  <c r="AB489" i="1"/>
  <c r="Z557" i="1"/>
  <c r="AB557" i="1"/>
  <c r="Z242" i="1"/>
  <c r="AB242" i="1"/>
  <c r="Z764" i="1"/>
  <c r="AB764" i="1"/>
  <c r="Z762" i="1"/>
  <c r="AB762" i="1"/>
  <c r="Z722" i="1"/>
  <c r="AB722" i="1"/>
  <c r="Z790" i="1"/>
  <c r="AB790" i="1"/>
  <c r="Z135" i="1"/>
  <c r="AB135" i="1"/>
  <c r="Z265" i="1"/>
  <c r="AB265" i="1"/>
  <c r="Z414" i="1"/>
  <c r="AB414" i="1"/>
  <c r="Z580" i="1"/>
  <c r="AB580" i="1"/>
  <c r="Z693" i="1"/>
  <c r="AB693" i="1"/>
  <c r="Z114" i="1"/>
  <c r="AB114" i="1"/>
  <c r="Z774" i="1"/>
  <c r="AB774" i="1"/>
  <c r="Z699" i="1"/>
  <c r="AB699" i="1"/>
  <c r="Z542" i="1"/>
  <c r="AB542" i="1"/>
  <c r="Z269" i="1"/>
  <c r="AB269" i="1"/>
  <c r="Z332" i="1"/>
  <c r="AB332" i="1"/>
  <c r="Z754" i="1"/>
  <c r="AB754" i="1"/>
  <c r="Z745" i="1"/>
  <c r="AB745" i="1"/>
  <c r="Z561" i="1"/>
  <c r="AB561" i="1"/>
  <c r="Z749" i="1"/>
  <c r="AB749" i="1"/>
  <c r="Z460" i="1"/>
  <c r="AB460" i="1"/>
  <c r="Z335" i="1"/>
  <c r="AB335" i="1"/>
  <c r="Z455" i="1"/>
  <c r="AB455" i="1"/>
  <c r="Z648" i="1"/>
  <c r="AB648" i="1"/>
  <c r="Z661" i="1"/>
  <c r="AB661" i="1"/>
  <c r="Z175" i="1"/>
  <c r="AB175" i="1"/>
  <c r="Z853" i="1"/>
  <c r="AB853" i="1"/>
  <c r="Z649" i="1"/>
  <c r="AB649" i="1"/>
  <c r="Z351" i="1"/>
  <c r="AB351" i="1"/>
  <c r="Z217" i="1"/>
  <c r="AB217" i="1"/>
  <c r="Z520" i="1"/>
  <c r="AB520" i="1"/>
  <c r="Z665" i="1"/>
  <c r="AB665" i="1"/>
  <c r="Z768" i="1"/>
  <c r="AB768" i="1"/>
  <c r="Z995" i="1"/>
  <c r="AB995" i="1"/>
  <c r="Z199" i="1"/>
  <c r="AB199" i="1"/>
  <c r="Z311" i="1"/>
  <c r="AB311" i="1"/>
  <c r="Z771" i="1"/>
  <c r="AB771" i="1"/>
  <c r="Z948" i="1"/>
  <c r="AB948" i="1"/>
  <c r="Z806" i="1"/>
  <c r="AB806" i="1"/>
  <c r="Z186" i="1"/>
  <c r="AB186" i="1"/>
  <c r="Z884" i="1"/>
  <c r="AB884" i="1"/>
  <c r="Z91" i="1"/>
  <c r="AB91" i="1"/>
  <c r="Z252" i="1"/>
  <c r="AB252" i="1"/>
  <c r="Z845" i="1"/>
  <c r="AB845" i="1"/>
  <c r="Z368" i="1"/>
  <c r="AB368" i="1"/>
  <c r="Z47" i="1"/>
  <c r="AB47" i="1"/>
  <c r="Z293" i="1"/>
  <c r="AB293" i="1"/>
  <c r="Z785" i="1"/>
  <c r="AB785" i="1"/>
  <c r="Z336" i="1"/>
  <c r="AB336" i="1"/>
  <c r="Z999" i="1"/>
  <c r="AB999" i="1"/>
  <c r="Z406" i="1"/>
  <c r="AB406" i="1"/>
  <c r="Z439" i="1"/>
  <c r="AB439" i="1"/>
  <c r="Z671" i="1"/>
  <c r="AB671" i="1"/>
  <c r="Z79" i="1"/>
  <c r="AB79" i="1"/>
  <c r="Z907" i="1"/>
  <c r="AB907" i="1"/>
  <c r="Z726" i="1"/>
  <c r="AB726" i="1"/>
  <c r="Z418" i="1"/>
  <c r="AB418" i="1"/>
  <c r="Z16" i="1"/>
  <c r="AB16" i="1"/>
  <c r="Z872" i="1"/>
  <c r="AB872" i="1"/>
  <c r="Z73" i="1"/>
  <c r="AB73" i="1"/>
  <c r="Z986" i="1"/>
  <c r="AB986" i="1"/>
  <c r="Z358" i="1"/>
  <c r="AB358" i="1"/>
  <c r="Z848" i="1"/>
  <c r="AB848" i="1"/>
  <c r="Z775" i="1"/>
  <c r="AB775" i="1"/>
  <c r="Z246" i="1"/>
  <c r="AB246" i="1"/>
  <c r="Z180" i="1"/>
  <c r="AB180" i="1"/>
  <c r="Z756" i="1"/>
  <c r="AB756" i="1"/>
  <c r="Z444" i="1"/>
  <c r="AB444" i="1"/>
  <c r="Z634" i="1"/>
  <c r="AB634" i="1"/>
  <c r="Z350" i="1"/>
  <c r="AB350" i="1"/>
  <c r="Z480" i="1"/>
  <c r="AB480" i="1"/>
  <c r="Z685" i="1"/>
  <c r="AB685" i="1"/>
  <c r="Z476" i="1"/>
  <c r="AB476" i="1"/>
  <c r="Z522" i="1"/>
  <c r="AB522" i="1"/>
  <c r="Z453" i="1"/>
  <c r="AB453" i="1"/>
  <c r="Z874" i="1"/>
  <c r="AB874" i="1"/>
  <c r="Z798" i="1"/>
  <c r="AB798" i="1"/>
  <c r="Z456" i="1"/>
  <c r="AB456" i="1"/>
  <c r="Z384" i="1"/>
  <c r="AB384" i="1"/>
  <c r="Z154" i="1"/>
  <c r="AB154" i="1"/>
  <c r="Z69" i="1"/>
  <c r="AB69" i="1"/>
  <c r="Z238" i="1"/>
  <c r="AB238" i="1"/>
  <c r="Z730" i="1"/>
  <c r="AB730" i="1"/>
  <c r="Z97" i="1"/>
  <c r="AB97" i="1"/>
  <c r="Z692" i="1"/>
  <c r="AB692" i="1"/>
  <c r="Z291" i="1"/>
  <c r="AB291" i="1"/>
  <c r="Z493" i="1"/>
  <c r="AB493" i="1"/>
  <c r="Z461" i="1"/>
  <c r="AB461" i="1"/>
  <c r="Z622" i="1"/>
  <c r="AB622" i="1"/>
  <c r="Z931" i="1"/>
  <c r="AB931" i="1"/>
  <c r="Z385" i="1"/>
  <c r="AB385" i="1"/>
  <c r="Z35" i="1"/>
  <c r="AB35" i="1"/>
  <c r="Z30" i="1"/>
  <c r="AB30" i="1"/>
  <c r="Z380" i="1"/>
  <c r="AB380" i="1"/>
  <c r="Z303" i="1"/>
  <c r="AB303" i="1"/>
  <c r="Z694" i="1"/>
  <c r="AB694" i="1"/>
  <c r="Z463" i="1"/>
  <c r="AB463" i="1"/>
  <c r="Z796" i="1"/>
  <c r="AB796" i="1"/>
  <c r="Z581" i="1"/>
  <c r="AB581" i="1"/>
  <c r="Z63" i="1"/>
  <c r="AB63" i="1"/>
  <c r="Z377" i="1"/>
  <c r="AB377" i="1"/>
  <c r="Z277" i="1"/>
  <c r="AB277" i="1"/>
  <c r="Z8" i="1"/>
  <c r="AB8" i="1"/>
  <c r="Z903" i="1"/>
  <c r="AB903" i="1"/>
  <c r="Z993" i="1"/>
  <c r="AB993" i="1"/>
  <c r="Z445" i="1"/>
  <c r="AB445" i="1"/>
  <c r="Z732" i="1"/>
  <c r="AB732" i="1"/>
  <c r="Z328" i="1"/>
  <c r="AB328" i="1"/>
  <c r="Z733" i="1"/>
  <c r="AB733" i="1"/>
  <c r="Z588" i="1"/>
  <c r="AB588" i="1"/>
  <c r="Z94" i="1"/>
  <c r="AB94" i="1"/>
  <c r="Z102" i="1"/>
  <c r="AB102" i="1"/>
  <c r="Z664" i="1"/>
  <c r="AB664" i="1"/>
  <c r="Z23" i="1"/>
  <c r="AB23" i="1"/>
  <c r="Z964" i="1"/>
  <c r="AB964" i="1"/>
  <c r="Z704" i="1"/>
  <c r="AB704" i="1"/>
  <c r="Z766" i="1"/>
  <c r="AB766" i="1"/>
  <c r="Z898" i="1"/>
  <c r="AB898" i="1"/>
  <c r="Z214" i="1"/>
  <c r="AB214" i="1"/>
  <c r="Z533" i="1"/>
  <c r="AB533" i="1"/>
  <c r="Z360" i="1"/>
  <c r="AB360" i="1"/>
  <c r="Z155" i="1"/>
  <c r="AB155" i="1"/>
  <c r="Z178" i="1"/>
  <c r="AB178" i="1"/>
  <c r="Z318" i="1"/>
  <c r="AB318" i="1"/>
  <c r="Z506" i="1"/>
  <c r="AB506" i="1"/>
  <c r="Z182" i="1"/>
  <c r="AB182" i="1"/>
  <c r="Z809" i="1"/>
  <c r="AB809" i="1"/>
  <c r="Z67" i="1"/>
  <c r="AB67" i="1"/>
  <c r="Z376" i="1"/>
  <c r="AB376" i="1"/>
  <c r="Z827" i="1"/>
  <c r="AB827" i="1"/>
  <c r="Z975" i="1"/>
  <c r="AB975" i="1"/>
  <c r="Z74" i="1"/>
  <c r="AB74" i="1"/>
  <c r="Z33" i="1"/>
  <c r="AB33" i="1"/>
  <c r="Z219" i="1"/>
  <c r="AB219" i="1"/>
  <c r="Z508" i="1"/>
  <c r="AB508" i="1"/>
  <c r="Z149" i="1"/>
  <c r="AB149" i="1"/>
  <c r="Z167" i="1"/>
  <c r="AB167" i="1"/>
  <c r="Z441" i="1"/>
  <c r="AB441" i="1"/>
  <c r="Z429" i="1"/>
  <c r="AB429" i="1"/>
  <c r="Z20" i="1"/>
  <c r="AB20" i="1"/>
  <c r="Z842" i="1"/>
  <c r="AB842" i="1"/>
  <c r="Z422" i="1"/>
  <c r="AB422" i="1"/>
  <c r="Z859" i="1"/>
  <c r="AB859" i="1"/>
  <c r="Z234" i="1"/>
  <c r="AB234" i="1"/>
  <c r="Z866" i="1"/>
  <c r="AB866" i="1"/>
  <c r="Z573" i="1"/>
  <c r="AB573" i="1"/>
  <c r="Z825" i="1"/>
  <c r="AB825" i="1"/>
  <c r="Z800" i="1"/>
  <c r="AB800" i="1"/>
  <c r="Z763" i="1"/>
  <c r="AB763" i="1"/>
  <c r="Z978" i="1"/>
  <c r="AB978" i="1"/>
  <c r="Z701" i="1"/>
  <c r="AB701" i="1"/>
  <c r="Z405" i="1"/>
  <c r="AB405" i="1"/>
  <c r="Z603" i="1"/>
  <c r="AB603" i="1"/>
  <c r="Z959" i="1"/>
  <c r="AB959" i="1"/>
  <c r="Z767" i="1"/>
  <c r="AB767" i="1"/>
  <c r="Z653" i="1"/>
  <c r="AB653" i="1"/>
  <c r="Z716" i="1"/>
  <c r="AB716" i="1"/>
  <c r="Z100" i="1"/>
  <c r="AB100" i="1"/>
  <c r="Z552" i="1"/>
  <c r="AB552" i="1"/>
  <c r="Z412" i="1"/>
  <c r="AB412" i="1"/>
  <c r="Z912" i="1"/>
  <c r="AB912" i="1"/>
  <c r="Z15" i="1"/>
  <c r="AB15" i="1"/>
  <c r="Z320" i="1"/>
  <c r="AB320" i="1"/>
  <c r="Z60" i="1"/>
  <c r="AB60" i="1"/>
  <c r="Z283" i="1"/>
  <c r="AB283" i="1"/>
  <c r="Z983" i="1"/>
  <c r="AB983" i="1"/>
  <c r="Z535" i="1"/>
  <c r="AB535" i="1"/>
  <c r="Z235" i="1"/>
  <c r="AB235" i="1"/>
  <c r="Z558" i="1"/>
  <c r="AB558" i="1"/>
  <c r="Z55" i="1"/>
  <c r="AB55" i="1"/>
  <c r="Z965" i="1"/>
  <c r="AB965" i="1"/>
  <c r="Z942" i="1"/>
  <c r="AB942" i="1"/>
  <c r="Z415" i="1"/>
  <c r="AB415" i="1"/>
  <c r="Z577" i="1"/>
  <c r="AB577" i="1"/>
  <c r="Z927" i="1"/>
  <c r="AB927" i="1"/>
  <c r="Z261" i="1"/>
  <c r="AB261" i="1"/>
  <c r="Z817" i="1"/>
  <c r="AB817" i="1"/>
  <c r="Z466" i="1"/>
  <c r="AB466" i="1"/>
  <c r="Z159" i="1"/>
  <c r="AB159" i="1"/>
  <c r="Z718" i="1"/>
  <c r="AB718" i="1"/>
  <c r="Z537" i="1"/>
  <c r="AB537" i="1"/>
  <c r="Z442" i="1"/>
  <c r="AB442" i="1"/>
  <c r="Z251" i="1"/>
  <c r="AB251" i="1"/>
  <c r="Z998" i="1"/>
  <c r="AB998" i="1"/>
  <c r="Z270" i="1"/>
  <c r="AB270" i="1"/>
  <c r="Z89" i="1"/>
  <c r="AB89" i="1"/>
  <c r="Z963" i="1"/>
  <c r="AB963" i="1"/>
  <c r="Z4" i="1"/>
  <c r="AB4" i="1"/>
  <c r="Z637" i="1"/>
  <c r="AB637" i="1"/>
  <c r="Z42" i="1"/>
  <c r="AB42" i="1"/>
  <c r="Z894" i="1"/>
  <c r="AB894" i="1"/>
  <c r="Z492" i="1"/>
  <c r="AB492" i="1"/>
  <c r="Z287" i="1"/>
  <c r="AB287" i="1"/>
  <c r="Z486" i="1"/>
  <c r="AB486" i="1"/>
  <c r="Z570" i="1"/>
  <c r="AB570" i="1"/>
  <c r="Z870" i="1"/>
  <c r="AB870" i="1"/>
  <c r="Z808" i="1"/>
  <c r="AB808" i="1"/>
  <c r="Z883" i="1"/>
  <c r="AB883" i="1"/>
  <c r="Z410" i="1"/>
  <c r="AB410" i="1"/>
  <c r="Z370" i="1"/>
  <c r="AB370" i="1"/>
  <c r="Z359" i="1"/>
  <c r="AB359" i="1"/>
  <c r="Z267" i="1"/>
  <c r="AB267" i="1"/>
  <c r="Z921" i="1"/>
  <c r="AB921" i="1"/>
  <c r="Z728" i="1"/>
  <c r="AB728" i="1"/>
  <c r="Z169" i="1"/>
  <c r="AB169" i="1"/>
  <c r="Z426" i="1"/>
  <c r="AB426" i="1"/>
  <c r="Z305" i="1"/>
  <c r="AB305" i="1"/>
  <c r="Z408" i="1"/>
  <c r="AB408" i="1"/>
  <c r="Z440" i="1"/>
  <c r="AB440" i="1"/>
  <c r="Z780" i="1"/>
  <c r="AB780" i="1"/>
  <c r="Z850" i="1"/>
  <c r="AB850" i="1"/>
  <c r="Z585" i="1"/>
  <c r="AB585" i="1"/>
  <c r="Z501" i="1"/>
  <c r="AB501" i="1"/>
  <c r="Z54" i="1"/>
  <c r="AB54" i="1"/>
  <c r="Z119" i="1"/>
  <c r="AB119" i="1"/>
  <c r="Z605" i="1"/>
  <c r="AB605" i="1"/>
  <c r="Z748" i="1"/>
  <c r="AB748" i="1"/>
  <c r="Z236" i="1"/>
  <c r="AB236" i="1"/>
  <c r="Z232" i="1"/>
  <c r="AB232" i="1"/>
  <c r="Z621" i="1"/>
  <c r="AB621" i="1"/>
  <c r="Z375" i="1"/>
  <c r="AB375" i="1"/>
  <c r="Z559" i="1"/>
  <c r="AB559" i="1"/>
  <c r="Z188" i="1"/>
  <c r="AB188" i="1"/>
  <c r="Z892" i="1"/>
  <c r="AB892" i="1"/>
  <c r="Z18" i="1"/>
  <c r="AB18" i="1"/>
  <c r="Z584" i="1"/>
  <c r="AB584" i="1"/>
  <c r="Z165" i="1"/>
  <c r="AB165" i="1"/>
  <c r="Z828" i="1"/>
  <c r="AB828" i="1"/>
  <c r="Z93" i="1"/>
  <c r="AB93" i="1"/>
  <c r="Z247" i="1"/>
  <c r="AB247" i="1"/>
  <c r="Z811" i="1"/>
  <c r="AB811" i="1"/>
  <c r="Z630" i="1"/>
  <c r="AB630" i="1"/>
  <c r="Z639" i="1"/>
  <c r="AB639" i="1"/>
  <c r="Z103" i="1"/>
  <c r="AB103" i="1"/>
  <c r="Z483" i="1"/>
  <c r="AB483" i="1"/>
  <c r="Z534" i="1"/>
  <c r="AB534" i="1"/>
  <c r="Z592" i="1"/>
  <c r="AB592" i="1"/>
  <c r="Z329" i="1"/>
  <c r="AB329" i="1"/>
  <c r="Z212" i="1"/>
  <c r="AB212" i="1"/>
  <c r="Z801" i="1"/>
  <c r="AB801" i="1"/>
  <c r="Z792" i="1"/>
  <c r="AB792" i="1"/>
  <c r="Z643" i="1"/>
  <c r="AB643" i="1"/>
  <c r="Z719" i="1"/>
  <c r="AB719" i="1"/>
  <c r="Z213" i="1"/>
  <c r="AB213" i="1"/>
  <c r="Z140" i="1"/>
  <c r="AB140" i="1"/>
  <c r="Z714" i="1"/>
  <c r="AB714" i="1"/>
  <c r="Z601" i="1"/>
  <c r="AB601" i="1"/>
  <c r="Z538" i="1"/>
  <c r="AB538" i="1"/>
  <c r="Z741" i="1"/>
  <c r="AB741" i="1"/>
  <c r="Z130" i="1"/>
  <c r="AB130" i="1"/>
  <c r="Z672" i="1"/>
  <c r="AB672" i="1"/>
  <c r="Z822" i="1"/>
  <c r="AB822" i="1"/>
  <c r="Z982" i="1"/>
  <c r="AB982" i="1"/>
  <c r="Z449" i="1"/>
  <c r="AB449" i="1"/>
  <c r="Z470" i="1"/>
  <c r="AB470" i="1"/>
  <c r="Z284" i="1"/>
  <c r="AB284" i="1"/>
  <c r="Z516" i="1"/>
  <c r="AB516" i="1"/>
  <c r="Z679" i="1"/>
  <c r="AB679" i="1"/>
  <c r="Z334" i="1"/>
  <c r="AB334" i="1"/>
  <c r="Z295" i="1"/>
  <c r="AB295" i="1"/>
  <c r="Z503" i="1"/>
  <c r="AB503" i="1"/>
  <c r="Z150" i="1"/>
  <c r="AB150" i="1"/>
  <c r="Z107" i="1"/>
  <c r="AB107" i="1"/>
  <c r="Z36" i="1"/>
  <c r="AB36" i="1"/>
  <c r="Z362" i="1"/>
  <c r="AB362" i="1"/>
  <c r="Z190" i="1"/>
  <c r="AB190" i="1"/>
  <c r="Z614" i="1"/>
  <c r="AB614" i="1"/>
  <c r="Z895" i="1"/>
  <c r="AB895" i="1"/>
  <c r="Z131" i="1"/>
  <c r="AB131" i="1"/>
  <c r="Z568" i="1"/>
  <c r="AB568" i="1"/>
  <c r="Z194" i="1"/>
  <c r="AB194" i="1"/>
  <c r="Z543" i="1"/>
  <c r="AB543" i="1"/>
  <c r="Z340" i="1"/>
  <c r="AB340" i="1"/>
  <c r="Z201" i="1"/>
  <c r="AB201" i="1"/>
  <c r="Z271" i="1"/>
  <c r="AB271" i="1"/>
  <c r="Z700" i="1"/>
  <c r="AB700" i="1"/>
  <c r="Z394" i="1"/>
  <c r="AB394" i="1"/>
  <c r="Z289" i="1"/>
  <c r="AB289" i="1"/>
  <c r="Z755" i="1"/>
  <c r="AB755" i="1"/>
  <c r="Z9" i="1"/>
  <c r="AB9" i="1"/>
  <c r="Z491" i="1"/>
  <c r="AB491" i="1"/>
  <c r="Z793" i="1"/>
  <c r="AB793" i="1"/>
  <c r="Z620" i="1"/>
  <c r="AB620" i="1"/>
  <c r="Z266" i="1"/>
  <c r="AB266" i="1"/>
  <c r="Z633" i="1"/>
  <c r="AB633" i="1"/>
  <c r="Z76" i="1"/>
  <c r="AB76" i="1"/>
  <c r="Z330" i="1"/>
  <c r="AB330" i="1"/>
  <c r="Z276" i="1"/>
  <c r="AB276" i="1"/>
  <c r="Z302" i="1"/>
  <c r="AB302" i="1"/>
  <c r="Z890" i="1"/>
  <c r="AB890" i="1"/>
  <c r="Z19" i="1"/>
  <c r="AB19" i="1"/>
  <c r="Z13" i="1"/>
  <c r="AB13" i="1"/>
  <c r="Z122" i="1"/>
  <c r="AB122" i="1"/>
  <c r="Z143" i="1"/>
  <c r="AB143" i="1"/>
  <c r="Z373" i="1"/>
  <c r="AB373" i="1"/>
  <c r="Z49" i="1"/>
  <c r="AB49" i="1"/>
  <c r="Z189" i="1"/>
  <c r="AB189" i="1"/>
  <c r="Z807" i="1"/>
  <c r="AB807" i="1"/>
  <c r="Z840" i="1"/>
  <c r="AB840" i="1"/>
  <c r="Z196" i="1"/>
  <c r="AB196" i="1"/>
  <c r="Z364" i="1"/>
  <c r="AB364" i="1"/>
  <c r="Z644" i="1"/>
  <c r="AB644" i="1"/>
  <c r="Z589" i="1"/>
  <c r="AB589" i="1"/>
  <c r="Z308" i="1"/>
  <c r="AB308" i="1"/>
  <c r="Z198" i="1"/>
  <c r="AB198" i="1"/>
  <c r="Z609" i="1"/>
  <c r="AB609" i="1"/>
  <c r="Z286" i="1"/>
  <c r="AB286" i="1"/>
  <c r="Z264" i="1"/>
  <c r="AB264" i="1"/>
  <c r="Z797" i="1"/>
  <c r="AB797" i="1"/>
  <c r="Z451" i="1"/>
  <c r="AB451" i="1"/>
  <c r="Z239" i="1"/>
  <c r="AB239" i="1"/>
  <c r="Z126" i="1"/>
  <c r="AB126" i="1"/>
  <c r="Z909" i="1"/>
  <c r="AB909" i="1"/>
  <c r="Z123" i="1"/>
  <c r="AB123" i="1"/>
  <c r="Z972" i="1"/>
  <c r="AB972" i="1"/>
  <c r="Z7" i="1"/>
  <c r="AB7" i="1"/>
  <c r="Z40" i="1"/>
  <c r="AB40" i="1"/>
  <c r="Z717" i="1"/>
  <c r="AB717" i="1"/>
  <c r="Z587" i="1"/>
  <c r="AB587" i="1"/>
  <c r="Z640" i="1"/>
  <c r="AB640" i="1"/>
  <c r="Z11" i="1"/>
  <c r="AB11" i="1"/>
  <c r="Z638" i="1"/>
  <c r="AB638" i="1"/>
  <c r="Z32" i="1"/>
  <c r="AB32" i="1"/>
  <c r="Z185" i="1"/>
  <c r="AB185" i="1"/>
  <c r="Z104" i="1"/>
  <c r="AB104" i="1"/>
  <c r="Z525" i="1"/>
  <c r="AB525" i="1"/>
  <c r="Z867" i="1"/>
  <c r="AB867" i="1"/>
  <c r="Z779" i="1"/>
  <c r="AB779" i="1"/>
  <c r="Z160" i="1"/>
  <c r="AB160" i="1"/>
  <c r="Z654" i="1"/>
  <c r="AB654" i="1"/>
  <c r="Z877" i="1"/>
  <c r="AB877" i="1"/>
  <c r="Z218" i="1"/>
  <c r="AB218" i="1"/>
  <c r="Z281" i="1"/>
  <c r="AB281" i="1"/>
  <c r="Z34" i="1"/>
  <c r="AB34" i="1"/>
  <c r="Z724" i="1"/>
  <c r="AB724" i="1"/>
  <c r="Z854" i="1"/>
  <c r="AB854" i="1"/>
  <c r="Z85" i="1"/>
  <c r="AB85" i="1"/>
  <c r="Z133" i="1"/>
  <c r="AB133" i="1"/>
  <c r="Z327" i="1"/>
  <c r="AB327" i="1"/>
  <c r="Z496" i="1"/>
  <c r="AB496" i="1"/>
  <c r="Z258" i="1"/>
  <c r="AB258" i="1"/>
  <c r="Z148" i="1"/>
  <c r="AB148" i="1"/>
  <c r="Z729" i="1"/>
  <c r="AB729" i="1"/>
  <c r="Z950" i="1"/>
  <c r="AB950" i="1"/>
  <c r="Z938" i="1"/>
  <c r="AB938" i="1"/>
  <c r="Z438" i="1"/>
  <c r="AB438" i="1"/>
  <c r="Z713" i="1"/>
  <c r="AB713" i="1"/>
  <c r="Z14" i="1"/>
  <c r="AB14" i="1"/>
  <c r="Z78" i="1"/>
  <c r="AB78" i="1"/>
  <c r="Z618" i="1"/>
  <c r="AB618" i="1"/>
  <c r="Z868" i="1"/>
  <c r="AB868" i="1"/>
  <c r="Z787" i="1"/>
  <c r="AB787" i="1"/>
  <c r="Z517" i="1"/>
  <c r="AB517" i="1"/>
  <c r="Z626" i="1"/>
  <c r="AB626" i="1"/>
  <c r="Z910" i="1"/>
  <c r="AB910" i="1"/>
  <c r="Z627" i="1"/>
  <c r="AB627" i="1"/>
  <c r="Z225" i="1"/>
  <c r="AB225" i="1"/>
  <c r="Z290" i="1"/>
  <c r="AB290" i="1"/>
  <c r="Z195" i="1"/>
  <c r="AB195" i="1"/>
  <c r="Z241" i="1"/>
  <c r="AB241" i="1"/>
  <c r="Z816" i="1"/>
  <c r="AB816" i="1"/>
  <c r="Z325" i="1"/>
  <c r="AB325" i="1"/>
  <c r="Z348" i="1"/>
  <c r="AB348" i="1"/>
  <c r="Z815" i="1"/>
  <c r="AB815" i="1"/>
  <c r="Z142" i="1"/>
  <c r="AB142" i="1"/>
  <c r="Z753" i="1"/>
  <c r="AB753" i="1"/>
  <c r="Z353" i="1"/>
  <c r="AB353" i="1"/>
  <c r="Z871" i="1"/>
  <c r="AB871" i="1"/>
  <c r="Z697" i="1"/>
  <c r="AB697" i="1"/>
  <c r="Z48" i="1"/>
  <c r="AB48" i="1"/>
  <c r="Z681" i="1"/>
  <c r="AB681" i="1"/>
  <c r="Z656" i="1"/>
  <c r="AB656" i="1"/>
  <c r="Z457" i="1"/>
  <c r="AB457" i="1"/>
  <c r="Z683" i="1"/>
  <c r="AB683" i="1"/>
  <c r="Z578" i="1"/>
  <c r="AB578" i="1"/>
  <c r="Z204" i="1"/>
  <c r="AB204" i="1"/>
  <c r="Z141" i="1"/>
  <c r="AB141" i="1"/>
  <c r="Z206" i="1"/>
  <c r="AB206" i="1"/>
  <c r="Z838" i="1"/>
  <c r="AB838" i="1"/>
  <c r="Z930" i="1"/>
  <c r="AB930" i="1"/>
  <c r="Z75" i="1"/>
  <c r="AB75" i="1"/>
  <c r="Z222" i="1"/>
  <c r="AB222" i="1"/>
  <c r="Z596" i="1"/>
  <c r="AB596" i="1"/>
  <c r="Z120" i="1"/>
  <c r="AB120" i="1"/>
  <c r="Z932" i="1"/>
  <c r="AB932" i="1"/>
  <c r="Z992" i="1"/>
  <c r="AB992" i="1"/>
  <c r="Z750" i="1"/>
  <c r="AB750" i="1"/>
  <c r="Z174" i="1"/>
  <c r="AB174" i="1"/>
  <c r="Z802" i="1"/>
  <c r="AB802" i="1"/>
  <c r="Z387" i="1"/>
  <c r="AB387" i="1"/>
  <c r="Z734" i="1"/>
  <c r="AB734" i="1"/>
  <c r="Z952" i="1"/>
  <c r="AB952" i="1"/>
  <c r="Z954" i="1"/>
  <c r="AB954" i="1"/>
  <c r="Z29" i="1"/>
  <c r="AB29" i="1"/>
  <c r="Z979" i="1"/>
  <c r="AB979" i="1"/>
  <c r="Z379" i="1"/>
  <c r="AB379" i="1"/>
  <c r="Z401" i="1"/>
  <c r="AB401" i="1"/>
  <c r="Z468" i="1"/>
  <c r="AB468" i="1"/>
  <c r="Z3" i="1"/>
  <c r="AB3" i="1"/>
  <c r="Z227" i="1"/>
  <c r="AB227" i="1"/>
  <c r="Z500" i="1"/>
  <c r="AB500" i="1"/>
  <c r="Z646" i="1"/>
  <c r="AB646" i="1"/>
  <c r="Z488" i="1"/>
  <c r="AB488" i="1"/>
  <c r="Z421" i="1"/>
  <c r="AB421" i="1"/>
  <c r="Z752" i="1"/>
  <c r="AB752" i="1"/>
  <c r="Z625" i="1"/>
  <c r="AB625" i="1"/>
  <c r="Z891" i="1"/>
  <c r="AB891" i="1"/>
  <c r="Z170" i="1"/>
  <c r="AB170" i="1"/>
  <c r="Z747" i="1"/>
  <c r="AB747" i="1"/>
  <c r="Z505" i="1"/>
  <c r="AB505" i="1"/>
  <c r="Z371" i="1"/>
  <c r="AB371" i="1"/>
  <c r="Z856" i="1"/>
  <c r="AB856" i="1"/>
  <c r="Z604" i="1"/>
  <c r="AB604" i="1"/>
  <c r="Z240" i="1"/>
  <c r="AB240" i="1"/>
  <c r="Z322" i="1"/>
  <c r="AB322" i="1"/>
  <c r="Z129" i="1"/>
  <c r="AB129" i="1"/>
  <c r="Z540" i="1"/>
  <c r="AB540" i="1"/>
  <c r="Z594" i="1"/>
  <c r="AB594" i="1"/>
  <c r="Z345" i="1"/>
  <c r="AB345" i="1"/>
  <c r="Z109" i="1"/>
  <c r="AB109" i="1"/>
  <c r="Z216" i="1"/>
  <c r="AB216" i="1"/>
  <c r="Z459" i="1"/>
  <c r="AB459" i="1"/>
  <c r="Z367" i="1"/>
  <c r="AB367" i="1"/>
  <c r="Z24" i="1"/>
  <c r="AB24" i="1"/>
  <c r="Z45" i="1"/>
  <c r="AB45" i="1"/>
  <c r="Z833" i="1"/>
  <c r="AB833" i="1"/>
  <c r="Z256" i="1"/>
  <c r="AB256" i="1"/>
  <c r="Z678" i="1"/>
  <c r="AB678" i="1"/>
  <c r="Z826" i="1"/>
  <c r="AB826" i="1"/>
  <c r="Z623" i="1"/>
  <c r="AB623" i="1"/>
  <c r="Z210" i="1"/>
  <c r="AB210" i="1"/>
  <c r="Z101" i="1"/>
  <c r="AB101" i="1"/>
  <c r="Z273" i="1"/>
  <c r="AB273" i="1"/>
  <c r="Z858" i="1"/>
  <c r="AB858" i="1"/>
  <c r="Z689" i="1"/>
  <c r="AB689" i="1"/>
  <c r="Z990" i="1"/>
  <c r="AB990" i="1"/>
  <c r="Z642" i="1"/>
  <c r="AB642" i="1"/>
  <c r="Z454" i="1"/>
  <c r="AB454" i="1"/>
  <c r="Z58" i="1"/>
  <c r="AB58" i="1"/>
  <c r="Z560" i="1"/>
  <c r="AB560" i="1"/>
  <c r="Z472" i="1"/>
  <c r="AB472" i="1"/>
  <c r="Z95" i="1"/>
  <c r="AB95" i="1"/>
  <c r="Z928" i="1"/>
  <c r="AB928" i="1"/>
  <c r="Z937" i="1"/>
  <c r="AB937" i="1"/>
  <c r="Z403" i="1"/>
  <c r="AB403" i="1"/>
  <c r="Z64" i="1"/>
  <c r="AB64" i="1"/>
  <c r="Z708" i="1"/>
  <c r="AB708" i="1"/>
  <c r="Z628" i="1"/>
  <c r="AB628" i="1"/>
  <c r="Z919" i="1"/>
  <c r="AB919" i="1"/>
  <c r="Z208" i="1"/>
  <c r="AB208" i="1"/>
  <c r="Z181" i="1"/>
  <c r="AB181" i="1"/>
  <c r="Z946" i="1"/>
  <c r="AB946" i="1"/>
  <c r="Z92" i="1"/>
  <c r="AB92" i="1"/>
  <c r="Z474" i="1"/>
  <c r="AB474" i="1"/>
  <c r="Z698" i="1"/>
  <c r="AB698" i="1"/>
  <c r="Z435" i="1"/>
  <c r="AB435" i="1"/>
  <c r="Z735" i="1"/>
  <c r="AB735" i="1"/>
  <c r="Z914" i="1"/>
  <c r="AB914" i="1"/>
  <c r="Z299" i="1"/>
  <c r="AB299" i="1"/>
  <c r="Z80" i="1"/>
  <c r="AB80" i="1"/>
  <c r="Z521" i="1"/>
  <c r="AB521" i="1"/>
  <c r="Z805" i="1"/>
  <c r="AB805" i="1"/>
  <c r="Z147" i="1"/>
  <c r="AB147" i="1"/>
  <c r="Z669" i="1"/>
  <c r="AB669" i="1"/>
  <c r="Z220" i="1"/>
  <c r="AB220" i="1"/>
  <c r="Z436" i="1"/>
  <c r="AB436" i="1"/>
  <c r="Z958" i="1"/>
  <c r="AB958" i="1"/>
  <c r="Z989" i="1"/>
  <c r="AB989" i="1"/>
  <c r="Z471" i="1"/>
  <c r="AB471" i="1"/>
  <c r="Z6" i="1"/>
  <c r="AB6" i="1"/>
  <c r="Z294" i="1"/>
  <c r="AB294" i="1"/>
  <c r="Z841" i="1"/>
  <c r="AB841" i="1"/>
  <c r="Z316" i="1"/>
  <c r="AB316" i="1"/>
  <c r="Z616" i="1"/>
  <c r="AB616" i="1"/>
  <c r="Z27" i="1"/>
  <c r="AB27" i="1"/>
  <c r="Z132" i="1"/>
  <c r="AB132" i="1"/>
  <c r="Z920" i="1"/>
  <c r="AB920" i="1"/>
  <c r="Z84" i="1"/>
  <c r="AB84" i="1"/>
  <c r="Z136" i="1"/>
  <c r="AB136" i="1"/>
  <c r="Z494" i="1"/>
  <c r="AB494" i="1"/>
  <c r="Z896" i="1"/>
  <c r="AB896" i="1"/>
  <c r="Z462" i="1"/>
  <c r="AB462" i="1"/>
  <c r="Z249" i="1"/>
  <c r="AB249" i="1"/>
  <c r="Z918" i="1"/>
  <c r="AB918" i="1"/>
  <c r="Z446" i="1"/>
  <c r="AB446" i="1"/>
  <c r="Z481" i="1"/>
  <c r="AB481" i="1"/>
  <c r="Z933" i="1"/>
  <c r="AB933" i="1"/>
  <c r="Z25" i="1"/>
  <c r="AB25" i="1"/>
  <c r="Z39" i="1"/>
  <c r="AB39" i="1"/>
  <c r="Z51" i="1"/>
  <c r="AB51" i="1"/>
  <c r="Z163" i="1"/>
  <c r="AB163" i="1"/>
  <c r="Z511" i="1"/>
  <c r="AB511" i="1"/>
  <c r="Z161" i="1"/>
  <c r="AB161" i="1"/>
  <c r="Z635" i="1"/>
  <c r="AB635" i="1"/>
  <c r="Z509" i="1"/>
  <c r="AB509" i="1"/>
  <c r="Z795" i="1"/>
  <c r="AB795" i="1"/>
  <c r="Z528" i="1"/>
  <c r="AB528" i="1"/>
  <c r="Z448" i="1"/>
  <c r="AB448" i="1"/>
  <c r="Z923" i="1"/>
  <c r="AB923" i="1"/>
  <c r="Z688" i="1"/>
  <c r="AB688" i="1"/>
  <c r="Z791" i="1"/>
  <c r="AB791" i="1"/>
  <c r="Z279" i="1"/>
  <c r="AB279" i="1"/>
  <c r="Z607" i="1"/>
  <c r="AB607" i="1"/>
  <c r="Z988" i="1"/>
  <c r="AB988" i="1"/>
  <c r="Z532" i="1"/>
  <c r="AB532" i="1"/>
  <c r="Z38" i="1"/>
  <c r="AB38" i="1"/>
  <c r="Z230" i="1"/>
  <c r="AB230" i="1"/>
  <c r="Z612" i="1"/>
  <c r="AB612" i="1"/>
  <c r="Z686" i="1"/>
  <c r="AB686" i="1"/>
  <c r="Z158" i="1"/>
  <c r="AB158" i="1"/>
  <c r="Z662" i="1"/>
  <c r="AB662" i="1"/>
  <c r="Z758" i="1"/>
  <c r="AB758" i="1"/>
  <c r="Z70" i="1"/>
  <c r="AB70" i="1"/>
  <c r="Z610" i="1"/>
  <c r="AB610" i="1"/>
  <c r="Z342" i="1"/>
  <c r="AB342" i="1"/>
  <c r="Z402" i="1"/>
  <c r="AB402" i="1"/>
  <c r="Z674" i="1"/>
  <c r="AB674" i="1"/>
  <c r="Z916" i="1"/>
  <c r="AB916" i="1"/>
  <c r="Z663" i="1"/>
  <c r="AB663" i="1"/>
  <c r="Z301" i="1"/>
  <c r="AB301" i="1"/>
  <c r="Z321" i="1"/>
  <c r="AB321" i="1"/>
  <c r="Z657" i="1"/>
  <c r="AB657" i="1"/>
  <c r="Z77" i="1"/>
  <c r="AB77" i="1"/>
  <c r="Z572" i="1"/>
  <c r="AB572" i="1"/>
  <c r="Z711" i="1"/>
  <c r="AB711" i="1"/>
  <c r="Z824" i="1"/>
  <c r="AB824" i="1"/>
  <c r="Z116" i="1"/>
  <c r="AB116" i="1"/>
  <c r="Z207" i="1"/>
  <c r="AB207" i="1"/>
  <c r="Z450" i="1"/>
  <c r="AB450" i="1"/>
  <c r="Z168" i="1"/>
  <c r="AB168" i="1"/>
  <c r="Z312" i="1"/>
  <c r="AB312" i="1"/>
  <c r="Z523" i="1"/>
  <c r="AB523" i="1"/>
  <c r="Z830" i="1"/>
  <c r="AB830" i="1"/>
  <c r="Z121" i="1"/>
  <c r="AB121" i="1"/>
  <c r="Z292" i="1"/>
  <c r="AB292" i="1"/>
  <c r="Z836" i="1"/>
  <c r="AB836" i="1"/>
  <c r="Z934" i="1"/>
  <c r="AB934" i="1"/>
  <c r="Z223" i="1"/>
  <c r="AB223" i="1"/>
  <c r="Z363" i="1"/>
  <c r="AB363" i="1"/>
  <c r="Z820" i="1"/>
  <c r="AB820" i="1"/>
  <c r="Z514" i="1"/>
  <c r="AB514" i="1"/>
  <c r="Z395" i="1"/>
  <c r="AB395" i="1"/>
  <c r="Z599" i="1"/>
  <c r="AB599" i="1"/>
  <c r="Z172" i="1"/>
  <c r="AB172" i="1"/>
  <c r="Z413" i="1"/>
  <c r="AB413" i="1"/>
  <c r="Z974" i="1"/>
  <c r="AB974" i="1"/>
  <c r="Z784" i="1"/>
  <c r="AB784" i="1"/>
  <c r="Z593" i="1"/>
  <c r="AB593" i="1"/>
  <c r="Z400" i="1"/>
  <c r="AB400" i="1"/>
  <c r="Z832" i="1"/>
  <c r="AB832" i="1"/>
  <c r="Z667" i="1"/>
  <c r="AB667" i="1"/>
  <c r="Z944" i="1"/>
  <c r="AB944" i="1"/>
  <c r="Z613" i="1"/>
  <c r="AB613" i="1"/>
  <c r="Z166" i="1"/>
  <c r="AB166" i="1"/>
  <c r="Z157" i="1"/>
  <c r="AB157" i="1"/>
  <c r="Z338" i="1"/>
  <c r="AB338" i="1"/>
  <c r="Z849" i="1"/>
  <c r="AB8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<sst xmlns="http://schemas.openxmlformats.org/spreadsheetml/2006/main" count="7028" uniqueCount="426">
  <si>
    <t>Date</t>
  </si>
  <si>
    <t>Invoice Number</t>
  </si>
  <si>
    <t>Sales Rep</t>
  </si>
  <si>
    <t>Location</t>
  </si>
  <si>
    <t>Status</t>
  </si>
  <si>
    <t>Client Name</t>
  </si>
  <si>
    <t>Client ID</t>
  </si>
  <si>
    <t>Lead Source</t>
  </si>
  <si>
    <t>Product ID</t>
  </si>
  <si>
    <t>Product Name</t>
  </si>
  <si>
    <t>Unit Price</t>
  </si>
  <si>
    <t>Quantity</t>
  </si>
  <si>
    <t>Gross Value</t>
  </si>
  <si>
    <t>Discount</t>
  </si>
  <si>
    <t>Revenue</t>
  </si>
  <si>
    <t>VAT Rate</t>
  </si>
  <si>
    <t>VAT Charged</t>
  </si>
  <si>
    <t>Invoice Total</t>
  </si>
  <si>
    <t>COGS per Unit</t>
  </si>
  <si>
    <t>COGS</t>
  </si>
  <si>
    <t>Shipping per Unit</t>
  </si>
  <si>
    <t>Total Shipping</t>
  </si>
  <si>
    <t>VAT on Shipping</t>
  </si>
  <si>
    <t>VAT on Shipping Value</t>
  </si>
  <si>
    <t>Profit</t>
  </si>
  <si>
    <t>Profit Margin</t>
  </si>
  <si>
    <t>Operating Profit</t>
  </si>
  <si>
    <t>Operating Profit Margin</t>
  </si>
  <si>
    <t>01/01/2025</t>
  </si>
  <si>
    <t>Lisa</t>
  </si>
  <si>
    <t>Nottingham</t>
  </si>
  <si>
    <t>Pending</t>
  </si>
  <si>
    <t>Galactic Enterprises</t>
  </si>
  <si>
    <t>SEO</t>
  </si>
  <si>
    <t>P008</t>
  </si>
  <si>
    <t>Dave</t>
  </si>
  <si>
    <t>Leeds</t>
  </si>
  <si>
    <t>Mars Enterprises</t>
  </si>
  <si>
    <t>Sarah</t>
  </si>
  <si>
    <t>Sheffield</t>
  </si>
  <si>
    <t>Shipping</t>
  </si>
  <si>
    <t>Celestial Industries</t>
  </si>
  <si>
    <t>P006</t>
  </si>
  <si>
    <t>01/02/2025</t>
  </si>
  <si>
    <t>Comet Corporation</t>
  </si>
  <si>
    <t>Referral</t>
  </si>
  <si>
    <t>P010</t>
  </si>
  <si>
    <t>01/03/2025</t>
  </si>
  <si>
    <t>Manchester</t>
  </si>
  <si>
    <t>Paid</t>
  </si>
  <si>
    <t>Venus Ventures</t>
  </si>
  <si>
    <t>Social Media Outreach</t>
  </si>
  <si>
    <t>P003</t>
  </si>
  <si>
    <t>Newcastle</t>
  </si>
  <si>
    <t>AstroTech</t>
  </si>
  <si>
    <t>P004</t>
  </si>
  <si>
    <t>Lucas</t>
  </si>
  <si>
    <t>Bristol</t>
  </si>
  <si>
    <t>Content Outreach</t>
  </si>
  <si>
    <t>Acme Corporation</t>
  </si>
  <si>
    <t>P007</t>
  </si>
  <si>
    <t>01/04/2025</t>
  </si>
  <si>
    <t>Jack</t>
  </si>
  <si>
    <t>Liverpool</t>
  </si>
  <si>
    <t>Orion Enterprises</t>
  </si>
  <si>
    <t>Alexandra</t>
  </si>
  <si>
    <t>Planetary Partners</t>
  </si>
  <si>
    <t>London</t>
  </si>
  <si>
    <t>P001</t>
  </si>
  <si>
    <t>Website</t>
  </si>
  <si>
    <t>P002</t>
  </si>
  <si>
    <t>Daniel</t>
  </si>
  <si>
    <t>Birmingham</t>
  </si>
  <si>
    <t>01/05/2025</t>
  </si>
  <si>
    <t>Mercury Industries</t>
  </si>
  <si>
    <t>P005</t>
  </si>
  <si>
    <t>Nova Innovations</t>
  </si>
  <si>
    <t>01/07/2025</t>
  </si>
  <si>
    <t>Infinity Innovations</t>
  </si>
  <si>
    <t>Supernova Solutions</t>
  </si>
  <si>
    <t>01/08/2025</t>
  </si>
  <si>
    <t>01/09/2025</t>
  </si>
  <si>
    <t>01/10/2025</t>
  </si>
  <si>
    <t>Mark</t>
  </si>
  <si>
    <t>Cosmic Creations</t>
  </si>
  <si>
    <t>01/11/2025</t>
  </si>
  <si>
    <t>Stellar Systems</t>
  </si>
  <si>
    <t>Aurora Enterprises</t>
  </si>
  <si>
    <t>01/12/2025</t>
  </si>
  <si>
    <t>02/01/2025</t>
  </si>
  <si>
    <t>Saturn Solutions</t>
  </si>
  <si>
    <t>P009</t>
  </si>
  <si>
    <t>Lunar Labs</t>
  </si>
  <si>
    <t>02/02/2025</t>
  </si>
  <si>
    <t>02/04/2025</t>
  </si>
  <si>
    <t>Brighton</t>
  </si>
  <si>
    <t>02/05/2025</t>
  </si>
  <si>
    <t>Starlight Industries</t>
  </si>
  <si>
    <t>Solar Solutions</t>
  </si>
  <si>
    <t>02/07/2025</t>
  </si>
  <si>
    <t>02/08/2025</t>
  </si>
  <si>
    <t>02/09/2025</t>
  </si>
  <si>
    <t>Sunrise Solutions</t>
  </si>
  <si>
    <t>Cosmos Creations</t>
  </si>
  <si>
    <t>Events Outreach</t>
  </si>
  <si>
    <t>02/10/2025</t>
  </si>
  <si>
    <t>02/11/2025</t>
  </si>
  <si>
    <t>02/12/2025</t>
  </si>
  <si>
    <t>03/01/2025</t>
  </si>
  <si>
    <t>03/02/2025</t>
  </si>
  <si>
    <t>03/03/2025</t>
  </si>
  <si>
    <t>03/04/2025</t>
  </si>
  <si>
    <t>03/05/2025</t>
  </si>
  <si>
    <t>Interstellar Enterprises</t>
  </si>
  <si>
    <t>03/06/2025</t>
  </si>
  <si>
    <t>03/07/2025</t>
  </si>
  <si>
    <t>03/08/2025</t>
  </si>
  <si>
    <t>03/10/2025</t>
  </si>
  <si>
    <t>03/11/2025</t>
  </si>
  <si>
    <t>Nebula Technologies</t>
  </si>
  <si>
    <t>03/12/2025</t>
  </si>
  <si>
    <t>04/01/2025</t>
  </si>
  <si>
    <t>04/02/2025</t>
  </si>
  <si>
    <t>04/03/2025</t>
  </si>
  <si>
    <t>04/05/2025</t>
  </si>
  <si>
    <t>04/06/2025</t>
  </si>
  <si>
    <t>Moonbeam Innovations</t>
  </si>
  <si>
    <t>04/07/2025</t>
  </si>
  <si>
    <t>04/08/2025</t>
  </si>
  <si>
    <t>04/09/2025</t>
  </si>
  <si>
    <t>04/10/2025</t>
  </si>
  <si>
    <t>04/11/2025</t>
  </si>
  <si>
    <t>04/12/2025</t>
  </si>
  <si>
    <t>05/01/2025</t>
  </si>
  <si>
    <t>05/02/2025</t>
  </si>
  <si>
    <t>05/04/2025</t>
  </si>
  <si>
    <t>05/05/2025</t>
  </si>
  <si>
    <t>05/06/2025</t>
  </si>
  <si>
    <t>05/07/2025</t>
  </si>
  <si>
    <t>05/08/2025</t>
  </si>
  <si>
    <t>05/09/2025</t>
  </si>
  <si>
    <t>05/10/2025</t>
  </si>
  <si>
    <t>05/11/2025</t>
  </si>
  <si>
    <t>05/12/2025</t>
  </si>
  <si>
    <t>06/01/2025</t>
  </si>
  <si>
    <t>06/02/2025</t>
  </si>
  <si>
    <t>06/03/2025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</si>
  <si>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</si>
  <si>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</si>
  <si>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</si>
  <si>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</si>
  <si>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</si>
  <si>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</si>
  <si>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</si>
  <si>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</si>
  <si>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07/01/2025</t>
  </si>
  <si>
    <t>07/02/2025</t>
  </si>
  <si>
    <t>07/03/2025</t>
  </si>
  <si>
    <t>07/04/2025</t>
  </si>
  <si>
    <t>07/05/2025</t>
  </si>
  <si>
    <t>07/06/2025</t>
  </si>
  <si>
    <t>07/07/2025</t>
  </si>
  <si>
    <t>07/08/2025</t>
  </si>
  <si>
    <t>07/09/2025</t>
  </si>
  <si>
    <t>07/10/2025</t>
  </si>
  <si>
    <t>07/11/2025</t>
  </si>
  <si>
    <t>07/12/2025</t>
  </si>
  <si>
    <t>08/01/2025</t>
  </si>
  <si>
    <t>08/02/2025</t>
  </si>
  <si>
    <t>08/03/2025</t>
  </si>
  <si>
    <t>08/04/2025</t>
  </si>
  <si>
    <t>08/05/2025</t>
  </si>
  <si>
    <t>08/06/2025</t>
  </si>
  <si>
    <t>08/07/2025</t>
  </si>
  <si>
    <t>08/08/2025</t>
  </si>
  <si>
    <t>08/09/2025</t>
  </si>
  <si>
    <t>08/10/2025</t>
  </si>
  <si>
    <t>08/11/2025</t>
  </si>
  <si>
    <t>08/12/2025</t>
  </si>
  <si>
    <t>09/01/2025</t>
  </si>
  <si>
    <t>09/02/2025</t>
  </si>
  <si>
    <t>09/03/2025</t>
  </si>
  <si>
    <t>09/04/2025</t>
  </si>
  <si>
    <t>09/05/2025</t>
  </si>
  <si>
    <t>09/06/2025</t>
  </si>
  <si>
    <t>09/07/2025</t>
  </si>
  <si>
    <t>09/08/2025</t>
  </si>
  <si>
    <t>09/09/2025</t>
  </si>
  <si>
    <t>09/10/2025</t>
  </si>
  <si>
    <t>09/11/2025</t>
  </si>
  <si>
    <t>09/12/2025</t>
  </si>
  <si>
    <t>10/01/2025</t>
  </si>
  <si>
    <t>10/02/2025</t>
  </si>
  <si>
    <t>10/03/2025</t>
  </si>
  <si>
    <t>10/04/2025</t>
  </si>
  <si>
    <t>10/05/2025</t>
  </si>
  <si>
    <t>10/06/2025</t>
  </si>
  <si>
    <t>10/07/2025</t>
  </si>
  <si>
    <t>10/08/2025</t>
  </si>
  <si>
    <t>10/09/2025</t>
  </si>
  <si>
    <t>10/10/2025</t>
  </si>
  <si>
    <t>10/11/2025</t>
  </si>
  <si>
    <t>10/12/2025</t>
  </si>
  <si>
    <t>11/01/2025</t>
  </si>
  <si>
    <t>11/02/2025</t>
  </si>
  <si>
    <t>11/04/2025</t>
  </si>
  <si>
    <t>11/05/2025</t>
  </si>
  <si>
    <t>11/06/2025</t>
  </si>
  <si>
    <t>11/07/2025</t>
  </si>
  <si>
    <t>11/08/2025</t>
  </si>
  <si>
    <t>11/09/2025</t>
  </si>
  <si>
    <t>11/10/2025</t>
  </si>
  <si>
    <t>11/11/2025</t>
  </si>
  <si>
    <t>11/12/2025</t>
  </si>
  <si>
    <t>12/01/2025</t>
  </si>
  <si>
    <t>12/02/2025</t>
  </si>
  <si>
    <t>12/03/2025</t>
  </si>
  <si>
    <t>12/04/2025</t>
  </si>
  <si>
    <t>12/05/2025</t>
  </si>
  <si>
    <t>12/06/2025</t>
  </si>
  <si>
    <t>12/07/2025</t>
  </si>
  <si>
    <t>12/08/2025</t>
  </si>
  <si>
    <t>12/09/2025</t>
  </si>
  <si>
    <t>12/10/2025</t>
  </si>
  <si>
    <t>12/11/2025</t>
  </si>
  <si>
    <t>12/12/2025</t>
  </si>
  <si>
    <t>13/01/2025</t>
  </si>
  <si>
    <t>13/02/2025</t>
  </si>
  <si>
    <t>13/03/2025</t>
  </si>
  <si>
    <t>13/04/2025</t>
  </si>
  <si>
    <t>13/05/2025</t>
  </si>
  <si>
    <t>13/06/2025</t>
  </si>
  <si>
    <t>13/07/2025</t>
  </si>
  <si>
    <t>13/08/2025</t>
  </si>
  <si>
    <t>13/09/2025</t>
  </si>
  <si>
    <t>13/11/2025</t>
  </si>
  <si>
    <t>13/12/2025</t>
  </si>
  <si>
    <t>14/01/2025</t>
  </si>
  <si>
    <t>14/02/2025</t>
  </si>
  <si>
    <t>14/03/2025</t>
  </si>
  <si>
    <t>14/04/2025</t>
  </si>
  <si>
    <t>14/05/2025</t>
  </si>
  <si>
    <t>14/06/2025</t>
  </si>
  <si>
    <t>14/07/2025</t>
  </si>
  <si>
    <t>14/08/2025</t>
  </si>
  <si>
    <t>14/09/2025</t>
  </si>
  <si>
    <t>14/10/2025</t>
  </si>
  <si>
    <t>14/11/2025</t>
  </si>
  <si>
    <t>14/12/2025</t>
  </si>
  <si>
    <t>15/01/2025</t>
  </si>
  <si>
    <t>15/02/2025</t>
  </si>
  <si>
    <t>15/03/2025</t>
  </si>
  <si>
    <t>15/04/2025</t>
  </si>
  <si>
    <t>15/05/2025</t>
  </si>
  <si>
    <t>15/06/2025</t>
  </si>
  <si>
    <t>15/08/2025</t>
  </si>
  <si>
    <t>15/09/2025</t>
  </si>
  <si>
    <t>15/10/2025</t>
  </si>
  <si>
    <t>15/11/2025</t>
  </si>
  <si>
    <t>15/12/2025</t>
  </si>
  <si>
    <t>16/01/2025</t>
  </si>
  <si>
    <t>16/02/2025</t>
  </si>
  <si>
    <t>16/05/2025</t>
  </si>
  <si>
    <t>16/06/2025</t>
  </si>
  <si>
    <t>16/07/2025</t>
  </si>
  <si>
    <t>16/08/2025</t>
  </si>
  <si>
    <t>16/09/2025</t>
  </si>
  <si>
    <t>16/10/2025</t>
  </si>
  <si>
    <t>16/11/2025</t>
  </si>
  <si>
    <t>16/12/2025</t>
  </si>
  <si>
    <t>17/01/2025</t>
  </si>
  <si>
    <t>17/02/2025</t>
  </si>
  <si>
    <t>17/03/2025</t>
  </si>
  <si>
    <t>17/04/2025</t>
  </si>
  <si>
    <t>17/05/2025</t>
  </si>
  <si>
    <t>17/07/2025</t>
  </si>
  <si>
    <t>17/08/2025</t>
  </si>
  <si>
    <t>17/09/2025</t>
  </si>
  <si>
    <t>17/11/2025</t>
  </si>
  <si>
    <t>17/12/2025</t>
  </si>
  <si>
    <t>18/02/2025</t>
  </si>
  <si>
    <t>18/03/2025</t>
  </si>
  <si>
    <t>18/04/2025</t>
  </si>
  <si>
    <t>18/05/2025</t>
  </si>
  <si>
    <t>18/06/2025</t>
  </si>
  <si>
    <t>18/07/2025</t>
  </si>
  <si>
    <t>18/08/2025</t>
  </si>
  <si>
    <t>18/09/2025</t>
  </si>
  <si>
    <t>18/10/2025</t>
  </si>
  <si>
    <t>18/11/2025</t>
  </si>
  <si>
    <t>18/12/2025</t>
  </si>
  <si>
    <t>19/01/2025</t>
  </si>
  <si>
    <t>19/02/2025</t>
  </si>
  <si>
    <t>19/03/2025</t>
  </si>
  <si>
    <t>19/05/2025</t>
  </si>
  <si>
    <t>19/06/2025</t>
  </si>
  <si>
    <t>19/07/2025</t>
  </si>
  <si>
    <t>19/08/2025</t>
  </si>
  <si>
    <t>19/09/2025</t>
  </si>
  <si>
    <t>19/11/2025</t>
  </si>
  <si>
    <t>19/12/2025</t>
  </si>
  <si>
    <t>20/01/2025</t>
  </si>
  <si>
    <t>20/02/2025</t>
  </si>
  <si>
    <t>20/03/2025</t>
  </si>
  <si>
    <t>20/05/2025</t>
  </si>
  <si>
    <t>20/06/2025</t>
  </si>
  <si>
    <t>20/07/2025</t>
  </si>
  <si>
    <t>20/08/2025</t>
  </si>
  <si>
    <t>20/09/2025</t>
  </si>
  <si>
    <t>20/10/2025</t>
  </si>
  <si>
    <t>20/11/2025</t>
  </si>
  <si>
    <t>20/12/2025</t>
  </si>
  <si>
    <t>21/01/2025</t>
  </si>
  <si>
    <t>21/02/2025</t>
  </si>
  <si>
    <t>21/03/2025</t>
  </si>
  <si>
    <t>21/04/2025</t>
  </si>
  <si>
    <t>21/05/2025</t>
  </si>
  <si>
    <t>21/06/2025</t>
  </si>
  <si>
    <t>21/07/2025</t>
  </si>
  <si>
    <t>21/08/2025</t>
  </si>
  <si>
    <t>21/09/2025</t>
  </si>
  <si>
    <t>21/10/2025</t>
  </si>
  <si>
    <t>21/11/2025</t>
  </si>
  <si>
    <t>21/12/2025</t>
  </si>
  <si>
    <t>22/01/2025</t>
  </si>
  <si>
    <t>22/02/2025</t>
  </si>
  <si>
    <t>22/03/2025</t>
  </si>
  <si>
    <t>22/04/2025</t>
  </si>
  <si>
    <t>22/05/2025</t>
  </si>
  <si>
    <t>22/06/2025</t>
  </si>
  <si>
    <t>22/07/2025</t>
  </si>
  <si>
    <t>22/08/2025</t>
  </si>
  <si>
    <t>22/09/2025</t>
  </si>
  <si>
    <t>22/10/2025</t>
  </si>
  <si>
    <t>22/11/2025</t>
  </si>
  <si>
    <t>22/12/2025</t>
  </si>
  <si>
    <t>23/01/2025</t>
  </si>
  <si>
    <t>23/02/2025</t>
  </si>
  <si>
    <t>23/03/2025</t>
  </si>
  <si>
    <t>23/04/2025</t>
  </si>
  <si>
    <t>23/05/2025</t>
  </si>
  <si>
    <t>23/06/2025</t>
  </si>
  <si>
    <t>23/07/2025</t>
  </si>
  <si>
    <t>23/08/2025</t>
  </si>
  <si>
    <t>23/09/2025</t>
  </si>
  <si>
    <t>23/10/2025</t>
  </si>
  <si>
    <t>23/11/2025</t>
  </si>
  <si>
    <t>23/12/2025</t>
  </si>
  <si>
    <t>24/01/2025</t>
  </si>
  <si>
    <t>24/02/2025</t>
  </si>
  <si>
    <t>24/03/2025</t>
  </si>
  <si>
    <t>24/04/2025</t>
  </si>
  <si>
    <t>24/06/2025</t>
  </si>
  <si>
    <t>24/07/2025</t>
  </si>
  <si>
    <t>24/08/2025</t>
  </si>
  <si>
    <t>24/09/2025</t>
  </si>
  <si>
    <t>24/10/2025</t>
  </si>
  <si>
    <t>24/11/2025</t>
  </si>
  <si>
    <t>25/01/2025</t>
  </si>
  <si>
    <t>25/02/2025</t>
  </si>
  <si>
    <t>25/03/2025</t>
  </si>
  <si>
    <t>25/04/2025</t>
  </si>
  <si>
    <t>25/05/2025</t>
  </si>
  <si>
    <t>25/06/2025</t>
  </si>
  <si>
    <t>25/07/2025</t>
  </si>
  <si>
    <t>25/09/2025</t>
  </si>
  <si>
    <t>25/10/2025</t>
  </si>
  <si>
    <t>25/11/2025</t>
  </si>
  <si>
    <t>25/12/2025</t>
  </si>
  <si>
    <t>26/01/2025</t>
  </si>
  <si>
    <t>26/02/2025</t>
  </si>
  <si>
    <t>26/03/2025</t>
  </si>
  <si>
    <t>26/04/2025</t>
  </si>
  <si>
    <t>26/05/2025</t>
  </si>
  <si>
    <t>26/06/2025</t>
  </si>
  <si>
    <t>26/07/2025</t>
  </si>
  <si>
    <t>26/08/2025</t>
  </si>
  <si>
    <t>26/09/2025</t>
  </si>
  <si>
    <t>26/10/2025</t>
  </si>
  <si>
    <t>26/11/2025</t>
  </si>
  <si>
    <t>26/12/2025</t>
  </si>
  <si>
    <t>27/01/2025</t>
  </si>
  <si>
    <t>27/02/2025</t>
  </si>
  <si>
    <t>27/03/2025</t>
  </si>
  <si>
    <t>27/04/2025</t>
  </si>
  <si>
    <t>27/05/2025</t>
  </si>
  <si>
    <t>27/06/2025</t>
  </si>
  <si>
    <t>27/07/2025</t>
  </si>
  <si>
    <t>27/09/2025</t>
  </si>
  <si>
    <t>27/11/2025</t>
  </si>
  <si>
    <t>28/01/2025</t>
  </si>
  <si>
    <t>28/02/2025</t>
  </si>
  <si>
    <t>28/03/2025</t>
  </si>
  <si>
    <t>28/04/2025</t>
  </si>
  <si>
    <t>28/05/2025</t>
  </si>
  <si>
    <t>28/06/2025</t>
  </si>
  <si>
    <t>28/08/2025</t>
  </si>
  <si>
    <t>28/09/2025</t>
  </si>
  <si>
    <t>28/10/2025</t>
  </si>
  <si>
    <t>28/11/2025</t>
  </si>
  <si>
    <t>28/12/2025</t>
  </si>
  <si>
    <t>29/01/2025</t>
  </si>
  <si>
    <t>29/03/2025</t>
  </si>
  <si>
    <t>29/04/2025</t>
  </si>
  <si>
    <t>29/05/2025</t>
  </si>
  <si>
    <t>29/06/2025</t>
  </si>
  <si>
    <t>29/07/2025</t>
  </si>
  <si>
    <t>29/08/2025</t>
  </si>
  <si>
    <t>29/10/2025</t>
  </si>
  <si>
    <t>29/11/2025</t>
  </si>
  <si>
    <t>30/01/2025</t>
  </si>
  <si>
    <t>30/03/2025</t>
  </si>
  <si>
    <t>30/04/2025</t>
  </si>
  <si>
    <t>30/06/2025</t>
  </si>
  <si>
    <t>30/07/2025</t>
  </si>
  <si>
    <t>30/08/2025</t>
  </si>
  <si>
    <t>30/09/2025</t>
  </si>
  <si>
    <t>30/10/2025</t>
  </si>
  <si>
    <t>30/11/2025</t>
  </si>
  <si>
    <t>30/12/2025</t>
  </si>
  <si>
    <t>31/01/2025</t>
  </si>
  <si>
    <t>31/05/2025</t>
  </si>
  <si>
    <t>31/07/2025</t>
  </si>
  <si>
    <t>31/08/2025</t>
  </si>
  <si>
    <t>31/10/2025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</si>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</sst>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0.0%"/>
  </numFmts>
  <fonts count="2" x14ac:knownFonts="1">
    <font>
      <sz val="11"/>
      <name val="Arial"/>
      <family val="1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9" fontId="0" fillId="0" borderId="0" xfId="1" applyFont="1"/>
    <xf numFmtId="165" fontId="0" fillId="0" borderId="0" xfId="1" applyNumberFormat="1" applyFont="1"/>
    <xf numFmtId="164" fontId="0" fillId="0" borderId="0" xfId="1" applyNumberFormat="1" applyFont="1"/>
  </cellXfs>
  <cellStyles count="2">
    <cellStyle name="Normal" xfId="0" builtinId="0"/>
    <cellStyle name="Per cent" xfId="1" builtinId="5"/>
  </cellStyles>
  <dxfs count="16">
    <dxf>
      <numFmt numFmtId="165" formatCode="0.0%"/>
    </dxf>
    <dxf>
      <numFmt numFmtId="164" formatCode="_-[$£-809]* #,##0.00_-;\-[$£-809]* #,##0.00_-;_-[$£-809]* &quot;-&quot;??_-;_-@_-"/>
    </dxf>
    <dxf>
      <numFmt numFmtId="165" formatCode="0.0%"/>
    </dxf>
    <dxf>
      <numFmt numFmtId="164" formatCode="_-[$£-809]* #,##0.00_-;\-[$£-809]* #,##0.00_-;_-[$£-8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1"/>
        <scheme val="none"/>
      </font>
      <numFmt numFmtId="164" formatCode="_-[$£-809]* #,##0.00_-;\-[$£-809]* #,##0.00_-;_-[$£-809]* &quot;-&quot;??_-;_-@_-"/>
    </dxf>
    <dxf>
      <numFmt numFmtId="13" formatCode="0%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5F69A-CD9A-4F1C-9CF0-9EC3BD9F37E5}" name="Table1" displayName="Table1" ref="A1:AB1001" totalsRowShown="0">
  <autoFilter ref="A1:AB1001" xr:uid="{EAF5F69A-CD9A-4F1C-9CF0-9EC3BD9F37E5}"/>
  <sortState xmlns:xlrd2="http://schemas.microsoft.com/office/spreadsheetml/2017/richdata2" ref="A2:AB1001">
    <sortCondition ref="A1:A1001"/>
  </sortState>
  <tableColumns count="28">
    <tableColumn id="1" xr3:uid="{DC08ECD5-40E5-4D43-A240-6D35E1A02BA3}" name="Date"/>
    <tableColumn id="2" xr3:uid="{CFA520CF-021F-47D2-8DB6-73EF890D6AC8}" name="Invoice Number"/>
    <tableColumn id="3" xr3:uid="{AFA7D834-802C-4666-8F61-8EAAF3250347}" name="Sales Rep"/>
    <tableColumn id="4" xr3:uid="{C4D14F0F-E82D-46F3-A8F4-558A821214FF}" name="Location"/>
    <tableColumn id="5" xr3:uid="{CC1574DA-A7D2-4E66-A4DE-0D15E250D6AD}" name="Status"/>
    <tableColumn id="6" xr3:uid="{DE053735-17F5-4A89-B845-BC2D4AF73097}" name="Client Name"/>
    <tableColumn id="7" xr3:uid="{FBE76B55-3933-4A96-BB41-0877D8042383}" name="Client ID">
      <calculatedColumnFormula array="1">_xlfn.SWITCH(F2,"Acme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calculatedColumnFormula>
    </tableColumn>
    <tableColumn id="8" xr3:uid="{D17F7653-9B65-4520-B1C9-A0753BE0064E}" name="Lead Source"/>
    <tableColumn id="9" xr3:uid="{E2CDA0B0-230E-495A-8479-F48C6E4E721A}" name="Product ID"/>
    <tableColumn id="10" xr3:uid="{E9ECFD2C-07F1-4415-BCB8-240B6FBA84DC}" name="Product Name" dataDxfId="15">
      <calculatedColumnFormula array="1">_xlfn.SWITCH(I2,"P001","Laptop","P002","Server Key","P003","Network Switch","P004","Data Storage Device","P005","Software License","P006","Monitor Stand","P007","Keyboard Tray","P008","Cable Management Tray","P009","Ergonomic Chair","P010","Standing Desk")</calculatedColumnFormula>
    </tableColumn>
    <tableColumn id="11" xr3:uid="{E60719BA-9412-4D87-BEEB-8A762163B700}" name="Unit Price" dataDxfId="14">
      <calculatedColumnFormula array="1">_xlfn.SWITCH(Table1[[#This Row],[Product ID]],"P001",220,"P002",150,"P003",130,"P004",70,"P005",200,"P006",40,"P007",25,"P008",20,"P009",190,"P010",530)</calculatedColumnFormula>
    </tableColumn>
    <tableColumn id="12" xr3:uid="{09EDEED8-6F30-40F7-8493-DAFF3B9E99B5}" name="Quantity"/>
    <tableColumn id="14" xr3:uid="{D70A181A-DA41-40F0-A1E2-64FA3ACF10E9}" name="Gross Value" dataDxfId="13">
      <calculatedColumnFormula>Table1[[#This Row],[Unit Price]]*Table1[[#This Row],[Quantity]]</calculatedColumnFormula>
    </tableColumn>
    <tableColumn id="13" xr3:uid="{04DC9FD5-399E-4E45-BCD8-A4351B6F10C1}" name="Discount" dataCellStyle="Per cent"/>
    <tableColumn id="15" xr3:uid="{B9BED52D-F452-490E-ACBF-43B1DD142C27}" name="Revenue" dataDxfId="12">
      <calculatedColumnFormula>Table1[[#This Row],[Gross Value]]*(1-Table1[[#This Row],[Discount]])</calculatedColumnFormula>
    </tableColumn>
    <tableColumn id="16" xr3:uid="{A4C3F92E-6D47-4D40-915E-ACC7A57770DC}" name="VAT Rate" dataCellStyle="Per cent"/>
    <tableColumn id="17" xr3:uid="{8A4C0DD8-D56E-49D2-90DD-EBE43BA7A23C}" name="VAT Charged" dataDxfId="11">
      <calculatedColumnFormula>Table1[[#This Row],[Revenue]]*Table1[[#This Row],[VAT Rate]]</calculatedColumnFormula>
    </tableColumn>
    <tableColumn id="18" xr3:uid="{353AF93D-0703-46A5-845F-D7BBAE78088A}" name="Invoice Total" dataDxfId="10">
      <calculatedColumnFormula>Table1[[#This Row],[Revenue]]+Table1[[#This Row],[VAT Charged]]</calculatedColumnFormula>
    </tableColumn>
    <tableColumn id="22" xr3:uid="{E9AC7067-6EAF-45F5-B891-A9F3279D6509}" name="COGS per Unit" dataDxfId="9">
      <calculatedColumnFormula array="1">_xlfn.SWITCH(Table1[[#This Row],[Product ID]],"P001",140,"P002",80,"P003",72,"P004",30,"P005",110,"P006",24,"P007",14,"P008",12,"P009",115,"P010",360)</calculatedColumnFormula>
    </tableColumn>
    <tableColumn id="19" xr3:uid="{754F0E97-27CA-4326-B4C7-D15C65DF7F93}" name="COGS" dataDxfId="8">
      <calculatedColumnFormula array="1">(_xlfn.SWITCH(Table1[[#This Row],[Product ID]],"P001",140,"P002",80,"P003",72,"P004",30,"P005",110,"P006",24,"P007",14,"P008",12,"P009",115,"P010",360))*Table1[[#This Row],[Quantity]]</calculatedColumnFormula>
    </tableColumn>
    <tableColumn id="23" xr3:uid="{0993F82A-7B6D-4F15-BC9E-C96186F377F0}" name="Shipping per Unit" dataDxfId="7">
      <calculatedColumnFormula array="1">_xlfn.SWITCH(Table1[[#This Row],[Product ID]],"P001",15,"P002",0,"P003",8,"P004",8,"P005",0,"P006",7,"P007",7,"P008",6,"P009",45,"P010",60)</calculatedColumnFormula>
    </tableColumn>
    <tableColumn id="28" xr3:uid="{E893DA8D-4A4F-4B7D-B434-AC208EF13B57}" name="Total Shipping" dataDxfId="6">
      <calculatedColumnFormula>Table1[[#This Row],[Shipping per Unit]]*Table1[[#This Row],[Quantity]]</calculatedColumnFormula>
    </tableColumn>
    <tableColumn id="24" xr3:uid="{19A95F4C-723E-4024-96C5-1123E8D7D1C9}" name="VAT on Shipping" dataDxfId="5" dataCellStyle="Per cent">
      <calculatedColumnFormula>IF(Table1[[#This Row],[Total Shipping]]&gt;0.1,0.2,0)</calculatedColumnFormula>
    </tableColumn>
    <tableColumn id="25" xr3:uid="{26CDFE63-69E9-4CF0-B444-4D7D7C00070B}" name="VAT on Shipping Value" dataDxfId="4" dataCellStyle="Per cent">
      <calculatedColumnFormula>Table1[[#This Row],[Total Shipping]]*Table1[[#This Row],[VAT on Shipping]]</calculatedColumnFormula>
    </tableColumn>
    <tableColumn id="20" xr3:uid="{4C0121DD-5B56-456C-8509-9D1F4ED930E4}" name="Profit" dataDxfId="3">
      <calculatedColumnFormula>Table1[[#This Row],[Revenue]]-Table1[[#This Row],[COGS]]</calculatedColumnFormula>
    </tableColumn>
    <tableColumn id="21" xr3:uid="{5A095D83-BA3B-4346-B453-7A7AEF0497BD}" name="Profit Margin" dataDxfId="2" dataCellStyle="Per cent">
      <calculatedColumnFormula>(Table1[[#This Row],[Profit]]/Table1[[#This Row],[Revenue]])</calculatedColumnFormula>
    </tableColumn>
    <tableColumn id="26" xr3:uid="{AABEC094-E5DE-4D42-BFAE-2D6F1DA6BAEF}" name="Operating Profit" dataDxfId="1">
      <calculatedColumnFormula>Table1[[#This Row],[Profit]]-Table1[[#This Row],[Total Shipping]]</calculatedColumnFormula>
    </tableColumn>
    <tableColumn id="27" xr3:uid="{3CED0F2C-BDF1-45D8-87A9-DD2DE2D50744}" name="Operating Profit Margin" dataDxfId="0" dataCellStyle="Per cent">
      <calculatedColumnFormula>Table1[[#This Row],[Operating Profit]]/Table1[[#This Row],[Revenue]]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tabSelected="1" showOutlineSymbols="0" showWhiteSpace="0" zoomScale="50" zoomScaleNormal="50" workbookViewId="0">
      <selection activeCell="R20" sqref="R20"/>
    </sheetView>
  </sheetViews>
  <sheetFormatPr defaultRowHeight="13.8" x14ac:dyDescent="0.25"/>
  <cols>
    <col min="1" max="1" width="14.09765625" bestFit="1" customWidth="1"/>
    <col min="2" max="2" width="16.5" customWidth="1"/>
    <col min="3" max="3" width="11.3984375" customWidth="1"/>
    <col min="4" max="4" width="10.09765625" customWidth="1"/>
    <col min="5" max="5" width="9.69921875" bestFit="1" customWidth="1"/>
    <col min="6" max="6" width="18.5" bestFit="1" customWidth="1"/>
    <col min="7" max="7" width="10.8984375" customWidth="1"/>
    <col min="8" max="8" width="15.19921875" bestFit="1" customWidth="1"/>
    <col min="9" max="9" width="11.69921875" customWidth="1"/>
    <col min="10" max="10" width="22" customWidth="1"/>
    <col min="11" max="11" width="14.3984375" customWidth="1"/>
    <col min="12" max="12" width="10" customWidth="1"/>
    <col min="13" max="13" width="14" customWidth="1"/>
    <col min="14" max="14" width="10.19921875" style="2" customWidth="1"/>
    <col min="15" max="15" width="12.09765625" customWidth="1"/>
    <col min="17" max="17" width="12.09765625" customWidth="1"/>
    <col min="18" max="19" width="13.5" customWidth="1"/>
    <col min="20" max="23" width="12.09765625" customWidth="1"/>
    <col min="24" max="24" width="11.8984375" customWidth="1"/>
    <col min="25" max="25" width="11.69921875" customWidth="1"/>
    <col min="26" max="26" width="12.8984375" customWidth="1"/>
    <col min="27" max="27" width="12" customWidth="1"/>
    <col min="28" max="28" width="8.39843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>
        <v>562</v>
      </c>
      <c r="C2" t="s">
        <v>29</v>
      </c>
      <c r="D2" t="s">
        <v>30</v>
      </c>
      <c r="E2" t="s">
        <v>31</v>
      </c>
      <c r="F2" t="s">
        <v>32</v>
      </c>
      <c r="G2" t="str" cm="1">
        <f t="array" ref="G2">_xlfn.SWITCH(F2,"Acme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2" t="s">
        <v>33</v>
      </c>
      <c r="I2" t="s">
        <v>34</v>
      </c>
      <c r="J2" t="str" cm="1">
        <f t="array" ref="J2">_xlfn.SWITCH(I2,"P001","Laptop","P002","Server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" s="1" cm="1">
        <f t="array" ref="K2">_xlfn.SWITCH(Table1[[#This Row],[Product ID]],"P001",220,"P002",150,"P003",130,"P004",70,"P005",200,"P006",40,"P007",25,"P008",20,"P009",190,"P010",530)</f>
        <v>20</v>
      </c>
      <c r="L2">
        <v>5</v>
      </c>
      <c r="M2" s="1">
        <f>Table1[[#This Row],[Unit Price]]*Table1[[#This Row],[Quantity]]</f>
        <v>100</v>
      </c>
      <c r="N2" s="2">
        <v>0.1</v>
      </c>
      <c r="O2" s="1">
        <f>Table1[[#This Row],[Gross Value]]*(1-Table1[[#This Row],[Discount]])</f>
        <v>90</v>
      </c>
      <c r="P2" s="2">
        <v>0.2</v>
      </c>
      <c r="Q2" s="1">
        <f>Table1[[#This Row],[Revenue]]*Table1[[#This Row],[VAT Rate]]</f>
        <v>18</v>
      </c>
      <c r="R2" s="1">
        <f>Table1[[#This Row],[Revenue]]+Table1[[#This Row],[VAT Charged]]</f>
        <v>108</v>
      </c>
      <c r="S2" s="1" cm="1">
        <f t="array" ref="S2">_xlfn.SWITCH(Table1[[#This Row],[Product ID]],"P001",140,"P002",80,"P003",72,"P004",30,"P005",110,"P006",24,"P007",14,"P008",12,"P009",115,"P010",360)</f>
        <v>12</v>
      </c>
      <c r="T2" s="1" cm="1">
        <f t="array" ref="T2">(_xlfn.SWITCH(Table1[[#This Row],[Product ID]],"P001",140,"P002",80,"P003",72,"P004",30,"P005",110,"P006",24,"P007",14,"P008",12,"P009",115,"P010",360))*Table1[[#This Row],[Quantity]]</f>
        <v>60</v>
      </c>
      <c r="U2" s="1" cm="1">
        <f t="array" ref="U2">_xlfn.SWITCH(Table1[[#This Row],[Product ID]],"P001",15,"P002",0,"P003",8,"P004",8,"P005",0,"P006",7,"P007",7,"P008",6,"P009",45,"P010",60)</f>
        <v>6</v>
      </c>
      <c r="V2" s="1">
        <f>Table1[[#This Row],[Shipping per Unit]]*Table1[[#This Row],[Quantity]]</f>
        <v>30</v>
      </c>
      <c r="W2" s="2">
        <f>IF(Table1[[#This Row],[Total Shipping]]&gt;0.1,0.2,0)</f>
        <v>0.2</v>
      </c>
      <c r="X2" s="4">
        <f>Table1[[#This Row],[Total Shipping]]*Table1[[#This Row],[VAT on Shipping]]</f>
        <v>6</v>
      </c>
      <c r="Y2" s="1">
        <f>Table1[[#This Row],[Revenue]]-Table1[[#This Row],[COGS]]</f>
        <v>30</v>
      </c>
      <c r="Z2" s="3">
        <f>(Table1[[#This Row],[Profit]]/Table1[[#This Row],[Revenue]])</f>
        <v>0.33333333333333331</v>
      </c>
      <c r="AA2" s="1">
        <f>Table1[[#This Row],[Profit]]-Table1[[#This Row],[Total Shipping]]</f>
        <v>0</v>
      </c>
      <c r="AB2" s="3">
        <f>Table1[[#This Row],[Operating Profit]]/Table1[[#This Row],[Revenue]]</f>
        <v>0</v>
      </c>
    </row>
    <row r="3" spans="1:28" x14ac:dyDescent="0.25">
      <c r="A3" t="s">
        <v>28</v>
      </c>
      <c r="B3">
        <v>667</v>
      </c>
      <c r="C3" t="s">
        <v>35</v>
      </c>
      <c r="D3" t="s">
        <v>36</v>
      </c>
      <c r="E3" t="s">
        <v>31</v>
      </c>
      <c r="F3" t="s">
        <v>37</v>
      </c>
      <c r="G3" t="str" cm="1">
        <f t="array" ref="G3">_xlfn.SWITCH(F3,"Acme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3" t="s">
        <v>33</v>
      </c>
      <c r="I3" t="s">
        <v>34</v>
      </c>
      <c r="J3" t="str" cm="1">
        <f t="array" ref="J3">_xlfn.SWITCH(I3,"P001","Laptop","P002","Server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" s="1" cm="1">
        <f t="array" ref="K3">_xlfn.SWITCH(Table1[[#This Row],[Product ID]],"P001",220,"P002",150,"P003",130,"P004",70,"P005",200,"P006",40,"P007",25,"P008",20,"P009",190,"P010",530)</f>
        <v>20</v>
      </c>
      <c r="L3">
        <v>13</v>
      </c>
      <c r="M3" s="1">
        <f>Table1[[#This Row],[Unit Price]]*Table1[[#This Row],[Quantity]]</f>
        <v>260</v>
      </c>
      <c r="N3" s="2">
        <v>0.08</v>
      </c>
      <c r="O3" s="1">
        <f>Table1[[#This Row],[Gross Value]]*(1-Table1[[#This Row],[Discount]])</f>
        <v>239.20000000000002</v>
      </c>
      <c r="P3" s="2">
        <v>0.2</v>
      </c>
      <c r="Q3" s="1">
        <f>Table1[[#This Row],[Revenue]]*Table1[[#This Row],[VAT Rate]]</f>
        <v>47.84</v>
      </c>
      <c r="R3" s="1">
        <f>Table1[[#This Row],[Revenue]]+Table1[[#This Row],[VAT Charged]]</f>
        <v>287.04000000000002</v>
      </c>
      <c r="S3" s="1" cm="1">
        <f t="array" ref="S3">_xlfn.SWITCH(Table1[[#This Row],[Product ID]],"P001",140,"P002",80,"P003",72,"P004",30,"P005",110,"P006",24,"P007",14,"P008",12,"P009",115,"P010",360)</f>
        <v>12</v>
      </c>
      <c r="T3" s="1" cm="1">
        <f t="array" ref="T3">(_xlfn.SWITCH(Table1[[#This Row],[Product ID]],"P001",140,"P002",80,"P003",72,"P004",30,"P005",110,"P006",24,"P007",14,"P008",12,"P009",115,"P010",360))*Table1[[#This Row],[Quantity]]</f>
        <v>156</v>
      </c>
      <c r="U3" s="1" cm="1">
        <f t="array" ref="U3">_xlfn.SWITCH(Table1[[#This Row],[Product ID]],"P001",15,"P002",0,"P003",8,"P004",8,"P005",0,"P006",7,"P007",7,"P008",6,"P009",45,"P010",60)</f>
        <v>6</v>
      </c>
      <c r="V3" s="1">
        <f>Table1[[#This Row],[Shipping per Unit]]*Table1[[#This Row],[Quantity]]</f>
        <v>78</v>
      </c>
      <c r="W3" s="2">
        <f>IF(Table1[[#This Row],[Total Shipping]]&gt;0.1,0.2,0)</f>
        <v>0.2</v>
      </c>
      <c r="X3" s="4">
        <f>Table1[[#This Row],[Total Shipping]]*Table1[[#This Row],[VAT on Shipping]]</f>
        <v>15.600000000000001</v>
      </c>
      <c r="Y3" s="1">
        <f>Table1[[#This Row],[Revenue]]-Table1[[#This Row],[COGS]]</f>
        <v>83.200000000000017</v>
      </c>
      <c r="Z3" s="3">
        <f>(Table1[[#This Row],[Profit]]/Table1[[#This Row],[Revenue]])</f>
        <v>0.34782608695652178</v>
      </c>
      <c r="AA3" s="1">
        <f>Table1[[#This Row],[Profit]]-Table1[[#This Row],[Total Shipping]]</f>
        <v>5.2000000000000171</v>
      </c>
      <c r="AB3" s="3">
        <f>Table1[[#This Row],[Operating Profit]]/Table1[[#This Row],[Revenue]]</f>
        <v>2.1739130434782677E-2</v>
      </c>
    </row>
    <row r="4" spans="1:28" x14ac:dyDescent="0.25">
      <c r="A4" t="s">
        <v>28</v>
      </c>
      <c r="B4">
        <v>685</v>
      </c>
      <c r="C4" t="s">
        <v>38</v>
      </c>
      <c r="D4" t="s">
        <v>39</v>
      </c>
      <c r="E4" t="s">
        <v>40</v>
      </c>
      <c r="F4" t="s">
        <v>41</v>
      </c>
      <c r="G4" t="str" cm="1">
        <f t="array" ref="G4">_xlfn.SWITCH(F4,"Acme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4" t="s">
        <v>33</v>
      </c>
      <c r="I4" t="s">
        <v>42</v>
      </c>
      <c r="J4" t="str" cm="1">
        <f t="array" ref="J4">_xlfn.SWITCH(I4,"P001","Laptop","P002","Server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" s="1" cm="1">
        <f t="array" ref="K4">_xlfn.SWITCH(Table1[[#This Row],[Product ID]],"P001",220,"P002",150,"P003",130,"P004",70,"P005",200,"P006",40,"P007",25,"P008",20,"P009",190,"P010",530)</f>
        <v>40</v>
      </c>
      <c r="L4">
        <v>8</v>
      </c>
      <c r="M4" s="1">
        <f>Table1[[#This Row],[Unit Price]]*Table1[[#This Row],[Quantity]]</f>
        <v>320</v>
      </c>
      <c r="N4" s="2">
        <v>0.05</v>
      </c>
      <c r="O4" s="1">
        <f>Table1[[#This Row],[Gross Value]]*(1-Table1[[#This Row],[Discount]])</f>
        <v>304</v>
      </c>
      <c r="P4" s="2">
        <v>0.2</v>
      </c>
      <c r="Q4" s="1">
        <f>Table1[[#This Row],[Revenue]]*Table1[[#This Row],[VAT Rate]]</f>
        <v>60.800000000000004</v>
      </c>
      <c r="R4" s="1">
        <f>Table1[[#This Row],[Revenue]]+Table1[[#This Row],[VAT Charged]]</f>
        <v>364.8</v>
      </c>
      <c r="S4" s="1" cm="1">
        <f t="array" ref="S4">_xlfn.SWITCH(Table1[[#This Row],[Product ID]],"P001",140,"P002",80,"P003",72,"P004",30,"P005",110,"P006",24,"P007",14,"P008",12,"P009",115,"P010",360)</f>
        <v>24</v>
      </c>
      <c r="T4" s="1" cm="1">
        <f t="array" ref="T4">(_xlfn.SWITCH(Table1[[#This Row],[Product ID]],"P001",140,"P002",80,"P003",72,"P004",30,"P005",110,"P006",24,"P007",14,"P008",12,"P009",115,"P010",360))*Table1[[#This Row],[Quantity]]</f>
        <v>192</v>
      </c>
      <c r="U4" s="1" cm="1">
        <f t="array" ref="U4">_xlfn.SWITCH(Table1[[#This Row],[Product ID]],"P001",15,"P002",0,"P003",8,"P004",8,"P005",0,"P006",7,"P007",7,"P008",6,"P009",45,"P010",60)</f>
        <v>7</v>
      </c>
      <c r="V4" s="1">
        <f>Table1[[#This Row],[Shipping per Unit]]*Table1[[#This Row],[Quantity]]</f>
        <v>56</v>
      </c>
      <c r="W4" s="2">
        <f>IF(Table1[[#This Row],[Total Shipping]]&gt;0.1,0.2,0)</f>
        <v>0.2</v>
      </c>
      <c r="X4" s="4">
        <f>Table1[[#This Row],[Total Shipping]]*Table1[[#This Row],[VAT on Shipping]]</f>
        <v>11.200000000000001</v>
      </c>
      <c r="Y4" s="1">
        <f>Table1[[#This Row],[Revenue]]-Table1[[#This Row],[COGS]]</f>
        <v>112</v>
      </c>
      <c r="Z4" s="3">
        <f>(Table1[[#This Row],[Profit]]/Table1[[#This Row],[Revenue]])</f>
        <v>0.36842105263157893</v>
      </c>
      <c r="AA4" s="1">
        <f>Table1[[#This Row],[Profit]]-Table1[[#This Row],[Total Shipping]]</f>
        <v>56</v>
      </c>
      <c r="AB4" s="3">
        <f>Table1[[#This Row],[Operating Profit]]/Table1[[#This Row],[Revenue]]</f>
        <v>0.18421052631578946</v>
      </c>
    </row>
    <row r="5" spans="1:28" x14ac:dyDescent="0.25">
      <c r="A5" t="s">
        <v>43</v>
      </c>
      <c r="B5">
        <v>221</v>
      </c>
      <c r="C5" t="s">
        <v>29</v>
      </c>
      <c r="D5" t="s">
        <v>36</v>
      </c>
      <c r="E5" t="s">
        <v>31</v>
      </c>
      <c r="F5" t="s">
        <v>44</v>
      </c>
      <c r="G5" t="str" cm="1">
        <f t="array" ref="G5">_xlfn.SWITCH(F5,"Acme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5" t="s">
        <v>45</v>
      </c>
      <c r="I5" t="s">
        <v>46</v>
      </c>
      <c r="J5" t="str" cm="1">
        <f t="array" ref="J5">_xlfn.SWITCH(I5,"P001","Laptop","P002","Server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" s="1" cm="1">
        <f t="array" ref="K5">_xlfn.SWITCH(Table1[[#This Row],[Product ID]],"P001",220,"P002",150,"P003",130,"P004",70,"P005",200,"P006",40,"P007",25,"P008",20,"P009",190,"P010",530)</f>
        <v>530</v>
      </c>
      <c r="L5">
        <v>8</v>
      </c>
      <c r="M5" s="1">
        <f>Table1[[#This Row],[Unit Price]]*Table1[[#This Row],[Quantity]]</f>
        <v>4240</v>
      </c>
      <c r="N5" s="2">
        <v>0.1</v>
      </c>
      <c r="O5" s="1">
        <f>Table1[[#This Row],[Gross Value]]*(1-Table1[[#This Row],[Discount]])</f>
        <v>3816</v>
      </c>
      <c r="P5" s="2">
        <v>0.2</v>
      </c>
      <c r="Q5" s="1">
        <f>Table1[[#This Row],[Revenue]]*Table1[[#This Row],[VAT Rate]]</f>
        <v>763.2</v>
      </c>
      <c r="R5" s="1">
        <f>Table1[[#This Row],[Revenue]]+Table1[[#This Row],[VAT Charged]]</f>
        <v>4579.2</v>
      </c>
      <c r="S5" s="1" cm="1">
        <f t="array" ref="S5">_xlfn.SWITCH(Table1[[#This Row],[Product ID]],"P001",140,"P002",80,"P003",72,"P004",30,"P005",110,"P006",24,"P007",14,"P008",12,"P009",115,"P010",360)</f>
        <v>360</v>
      </c>
      <c r="T5" s="1" cm="1">
        <f t="array" ref="T5">(_xlfn.SWITCH(Table1[[#This Row],[Product ID]],"P001",140,"P002",80,"P003",72,"P004",30,"P005",110,"P006",24,"P007",14,"P008",12,"P009",115,"P010",360))*Table1[[#This Row],[Quantity]]</f>
        <v>2880</v>
      </c>
      <c r="U5" s="1" cm="1">
        <f t="array" ref="U5">_xlfn.SWITCH(Table1[[#This Row],[Product ID]],"P001",15,"P002",0,"P003",8,"P004",8,"P005",0,"P006",7,"P007",7,"P008",6,"P009",45,"P010",60)</f>
        <v>60</v>
      </c>
      <c r="V5" s="1">
        <f>Table1[[#This Row],[Shipping per Unit]]*Table1[[#This Row],[Quantity]]</f>
        <v>480</v>
      </c>
      <c r="W5" s="2">
        <f>IF(Table1[[#This Row],[Total Shipping]]&gt;0.1,0.2,0)</f>
        <v>0.2</v>
      </c>
      <c r="X5" s="4">
        <f>Table1[[#This Row],[Total Shipping]]*Table1[[#This Row],[VAT on Shipping]]</f>
        <v>96</v>
      </c>
      <c r="Y5" s="1">
        <f>Table1[[#This Row],[Revenue]]-Table1[[#This Row],[COGS]]</f>
        <v>936</v>
      </c>
      <c r="Z5" s="3">
        <f>(Table1[[#This Row],[Profit]]/Table1[[#This Row],[Revenue]])</f>
        <v>0.24528301886792453</v>
      </c>
      <c r="AA5" s="1">
        <f>Table1[[#This Row],[Profit]]-Table1[[#This Row],[Total Shipping]]</f>
        <v>456</v>
      </c>
      <c r="AB5" s="3">
        <f>Table1[[#This Row],[Operating Profit]]/Table1[[#This Row],[Revenue]]</f>
        <v>0.11949685534591195</v>
      </c>
    </row>
    <row r="6" spans="1:28" x14ac:dyDescent="0.25">
      <c r="A6" t="s">
        <v>47</v>
      </c>
      <c r="B6">
        <v>634</v>
      </c>
      <c r="C6" t="s">
        <v>35</v>
      </c>
      <c r="D6" t="s">
        <v>48</v>
      </c>
      <c r="E6" t="s">
        <v>49</v>
      </c>
      <c r="F6" t="s">
        <v>50</v>
      </c>
      <c r="G6" t="str" cm="1">
        <f t="array" ref="G6">_xlfn.SWITCH(F6,"Acme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6" t="s">
        <v>51</v>
      </c>
      <c r="I6" t="s">
        <v>52</v>
      </c>
      <c r="J6" t="str" cm="1">
        <f t="array" ref="J6">_xlfn.SWITCH(I6,"P001","Laptop","P002","Server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6" s="1" cm="1">
        <f t="array" ref="K6">_xlfn.SWITCH(Table1[[#This Row],[Product ID]],"P001",220,"P002",150,"P003",130,"P004",70,"P005",200,"P006",40,"P007",25,"P008",20,"P009",190,"P010",530)</f>
        <v>130</v>
      </c>
      <c r="L6">
        <v>16</v>
      </c>
      <c r="M6" s="1">
        <f>Table1[[#This Row],[Unit Price]]*Table1[[#This Row],[Quantity]]</f>
        <v>2080</v>
      </c>
      <c r="N6" s="2">
        <v>0.05</v>
      </c>
      <c r="O6" s="1">
        <f>Table1[[#This Row],[Gross Value]]*(1-Table1[[#This Row],[Discount]])</f>
        <v>1976</v>
      </c>
      <c r="P6" s="2">
        <v>0.2</v>
      </c>
      <c r="Q6" s="1">
        <f>Table1[[#This Row],[Revenue]]*Table1[[#This Row],[VAT Rate]]</f>
        <v>395.20000000000005</v>
      </c>
      <c r="R6" s="1">
        <f>Table1[[#This Row],[Revenue]]+Table1[[#This Row],[VAT Charged]]</f>
        <v>2371.1999999999998</v>
      </c>
      <c r="S6" s="1" cm="1">
        <f t="array" ref="S6">_xlfn.SWITCH(Table1[[#This Row],[Product ID]],"P001",140,"P002",80,"P003",72,"P004",30,"P005",110,"P006",24,"P007",14,"P008",12,"P009",115,"P010",360)</f>
        <v>72</v>
      </c>
      <c r="T6" s="1" cm="1">
        <f t="array" ref="T6">(_xlfn.SWITCH(Table1[[#This Row],[Product ID]],"P001",140,"P002",80,"P003",72,"P004",30,"P005",110,"P006",24,"P007",14,"P008",12,"P009",115,"P010",360))*Table1[[#This Row],[Quantity]]</f>
        <v>1152</v>
      </c>
      <c r="U6" s="1" cm="1">
        <f t="array" ref="U6">_xlfn.SWITCH(Table1[[#This Row],[Product ID]],"P001",15,"P002",0,"P003",8,"P004",8,"P005",0,"P006",7,"P007",7,"P008",6,"P009",45,"P010",60)</f>
        <v>8</v>
      </c>
      <c r="V6" s="1">
        <f>Table1[[#This Row],[Shipping per Unit]]*Table1[[#This Row],[Quantity]]</f>
        <v>128</v>
      </c>
      <c r="W6" s="2">
        <f>IF(Table1[[#This Row],[Total Shipping]]&gt;0.1,0.2,0)</f>
        <v>0.2</v>
      </c>
      <c r="X6" s="4">
        <f>Table1[[#This Row],[Total Shipping]]*Table1[[#This Row],[VAT on Shipping]]</f>
        <v>25.6</v>
      </c>
      <c r="Y6" s="1">
        <f>Table1[[#This Row],[Revenue]]-Table1[[#This Row],[COGS]]</f>
        <v>824</v>
      </c>
      <c r="Z6" s="3">
        <f>(Table1[[#This Row],[Profit]]/Table1[[#This Row],[Revenue]])</f>
        <v>0.41700404858299595</v>
      </c>
      <c r="AA6" s="1">
        <f>Table1[[#This Row],[Profit]]-Table1[[#This Row],[Total Shipping]]</f>
        <v>696</v>
      </c>
      <c r="AB6" s="3">
        <f>Table1[[#This Row],[Operating Profit]]/Table1[[#This Row],[Revenue]]</f>
        <v>0.35222672064777327</v>
      </c>
    </row>
    <row r="7" spans="1:28" x14ac:dyDescent="0.25">
      <c r="A7" t="s">
        <v>47</v>
      </c>
      <c r="B7">
        <v>721</v>
      </c>
      <c r="C7" t="s">
        <v>35</v>
      </c>
      <c r="D7" t="s">
        <v>53</v>
      </c>
      <c r="E7" t="s">
        <v>40</v>
      </c>
      <c r="F7" t="s">
        <v>54</v>
      </c>
      <c r="G7" t="str" cm="1">
        <f t="array" ref="G7">_xlfn.SWITCH(F7,"Acme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7" t="s">
        <v>33</v>
      </c>
      <c r="I7" t="s">
        <v>55</v>
      </c>
      <c r="J7" t="str" cm="1">
        <f t="array" ref="J7">_xlfn.SWITCH(I7,"P001","Laptop","P002","Server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" s="1" cm="1">
        <f t="array" ref="K7">_xlfn.SWITCH(Table1[[#This Row],[Product ID]],"P001",220,"P002",150,"P003",130,"P004",70,"P005",200,"P006",40,"P007",25,"P008",20,"P009",190,"P010",530)</f>
        <v>70</v>
      </c>
      <c r="L7">
        <v>5</v>
      </c>
      <c r="M7" s="1">
        <f>Table1[[#This Row],[Unit Price]]*Table1[[#This Row],[Quantity]]</f>
        <v>350</v>
      </c>
      <c r="N7" s="2">
        <v>0.05</v>
      </c>
      <c r="O7" s="1">
        <f>Table1[[#This Row],[Gross Value]]*(1-Table1[[#This Row],[Discount]])</f>
        <v>332.5</v>
      </c>
      <c r="P7" s="2">
        <v>0.2</v>
      </c>
      <c r="Q7" s="1">
        <f>Table1[[#This Row],[Revenue]]*Table1[[#This Row],[VAT Rate]]</f>
        <v>66.5</v>
      </c>
      <c r="R7" s="1">
        <f>Table1[[#This Row],[Revenue]]+Table1[[#This Row],[VAT Charged]]</f>
        <v>399</v>
      </c>
      <c r="S7" s="1" cm="1">
        <f t="array" ref="S7">_xlfn.SWITCH(Table1[[#This Row],[Product ID]],"P001",140,"P002",80,"P003",72,"P004",30,"P005",110,"P006",24,"P007",14,"P008",12,"P009",115,"P010",360)</f>
        <v>30</v>
      </c>
      <c r="T7" s="1" cm="1">
        <f t="array" ref="T7">(_xlfn.SWITCH(Table1[[#This Row],[Product ID]],"P001",140,"P002",80,"P003",72,"P004",30,"P005",110,"P006",24,"P007",14,"P008",12,"P009",115,"P010",360))*Table1[[#This Row],[Quantity]]</f>
        <v>150</v>
      </c>
      <c r="U7" s="1" cm="1">
        <f t="array" ref="U7">_xlfn.SWITCH(Table1[[#This Row],[Product ID]],"P001",15,"P002",0,"P003",8,"P004",8,"P005",0,"P006",7,"P007",7,"P008",6,"P009",45,"P010",60)</f>
        <v>8</v>
      </c>
      <c r="V7" s="1">
        <f>Table1[[#This Row],[Shipping per Unit]]*Table1[[#This Row],[Quantity]]</f>
        <v>40</v>
      </c>
      <c r="W7" s="2">
        <f>IF(Table1[[#This Row],[Total Shipping]]&gt;0.1,0.2,0)</f>
        <v>0.2</v>
      </c>
      <c r="X7" s="4">
        <f>Table1[[#This Row],[Total Shipping]]*Table1[[#This Row],[VAT on Shipping]]</f>
        <v>8</v>
      </c>
      <c r="Y7" s="1">
        <f>Table1[[#This Row],[Revenue]]-Table1[[#This Row],[COGS]]</f>
        <v>182.5</v>
      </c>
      <c r="Z7" s="3">
        <f>(Table1[[#This Row],[Profit]]/Table1[[#This Row],[Revenue]])</f>
        <v>0.54887218045112784</v>
      </c>
      <c r="AA7" s="1">
        <f>Table1[[#This Row],[Profit]]-Table1[[#This Row],[Total Shipping]]</f>
        <v>142.5</v>
      </c>
      <c r="AB7" s="3">
        <f>Table1[[#This Row],[Operating Profit]]/Table1[[#This Row],[Revenue]]</f>
        <v>0.42857142857142855</v>
      </c>
    </row>
    <row r="8" spans="1:28" x14ac:dyDescent="0.25">
      <c r="A8" t="s">
        <v>47</v>
      </c>
      <c r="B8">
        <v>752</v>
      </c>
      <c r="C8" t="s">
        <v>56</v>
      </c>
      <c r="D8" t="s">
        <v>57</v>
      </c>
      <c r="E8" t="s">
        <v>49</v>
      </c>
      <c r="F8" t="s">
        <v>32</v>
      </c>
      <c r="G8" t="str" cm="1">
        <f t="array" ref="G8">_xlfn.SWITCH(F8,"Acme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8" t="s">
        <v>58</v>
      </c>
      <c r="I8" t="s">
        <v>52</v>
      </c>
      <c r="J8" t="str" cm="1">
        <f t="array" ref="J8">_xlfn.SWITCH(I8,"P001","Laptop","P002","Server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" s="1" cm="1">
        <f t="array" ref="K8">_xlfn.SWITCH(Table1[[#This Row],[Product ID]],"P001",220,"P002",150,"P003",130,"P004",70,"P005",200,"P006",40,"P007",25,"P008",20,"P009",190,"P010",530)</f>
        <v>130</v>
      </c>
      <c r="L8">
        <v>10</v>
      </c>
      <c r="M8" s="1">
        <f>Table1[[#This Row],[Unit Price]]*Table1[[#This Row],[Quantity]]</f>
        <v>1300</v>
      </c>
      <c r="N8" s="2">
        <v>0.05</v>
      </c>
      <c r="O8" s="1">
        <f>Table1[[#This Row],[Gross Value]]*(1-Table1[[#This Row],[Discount]])</f>
        <v>1235</v>
      </c>
      <c r="P8" s="2">
        <v>0.2</v>
      </c>
      <c r="Q8" s="1">
        <f>Table1[[#This Row],[Revenue]]*Table1[[#This Row],[VAT Rate]]</f>
        <v>247</v>
      </c>
      <c r="R8" s="1">
        <f>Table1[[#This Row],[Revenue]]+Table1[[#This Row],[VAT Charged]]</f>
        <v>1482</v>
      </c>
      <c r="S8" s="1" cm="1">
        <f t="array" ref="S8">_xlfn.SWITCH(Table1[[#This Row],[Product ID]],"P001",140,"P002",80,"P003",72,"P004",30,"P005",110,"P006",24,"P007",14,"P008",12,"P009",115,"P010",360)</f>
        <v>72</v>
      </c>
      <c r="T8" s="1" cm="1">
        <f t="array" ref="T8">(_xlfn.SWITCH(Table1[[#This Row],[Product ID]],"P001",140,"P002",80,"P003",72,"P004",30,"P005",110,"P006",24,"P007",14,"P008",12,"P009",115,"P010",360))*Table1[[#This Row],[Quantity]]</f>
        <v>720</v>
      </c>
      <c r="U8" s="1" cm="1">
        <f t="array" ref="U8">_xlfn.SWITCH(Table1[[#This Row],[Product ID]],"P001",15,"P002",0,"P003",8,"P004",8,"P005",0,"P006",7,"P007",7,"P008",6,"P009",45,"P010",60)</f>
        <v>8</v>
      </c>
      <c r="V8" s="1">
        <f>Table1[[#This Row],[Shipping per Unit]]*Table1[[#This Row],[Quantity]]</f>
        <v>80</v>
      </c>
      <c r="W8" s="2">
        <f>IF(Table1[[#This Row],[Total Shipping]]&gt;0.1,0.2,0)</f>
        <v>0.2</v>
      </c>
      <c r="X8" s="4">
        <f>Table1[[#This Row],[Total Shipping]]*Table1[[#This Row],[VAT on Shipping]]</f>
        <v>16</v>
      </c>
      <c r="Y8" s="1">
        <f>Table1[[#This Row],[Revenue]]-Table1[[#This Row],[COGS]]</f>
        <v>515</v>
      </c>
      <c r="Z8" s="3">
        <f>(Table1[[#This Row],[Profit]]/Table1[[#This Row],[Revenue]])</f>
        <v>0.41700404858299595</v>
      </c>
      <c r="AA8" s="1">
        <f>Table1[[#This Row],[Profit]]-Table1[[#This Row],[Total Shipping]]</f>
        <v>435</v>
      </c>
      <c r="AB8" s="3">
        <f>Table1[[#This Row],[Operating Profit]]/Table1[[#This Row],[Revenue]]</f>
        <v>0.35222672064777327</v>
      </c>
    </row>
    <row r="9" spans="1:28" x14ac:dyDescent="0.25">
      <c r="A9" t="s">
        <v>47</v>
      </c>
      <c r="B9">
        <v>885</v>
      </c>
      <c r="C9" t="s">
        <v>38</v>
      </c>
      <c r="D9" t="s">
        <v>48</v>
      </c>
      <c r="E9" t="s">
        <v>40</v>
      </c>
      <c r="F9" t="s">
        <v>59</v>
      </c>
      <c r="G9" t="str" cm="1">
        <f t="array" ref="G9">_xlfn.SWITCH(F9,"Acme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9" t="s">
        <v>58</v>
      </c>
      <c r="I9" t="s">
        <v>60</v>
      </c>
      <c r="J9" t="str" cm="1">
        <f t="array" ref="J9">_xlfn.SWITCH(I9,"P001","Laptop","P002","Server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9" s="1" cm="1">
        <f t="array" ref="K9">_xlfn.SWITCH(Table1[[#This Row],[Product ID]],"P001",220,"P002",150,"P003",130,"P004",70,"P005",200,"P006",40,"P007",25,"P008",20,"P009",190,"P010",530)</f>
        <v>25</v>
      </c>
      <c r="L9">
        <v>3</v>
      </c>
      <c r="M9" s="1">
        <f>Table1[[#This Row],[Unit Price]]*Table1[[#This Row],[Quantity]]</f>
        <v>75</v>
      </c>
      <c r="N9" s="2">
        <v>7.0000000000000007E-2</v>
      </c>
      <c r="O9" s="1">
        <f>Table1[[#This Row],[Gross Value]]*(1-Table1[[#This Row],[Discount]])</f>
        <v>69.75</v>
      </c>
      <c r="P9" s="2">
        <v>0.2</v>
      </c>
      <c r="Q9" s="1">
        <f>Table1[[#This Row],[Revenue]]*Table1[[#This Row],[VAT Rate]]</f>
        <v>13.950000000000001</v>
      </c>
      <c r="R9" s="1">
        <f>Table1[[#This Row],[Revenue]]+Table1[[#This Row],[VAT Charged]]</f>
        <v>83.7</v>
      </c>
      <c r="S9" s="1" cm="1">
        <f t="array" ref="S9">_xlfn.SWITCH(Table1[[#This Row],[Product ID]],"P001",140,"P002",80,"P003",72,"P004",30,"P005",110,"P006",24,"P007",14,"P008",12,"P009",115,"P010",360)</f>
        <v>14</v>
      </c>
      <c r="T9" s="1" cm="1">
        <f t="array" ref="T9">(_xlfn.SWITCH(Table1[[#This Row],[Product ID]],"P001",140,"P002",80,"P003",72,"P004",30,"P005",110,"P006",24,"P007",14,"P008",12,"P009",115,"P010",360))*Table1[[#This Row],[Quantity]]</f>
        <v>42</v>
      </c>
      <c r="U9" s="1" cm="1">
        <f t="array" ref="U9">_xlfn.SWITCH(Table1[[#This Row],[Product ID]],"P001",15,"P002",0,"P003",8,"P004",8,"P005",0,"P006",7,"P007",7,"P008",6,"P009",45,"P010",60)</f>
        <v>7</v>
      </c>
      <c r="V9" s="1">
        <f>Table1[[#This Row],[Shipping per Unit]]*Table1[[#This Row],[Quantity]]</f>
        <v>21</v>
      </c>
      <c r="W9" s="2">
        <f>IF(Table1[[#This Row],[Total Shipping]]&gt;0.1,0.2,0)</f>
        <v>0.2</v>
      </c>
      <c r="X9" s="4">
        <f>Table1[[#This Row],[Total Shipping]]*Table1[[#This Row],[VAT on Shipping]]</f>
        <v>4.2</v>
      </c>
      <c r="Y9" s="1">
        <f>Table1[[#This Row],[Revenue]]-Table1[[#This Row],[COGS]]</f>
        <v>27.75</v>
      </c>
      <c r="Z9" s="3">
        <f>(Table1[[#This Row],[Profit]]/Table1[[#This Row],[Revenue]])</f>
        <v>0.39784946236559138</v>
      </c>
      <c r="AA9" s="1">
        <f>Table1[[#This Row],[Profit]]-Table1[[#This Row],[Total Shipping]]</f>
        <v>6.75</v>
      </c>
      <c r="AB9" s="3">
        <f>Table1[[#This Row],[Operating Profit]]/Table1[[#This Row],[Revenue]]</f>
        <v>9.6774193548387094E-2</v>
      </c>
    </row>
    <row r="10" spans="1:28" x14ac:dyDescent="0.25">
      <c r="A10" t="s">
        <v>61</v>
      </c>
      <c r="B10">
        <v>165</v>
      </c>
      <c r="C10" t="s">
        <v>62</v>
      </c>
      <c r="D10" t="s">
        <v>63</v>
      </c>
      <c r="E10" t="s">
        <v>40</v>
      </c>
      <c r="F10" t="s">
        <v>64</v>
      </c>
      <c r="G10" t="str" cm="1">
        <f t="array" ref="G10">_xlfn.SWITCH(F10,"Acme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0" t="s">
        <v>33</v>
      </c>
      <c r="I10" t="s">
        <v>42</v>
      </c>
      <c r="J10" t="str" cm="1">
        <f t="array" ref="J10">_xlfn.SWITCH(I10,"P001","Laptop","P002","Server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0" s="1" cm="1">
        <f t="array" ref="K10">_xlfn.SWITCH(Table1[[#This Row],[Product ID]],"P001",220,"P002",150,"P003",130,"P004",70,"P005",200,"P006",40,"P007",25,"P008",20,"P009",190,"P010",530)</f>
        <v>40</v>
      </c>
      <c r="L10">
        <v>6</v>
      </c>
      <c r="M10" s="1">
        <f>Table1[[#This Row],[Unit Price]]*Table1[[#This Row],[Quantity]]</f>
        <v>240</v>
      </c>
      <c r="N10" s="2">
        <v>0.03</v>
      </c>
      <c r="O10" s="1">
        <f>Table1[[#This Row],[Gross Value]]*(1-Table1[[#This Row],[Discount]])</f>
        <v>232.79999999999998</v>
      </c>
      <c r="P10" s="2">
        <v>0.2</v>
      </c>
      <c r="Q10" s="1">
        <f>Table1[[#This Row],[Revenue]]*Table1[[#This Row],[VAT Rate]]</f>
        <v>46.56</v>
      </c>
      <c r="R10" s="1">
        <f>Table1[[#This Row],[Revenue]]+Table1[[#This Row],[VAT Charged]]</f>
        <v>279.36</v>
      </c>
      <c r="S10" s="1" cm="1">
        <f t="array" ref="S10">_xlfn.SWITCH(Table1[[#This Row],[Product ID]],"P001",140,"P002",80,"P003",72,"P004",30,"P005",110,"P006",24,"P007",14,"P008",12,"P009",115,"P010",360)</f>
        <v>24</v>
      </c>
      <c r="T10" s="1" cm="1">
        <f t="array" ref="T10">(_xlfn.SWITCH(Table1[[#This Row],[Product ID]],"P001",140,"P002",80,"P003",72,"P004",30,"P005",110,"P006",24,"P007",14,"P008",12,"P009",115,"P010",360))*Table1[[#This Row],[Quantity]]</f>
        <v>144</v>
      </c>
      <c r="U10" s="1" cm="1">
        <f t="array" ref="U10">_xlfn.SWITCH(Table1[[#This Row],[Product ID]],"P001",15,"P002",0,"P003",8,"P004",8,"P005",0,"P006",7,"P007",7,"P008",6,"P009",45,"P010",60)</f>
        <v>7</v>
      </c>
      <c r="V10" s="1">
        <f>Table1[[#This Row],[Shipping per Unit]]*Table1[[#This Row],[Quantity]]</f>
        <v>42</v>
      </c>
      <c r="W10" s="2">
        <f>IF(Table1[[#This Row],[Total Shipping]]&gt;0.1,0.2,0)</f>
        <v>0.2</v>
      </c>
      <c r="X10" s="4">
        <f>Table1[[#This Row],[Total Shipping]]*Table1[[#This Row],[VAT on Shipping]]</f>
        <v>8.4</v>
      </c>
      <c r="Y10" s="1">
        <f>Table1[[#This Row],[Revenue]]-Table1[[#This Row],[COGS]]</f>
        <v>88.799999999999983</v>
      </c>
      <c r="Z10" s="3">
        <f>(Table1[[#This Row],[Profit]]/Table1[[#This Row],[Revenue]])</f>
        <v>0.38144329896907214</v>
      </c>
      <c r="AA10" s="1">
        <f>Table1[[#This Row],[Profit]]-Table1[[#This Row],[Total Shipping]]</f>
        <v>46.799999999999983</v>
      </c>
      <c r="AB10" s="3">
        <f>Table1[[#This Row],[Operating Profit]]/Table1[[#This Row],[Revenue]]</f>
        <v>0.2010309278350515</v>
      </c>
    </row>
    <row r="11" spans="1:28" x14ac:dyDescent="0.25">
      <c r="A11" t="s">
        <v>61</v>
      </c>
      <c r="B11">
        <v>219</v>
      </c>
      <c r="C11" t="s">
        <v>65</v>
      </c>
      <c r="D11" t="s">
        <v>39</v>
      </c>
      <c r="E11" t="s">
        <v>40</v>
      </c>
      <c r="F11" t="s">
        <v>66</v>
      </c>
      <c r="G11" t="str" cm="1">
        <f t="array" ref="G11">_xlfn.SWITCH(F11,"Acme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11" t="s">
        <v>33</v>
      </c>
      <c r="I11" t="s">
        <v>42</v>
      </c>
      <c r="J11" t="str" cm="1">
        <f t="array" ref="J11">_xlfn.SWITCH(I11,"P001","Laptop","P002","Server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1" s="1" cm="1">
        <f t="array" ref="K11">_xlfn.SWITCH(Table1[[#This Row],[Product ID]],"P001",220,"P002",150,"P003",130,"P004",70,"P005",200,"P006",40,"P007",25,"P008",20,"P009",190,"P010",530)</f>
        <v>40</v>
      </c>
      <c r="L11">
        <v>2</v>
      </c>
      <c r="M11" s="1">
        <f>Table1[[#This Row],[Unit Price]]*Table1[[#This Row],[Quantity]]</f>
        <v>80</v>
      </c>
      <c r="N11" s="2">
        <v>0.03</v>
      </c>
      <c r="O11" s="1">
        <f>Table1[[#This Row],[Gross Value]]*(1-Table1[[#This Row],[Discount]])</f>
        <v>77.599999999999994</v>
      </c>
      <c r="P11" s="2">
        <v>0.2</v>
      </c>
      <c r="Q11" s="1">
        <f>Table1[[#This Row],[Revenue]]*Table1[[#This Row],[VAT Rate]]</f>
        <v>15.52</v>
      </c>
      <c r="R11" s="1">
        <f>Table1[[#This Row],[Revenue]]+Table1[[#This Row],[VAT Charged]]</f>
        <v>93.11999999999999</v>
      </c>
      <c r="S11" s="1" cm="1">
        <f t="array" ref="S11">_xlfn.SWITCH(Table1[[#This Row],[Product ID]],"P001",140,"P002",80,"P003",72,"P004",30,"P005",110,"P006",24,"P007",14,"P008",12,"P009",115,"P010",360)</f>
        <v>24</v>
      </c>
      <c r="T11" s="1" cm="1">
        <f t="array" ref="T11">(_xlfn.SWITCH(Table1[[#This Row],[Product ID]],"P001",140,"P002",80,"P003",72,"P004",30,"P005",110,"P006",24,"P007",14,"P008",12,"P009",115,"P010",360))*Table1[[#This Row],[Quantity]]</f>
        <v>48</v>
      </c>
      <c r="U11" s="1" cm="1">
        <f t="array" ref="U11">_xlfn.SWITCH(Table1[[#This Row],[Product ID]],"P001",15,"P002",0,"P003",8,"P004",8,"P005",0,"P006",7,"P007",7,"P008",6,"P009",45,"P010",60)</f>
        <v>7</v>
      </c>
      <c r="V11" s="1">
        <f>Table1[[#This Row],[Shipping per Unit]]*Table1[[#This Row],[Quantity]]</f>
        <v>14</v>
      </c>
      <c r="W11" s="2">
        <f>IF(Table1[[#This Row],[Total Shipping]]&gt;0.1,0.2,0)</f>
        <v>0.2</v>
      </c>
      <c r="X11" s="4">
        <f>Table1[[#This Row],[Total Shipping]]*Table1[[#This Row],[VAT on Shipping]]</f>
        <v>2.8000000000000003</v>
      </c>
      <c r="Y11" s="1">
        <f>Table1[[#This Row],[Revenue]]-Table1[[#This Row],[COGS]]</f>
        <v>29.599999999999994</v>
      </c>
      <c r="Z11" s="3">
        <f>(Table1[[#This Row],[Profit]]/Table1[[#This Row],[Revenue]])</f>
        <v>0.38144329896907214</v>
      </c>
      <c r="AA11" s="1">
        <f>Table1[[#This Row],[Profit]]-Table1[[#This Row],[Total Shipping]]</f>
        <v>15.599999999999994</v>
      </c>
      <c r="AB11" s="3">
        <f>Table1[[#This Row],[Operating Profit]]/Table1[[#This Row],[Revenue]]</f>
        <v>0.2010309278350515</v>
      </c>
    </row>
    <row r="12" spans="1:28" x14ac:dyDescent="0.25">
      <c r="A12" t="s">
        <v>61</v>
      </c>
      <c r="B12">
        <v>599</v>
      </c>
      <c r="C12" t="s">
        <v>35</v>
      </c>
      <c r="D12" t="s">
        <v>48</v>
      </c>
      <c r="E12" t="s">
        <v>40</v>
      </c>
      <c r="F12" t="s">
        <v>44</v>
      </c>
      <c r="G12" t="str" cm="1">
        <f t="array" ref="G12">_xlfn.SWITCH(F12,"Acme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12" t="s">
        <v>33</v>
      </c>
      <c r="I12" t="s">
        <v>52</v>
      </c>
      <c r="J12" t="str" cm="1">
        <f t="array" ref="J12">_xlfn.SWITCH(I12,"P001","Laptop","P002","Server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2" s="1" cm="1">
        <f t="array" ref="K12">_xlfn.SWITCH(Table1[[#This Row],[Product ID]],"P001",220,"P002",150,"P003",130,"P004",70,"P005",200,"P006",40,"P007",25,"P008",20,"P009",190,"P010",530)</f>
        <v>130</v>
      </c>
      <c r="L12">
        <v>16</v>
      </c>
      <c r="M12" s="1">
        <f>Table1[[#This Row],[Unit Price]]*Table1[[#This Row],[Quantity]]</f>
        <v>2080</v>
      </c>
      <c r="N12" s="2">
        <v>0.03</v>
      </c>
      <c r="O12" s="1">
        <f>Table1[[#This Row],[Gross Value]]*(1-Table1[[#This Row],[Discount]])</f>
        <v>2017.6</v>
      </c>
      <c r="P12" s="2">
        <v>0.2</v>
      </c>
      <c r="Q12" s="1">
        <f>Table1[[#This Row],[Revenue]]*Table1[[#This Row],[VAT Rate]]</f>
        <v>403.52</v>
      </c>
      <c r="R12" s="1">
        <f>Table1[[#This Row],[Revenue]]+Table1[[#This Row],[VAT Charged]]</f>
        <v>2421.12</v>
      </c>
      <c r="S12" s="1" cm="1">
        <f t="array" ref="S12">_xlfn.SWITCH(Table1[[#This Row],[Product ID]],"P001",140,"P002",80,"P003",72,"P004",30,"P005",110,"P006",24,"P007",14,"P008",12,"P009",115,"P010",360)</f>
        <v>72</v>
      </c>
      <c r="T12" s="1" cm="1">
        <f t="array" ref="T12">(_xlfn.SWITCH(Table1[[#This Row],[Product ID]],"P001",140,"P002",80,"P003",72,"P004",30,"P005",110,"P006",24,"P007",14,"P008",12,"P009",115,"P010",360))*Table1[[#This Row],[Quantity]]</f>
        <v>1152</v>
      </c>
      <c r="U12" s="1" cm="1">
        <f t="array" ref="U12">_xlfn.SWITCH(Table1[[#This Row],[Product ID]],"P001",15,"P002",0,"P003",8,"P004",8,"P005",0,"P006",7,"P007",7,"P008",6,"P009",45,"P010",60)</f>
        <v>8</v>
      </c>
      <c r="V12" s="1">
        <f>Table1[[#This Row],[Shipping per Unit]]*Table1[[#This Row],[Quantity]]</f>
        <v>128</v>
      </c>
      <c r="W12" s="2">
        <f>IF(Table1[[#This Row],[Total Shipping]]&gt;0.1,0.2,0)</f>
        <v>0.2</v>
      </c>
      <c r="X12" s="4">
        <f>Table1[[#This Row],[Total Shipping]]*Table1[[#This Row],[VAT on Shipping]]</f>
        <v>25.6</v>
      </c>
      <c r="Y12" s="1">
        <f>Table1[[#This Row],[Revenue]]-Table1[[#This Row],[COGS]]</f>
        <v>865.59999999999991</v>
      </c>
      <c r="Z12" s="3">
        <f>(Table1[[#This Row],[Profit]]/Table1[[#This Row],[Revenue]])</f>
        <v>0.4290245836637589</v>
      </c>
      <c r="AA12" s="1">
        <f>Table1[[#This Row],[Profit]]-Table1[[#This Row],[Total Shipping]]</f>
        <v>737.59999999999991</v>
      </c>
      <c r="AB12" s="3">
        <f>Table1[[#This Row],[Operating Profit]]/Table1[[#This Row],[Revenue]]</f>
        <v>0.36558287073750989</v>
      </c>
    </row>
    <row r="13" spans="1:28" x14ac:dyDescent="0.25">
      <c r="A13" t="s">
        <v>61</v>
      </c>
      <c r="B13">
        <v>682</v>
      </c>
      <c r="C13" t="s">
        <v>65</v>
      </c>
      <c r="D13" t="s">
        <v>67</v>
      </c>
      <c r="E13" t="s">
        <v>49</v>
      </c>
      <c r="F13" t="s">
        <v>64</v>
      </c>
      <c r="G13" t="str" cm="1">
        <f t="array" ref="G13">_xlfn.SWITCH(F13,"Acme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3" t="s">
        <v>33</v>
      </c>
      <c r="I13" t="s">
        <v>68</v>
      </c>
      <c r="J13" t="str" cm="1">
        <f t="array" ref="J13">_xlfn.SWITCH(I13,"P001","Laptop","P002","Server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3" s="1" cm="1">
        <f t="array" ref="K13">_xlfn.SWITCH(Table1[[#This Row],[Product ID]],"P001",220,"P002",150,"P003",130,"P004",70,"P005",200,"P006",40,"P007",25,"P008",20,"P009",190,"P010",530)</f>
        <v>220</v>
      </c>
      <c r="L13">
        <v>15</v>
      </c>
      <c r="M13" s="1">
        <f>Table1[[#This Row],[Unit Price]]*Table1[[#This Row],[Quantity]]</f>
        <v>3300</v>
      </c>
      <c r="N13" s="2">
        <v>7.0000000000000007E-2</v>
      </c>
      <c r="O13" s="1">
        <f>Table1[[#This Row],[Gross Value]]*(1-Table1[[#This Row],[Discount]])</f>
        <v>3069</v>
      </c>
      <c r="P13" s="2">
        <v>0.2</v>
      </c>
      <c r="Q13" s="1">
        <f>Table1[[#This Row],[Revenue]]*Table1[[#This Row],[VAT Rate]]</f>
        <v>613.80000000000007</v>
      </c>
      <c r="R13" s="1">
        <f>Table1[[#This Row],[Revenue]]+Table1[[#This Row],[VAT Charged]]</f>
        <v>3682.8</v>
      </c>
      <c r="S13" s="1" cm="1">
        <f t="array" ref="S13">_xlfn.SWITCH(Table1[[#This Row],[Product ID]],"P001",140,"P002",80,"P003",72,"P004",30,"P005",110,"P006",24,"P007",14,"P008",12,"P009",115,"P010",360)</f>
        <v>140</v>
      </c>
      <c r="T13" s="1" cm="1">
        <f t="array" ref="T13">(_xlfn.SWITCH(Table1[[#This Row],[Product ID]],"P001",140,"P002",80,"P003",72,"P004",30,"P005",110,"P006",24,"P007",14,"P008",12,"P009",115,"P010",360))*Table1[[#This Row],[Quantity]]</f>
        <v>2100</v>
      </c>
      <c r="U13" s="1" cm="1">
        <f t="array" ref="U13">_xlfn.SWITCH(Table1[[#This Row],[Product ID]],"P001",15,"P002",0,"P003",8,"P004",8,"P005",0,"P006",7,"P007",7,"P008",6,"P009",45,"P010",60)</f>
        <v>15</v>
      </c>
      <c r="V13" s="1">
        <f>Table1[[#This Row],[Shipping per Unit]]*Table1[[#This Row],[Quantity]]</f>
        <v>225</v>
      </c>
      <c r="W13" s="2">
        <f>IF(Table1[[#This Row],[Total Shipping]]&gt;0.1,0.2,0)</f>
        <v>0.2</v>
      </c>
      <c r="X13" s="4">
        <f>Table1[[#This Row],[Total Shipping]]*Table1[[#This Row],[VAT on Shipping]]</f>
        <v>45</v>
      </c>
      <c r="Y13" s="1">
        <f>Table1[[#This Row],[Revenue]]-Table1[[#This Row],[COGS]]</f>
        <v>969</v>
      </c>
      <c r="Z13" s="3">
        <f>(Table1[[#This Row],[Profit]]/Table1[[#This Row],[Revenue]])</f>
        <v>0.31573802541544477</v>
      </c>
      <c r="AA13" s="1">
        <f>Table1[[#This Row],[Profit]]-Table1[[#This Row],[Total Shipping]]</f>
        <v>744</v>
      </c>
      <c r="AB13" s="3">
        <f>Table1[[#This Row],[Operating Profit]]/Table1[[#This Row],[Revenue]]</f>
        <v>0.24242424242424243</v>
      </c>
    </row>
    <row r="14" spans="1:28" x14ac:dyDescent="0.25">
      <c r="A14" t="s">
        <v>61</v>
      </c>
      <c r="B14">
        <v>815</v>
      </c>
      <c r="C14" t="s">
        <v>62</v>
      </c>
      <c r="D14" t="s">
        <v>67</v>
      </c>
      <c r="E14" t="s">
        <v>31</v>
      </c>
      <c r="F14" t="s">
        <v>37</v>
      </c>
      <c r="G14" t="str" cm="1">
        <f t="array" ref="G14">_xlfn.SWITCH(F14,"Acme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14" t="s">
        <v>69</v>
      </c>
      <c r="I14" t="s">
        <v>70</v>
      </c>
      <c r="J14" t="str" cm="1">
        <f t="array" ref="J14">_xlfn.SWITCH(I14,"P001","Laptop","P002","Server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4" s="1" cm="1">
        <f t="array" ref="K14">_xlfn.SWITCH(Table1[[#This Row],[Product ID]],"P001",220,"P002",150,"P003",130,"P004",70,"P005",200,"P006",40,"P007",25,"P008",20,"P009",190,"P010",530)</f>
        <v>150</v>
      </c>
      <c r="L14">
        <v>5</v>
      </c>
      <c r="M14" s="1">
        <f>Table1[[#This Row],[Unit Price]]*Table1[[#This Row],[Quantity]]</f>
        <v>750</v>
      </c>
      <c r="N14" s="2">
        <v>0.03</v>
      </c>
      <c r="O14" s="1">
        <f>Table1[[#This Row],[Gross Value]]*(1-Table1[[#This Row],[Discount]])</f>
        <v>727.5</v>
      </c>
      <c r="P14" s="2">
        <v>0.2</v>
      </c>
      <c r="Q14" s="1">
        <f>Table1[[#This Row],[Revenue]]*Table1[[#This Row],[VAT Rate]]</f>
        <v>145.5</v>
      </c>
      <c r="R14" s="1">
        <f>Table1[[#This Row],[Revenue]]+Table1[[#This Row],[VAT Charged]]</f>
        <v>873</v>
      </c>
      <c r="S14" s="1" cm="1">
        <f t="array" ref="S14">_xlfn.SWITCH(Table1[[#This Row],[Product ID]],"P001",140,"P002",80,"P003",72,"P004",30,"P005",110,"P006",24,"P007",14,"P008",12,"P009",115,"P010",360)</f>
        <v>80</v>
      </c>
      <c r="T14" s="1" cm="1">
        <f t="array" ref="T14">(_xlfn.SWITCH(Table1[[#This Row],[Product ID]],"P001",140,"P002",80,"P003",72,"P004",30,"P005",110,"P006",24,"P007",14,"P008",12,"P009",115,"P010",360))*Table1[[#This Row],[Quantity]]</f>
        <v>400</v>
      </c>
      <c r="U14" s="1" cm="1">
        <f t="array" ref="U14">_xlfn.SWITCH(Table1[[#This Row],[Product ID]],"P001",15,"P002",0,"P003",8,"P004",8,"P005",0,"P006",7,"P007",7,"P008",6,"P009",45,"P010",60)</f>
        <v>0</v>
      </c>
      <c r="V14" s="1">
        <f>Table1[[#This Row],[Shipping per Unit]]*Table1[[#This Row],[Quantity]]</f>
        <v>0</v>
      </c>
      <c r="W14" s="2">
        <f>IF(Table1[[#This Row],[Total Shipping]]&gt;0.1,0.2,0)</f>
        <v>0</v>
      </c>
      <c r="X14" s="4">
        <f>Table1[[#This Row],[Total Shipping]]*Table1[[#This Row],[VAT on Shipping]]</f>
        <v>0</v>
      </c>
      <c r="Y14" s="1">
        <f>Table1[[#This Row],[Revenue]]-Table1[[#This Row],[COGS]]</f>
        <v>327.5</v>
      </c>
      <c r="Z14" s="3">
        <f>(Table1[[#This Row],[Profit]]/Table1[[#This Row],[Revenue]])</f>
        <v>0.45017182130584193</v>
      </c>
      <c r="AA14" s="1">
        <f>Table1[[#This Row],[Profit]]-Table1[[#This Row],[Total Shipping]]</f>
        <v>327.5</v>
      </c>
      <c r="AB14" s="3">
        <f>Table1[[#This Row],[Operating Profit]]/Table1[[#This Row],[Revenue]]</f>
        <v>0.45017182130584193</v>
      </c>
    </row>
    <row r="15" spans="1:28" x14ac:dyDescent="0.25">
      <c r="A15" t="s">
        <v>61</v>
      </c>
      <c r="B15">
        <v>995</v>
      </c>
      <c r="C15" t="s">
        <v>71</v>
      </c>
      <c r="D15" t="s">
        <v>72</v>
      </c>
      <c r="E15" t="s">
        <v>31</v>
      </c>
      <c r="F15" t="s">
        <v>44</v>
      </c>
      <c r="G15" t="str" cm="1">
        <f t="array" ref="G15">_xlfn.SWITCH(F15,"Acme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15" t="s">
        <v>45</v>
      </c>
      <c r="I15" t="s">
        <v>46</v>
      </c>
      <c r="J15" t="str" cm="1">
        <f t="array" ref="J15">_xlfn.SWITCH(I15,"P001","Laptop","P002","Server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5" s="1" cm="1">
        <f t="array" ref="K15">_xlfn.SWITCH(Table1[[#This Row],[Product ID]],"P001",220,"P002",150,"P003",130,"P004",70,"P005",200,"P006",40,"P007",25,"P008",20,"P009",190,"P010",530)</f>
        <v>530</v>
      </c>
      <c r="L15">
        <v>9</v>
      </c>
      <c r="M15" s="1">
        <f>Table1[[#This Row],[Unit Price]]*Table1[[#This Row],[Quantity]]</f>
        <v>4770</v>
      </c>
      <c r="N15" s="2">
        <v>0.05</v>
      </c>
      <c r="O15" s="1">
        <f>Table1[[#This Row],[Gross Value]]*(1-Table1[[#This Row],[Discount]])</f>
        <v>4531.5</v>
      </c>
      <c r="P15" s="2">
        <v>0.2</v>
      </c>
      <c r="Q15" s="1">
        <f>Table1[[#This Row],[Revenue]]*Table1[[#This Row],[VAT Rate]]</f>
        <v>906.30000000000007</v>
      </c>
      <c r="R15" s="1">
        <f>Table1[[#This Row],[Revenue]]+Table1[[#This Row],[VAT Charged]]</f>
        <v>5437.8</v>
      </c>
      <c r="S15" s="1" cm="1">
        <f t="array" ref="S15">_xlfn.SWITCH(Table1[[#This Row],[Product ID]],"P001",140,"P002",80,"P003",72,"P004",30,"P005",110,"P006",24,"P007",14,"P008",12,"P009",115,"P010",360)</f>
        <v>360</v>
      </c>
      <c r="T15" s="1" cm="1">
        <f t="array" ref="T15">(_xlfn.SWITCH(Table1[[#This Row],[Product ID]],"P001",140,"P002",80,"P003",72,"P004",30,"P005",110,"P006",24,"P007",14,"P008",12,"P009",115,"P010",360))*Table1[[#This Row],[Quantity]]</f>
        <v>3240</v>
      </c>
      <c r="U15" s="1" cm="1">
        <f t="array" ref="U15">_xlfn.SWITCH(Table1[[#This Row],[Product ID]],"P001",15,"P002",0,"P003",8,"P004",8,"P005",0,"P006",7,"P007",7,"P008",6,"P009",45,"P010",60)</f>
        <v>60</v>
      </c>
      <c r="V15" s="1">
        <f>Table1[[#This Row],[Shipping per Unit]]*Table1[[#This Row],[Quantity]]</f>
        <v>540</v>
      </c>
      <c r="W15" s="2">
        <f>IF(Table1[[#This Row],[Total Shipping]]&gt;0.1,0.2,0)</f>
        <v>0.2</v>
      </c>
      <c r="X15" s="4">
        <f>Table1[[#This Row],[Total Shipping]]*Table1[[#This Row],[VAT on Shipping]]</f>
        <v>108</v>
      </c>
      <c r="Y15" s="1">
        <f>Table1[[#This Row],[Revenue]]-Table1[[#This Row],[COGS]]</f>
        <v>1291.5</v>
      </c>
      <c r="Z15" s="3">
        <f>(Table1[[#This Row],[Profit]]/Table1[[#This Row],[Revenue]])</f>
        <v>0.28500496524329694</v>
      </c>
      <c r="AA15" s="1">
        <f>Table1[[#This Row],[Profit]]-Table1[[#This Row],[Total Shipping]]</f>
        <v>751.5</v>
      </c>
      <c r="AB15" s="3">
        <f>Table1[[#This Row],[Operating Profit]]/Table1[[#This Row],[Revenue]]</f>
        <v>0.16583912611717974</v>
      </c>
    </row>
    <row r="16" spans="1:28" x14ac:dyDescent="0.25">
      <c r="A16" t="s">
        <v>73</v>
      </c>
      <c r="B16">
        <v>255</v>
      </c>
      <c r="C16" t="s">
        <v>62</v>
      </c>
      <c r="D16" t="s">
        <v>36</v>
      </c>
      <c r="E16" t="s">
        <v>40</v>
      </c>
      <c r="F16" t="s">
        <v>74</v>
      </c>
      <c r="G16" t="str" cm="1">
        <f t="array" ref="G16">_xlfn.SWITCH(F16,"Acme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16" t="s">
        <v>33</v>
      </c>
      <c r="I16" t="s">
        <v>75</v>
      </c>
      <c r="J16" t="str" cm="1">
        <f t="array" ref="J16">_xlfn.SWITCH(I16,"P001","Laptop","P002","Server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16" s="1" cm="1">
        <f t="array" ref="K16">_xlfn.SWITCH(Table1[[#This Row],[Product ID]],"P001",220,"P002",150,"P003",130,"P004",70,"P005",200,"P006",40,"P007",25,"P008",20,"P009",190,"P010",530)</f>
        <v>200</v>
      </c>
      <c r="L16">
        <v>14</v>
      </c>
      <c r="M16" s="1">
        <f>Table1[[#This Row],[Unit Price]]*Table1[[#This Row],[Quantity]]</f>
        <v>2800</v>
      </c>
      <c r="N16" s="2">
        <v>0.1</v>
      </c>
      <c r="O16" s="1">
        <f>Table1[[#This Row],[Gross Value]]*(1-Table1[[#This Row],[Discount]])</f>
        <v>2520</v>
      </c>
      <c r="P16" s="2">
        <v>0.2</v>
      </c>
      <c r="Q16" s="1">
        <f>Table1[[#This Row],[Revenue]]*Table1[[#This Row],[VAT Rate]]</f>
        <v>504</v>
      </c>
      <c r="R16" s="1">
        <f>Table1[[#This Row],[Revenue]]+Table1[[#This Row],[VAT Charged]]</f>
        <v>3024</v>
      </c>
      <c r="S16" s="1" cm="1">
        <f t="array" ref="S16">_xlfn.SWITCH(Table1[[#This Row],[Product ID]],"P001",140,"P002",80,"P003",72,"P004",30,"P005",110,"P006",24,"P007",14,"P008",12,"P009",115,"P010",360)</f>
        <v>110</v>
      </c>
      <c r="T16" s="1" cm="1">
        <f t="array" ref="T16">(_xlfn.SWITCH(Table1[[#This Row],[Product ID]],"P001",140,"P002",80,"P003",72,"P004",30,"P005",110,"P006",24,"P007",14,"P008",12,"P009",115,"P010",360))*Table1[[#This Row],[Quantity]]</f>
        <v>1540</v>
      </c>
      <c r="U16" s="1" cm="1">
        <f t="array" ref="U16">_xlfn.SWITCH(Table1[[#This Row],[Product ID]],"P001",15,"P002",0,"P003",8,"P004",8,"P005",0,"P006",7,"P007",7,"P008",6,"P009",45,"P010",60)</f>
        <v>0</v>
      </c>
      <c r="V16" s="1">
        <f>Table1[[#This Row],[Shipping per Unit]]*Table1[[#This Row],[Quantity]]</f>
        <v>0</v>
      </c>
      <c r="W16" s="2">
        <f>IF(Table1[[#This Row],[Total Shipping]]&gt;0.1,0.2,0)</f>
        <v>0</v>
      </c>
      <c r="X16" s="4">
        <f>Table1[[#This Row],[Total Shipping]]*Table1[[#This Row],[VAT on Shipping]]</f>
        <v>0</v>
      </c>
      <c r="Y16" s="1">
        <f>Table1[[#This Row],[Revenue]]-Table1[[#This Row],[COGS]]</f>
        <v>980</v>
      </c>
      <c r="Z16" s="3">
        <f>(Table1[[#This Row],[Profit]]/Table1[[#This Row],[Revenue]])</f>
        <v>0.3888888888888889</v>
      </c>
      <c r="AA16" s="1">
        <f>Table1[[#This Row],[Profit]]-Table1[[#This Row],[Total Shipping]]</f>
        <v>980</v>
      </c>
      <c r="AB16" s="3">
        <f>Table1[[#This Row],[Operating Profit]]/Table1[[#This Row],[Revenue]]</f>
        <v>0.3888888888888889</v>
      </c>
    </row>
    <row r="17" spans="1:28" x14ac:dyDescent="0.25">
      <c r="A17" t="s">
        <v>73</v>
      </c>
      <c r="B17">
        <v>305</v>
      </c>
      <c r="C17" t="s">
        <v>65</v>
      </c>
      <c r="D17" t="s">
        <v>48</v>
      </c>
      <c r="E17" t="s">
        <v>40</v>
      </c>
      <c r="F17" t="s">
        <v>76</v>
      </c>
      <c r="G17" t="str" cm="1">
        <f t="array" ref="G17">_xlfn.SWITCH(F17,"Acme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17" t="s">
        <v>58</v>
      </c>
      <c r="I17" t="s">
        <v>42</v>
      </c>
      <c r="J17" t="str" cm="1">
        <f t="array" ref="J17">_xlfn.SWITCH(I17,"P001","Laptop","P002","Server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7" s="1" cm="1">
        <f t="array" ref="K17">_xlfn.SWITCH(Table1[[#This Row],[Product ID]],"P001",220,"P002",150,"P003",130,"P004",70,"P005",200,"P006",40,"P007",25,"P008",20,"P009",190,"P010",530)</f>
        <v>40</v>
      </c>
      <c r="L17">
        <v>3</v>
      </c>
      <c r="M17" s="1">
        <f>Table1[[#This Row],[Unit Price]]*Table1[[#This Row],[Quantity]]</f>
        <v>120</v>
      </c>
      <c r="N17" s="2">
        <v>0.04</v>
      </c>
      <c r="O17" s="1">
        <f>Table1[[#This Row],[Gross Value]]*(1-Table1[[#This Row],[Discount]])</f>
        <v>115.19999999999999</v>
      </c>
      <c r="P17" s="2">
        <v>0.2</v>
      </c>
      <c r="Q17" s="1">
        <f>Table1[[#This Row],[Revenue]]*Table1[[#This Row],[VAT Rate]]</f>
        <v>23.04</v>
      </c>
      <c r="R17" s="1">
        <f>Table1[[#This Row],[Revenue]]+Table1[[#This Row],[VAT Charged]]</f>
        <v>138.23999999999998</v>
      </c>
      <c r="S17" s="1" cm="1">
        <f t="array" ref="S17">_xlfn.SWITCH(Table1[[#This Row],[Product ID]],"P001",140,"P002",80,"P003",72,"P004",30,"P005",110,"P006",24,"P007",14,"P008",12,"P009",115,"P010",360)</f>
        <v>24</v>
      </c>
      <c r="T17" s="1" cm="1">
        <f t="array" ref="T17">(_xlfn.SWITCH(Table1[[#This Row],[Product ID]],"P001",140,"P002",80,"P003",72,"P004",30,"P005",110,"P006",24,"P007",14,"P008",12,"P009",115,"P010",360))*Table1[[#This Row],[Quantity]]</f>
        <v>72</v>
      </c>
      <c r="U17" s="1" cm="1">
        <f t="array" ref="U17">_xlfn.SWITCH(Table1[[#This Row],[Product ID]],"P001",15,"P002",0,"P003",8,"P004",8,"P005",0,"P006",7,"P007",7,"P008",6,"P009",45,"P010",60)</f>
        <v>7</v>
      </c>
      <c r="V17" s="1">
        <f>Table1[[#This Row],[Shipping per Unit]]*Table1[[#This Row],[Quantity]]</f>
        <v>21</v>
      </c>
      <c r="W17" s="2">
        <f>IF(Table1[[#This Row],[Total Shipping]]&gt;0.1,0.2,0)</f>
        <v>0.2</v>
      </c>
      <c r="X17" s="4">
        <f>Table1[[#This Row],[Total Shipping]]*Table1[[#This Row],[VAT on Shipping]]</f>
        <v>4.2</v>
      </c>
      <c r="Y17" s="1">
        <f>Table1[[#This Row],[Revenue]]-Table1[[#This Row],[COGS]]</f>
        <v>43.199999999999989</v>
      </c>
      <c r="Z17" s="3">
        <f>(Table1[[#This Row],[Profit]]/Table1[[#This Row],[Revenue]])</f>
        <v>0.37499999999999994</v>
      </c>
      <c r="AA17" s="1">
        <f>Table1[[#This Row],[Profit]]-Table1[[#This Row],[Total Shipping]]</f>
        <v>22.199999999999989</v>
      </c>
      <c r="AB17" s="3">
        <f>Table1[[#This Row],[Operating Profit]]/Table1[[#This Row],[Revenue]]</f>
        <v>0.19270833333333326</v>
      </c>
    </row>
    <row r="18" spans="1:28" x14ac:dyDescent="0.25">
      <c r="A18" t="s">
        <v>77</v>
      </c>
      <c r="B18">
        <v>330</v>
      </c>
      <c r="C18" t="s">
        <v>35</v>
      </c>
      <c r="D18" t="s">
        <v>72</v>
      </c>
      <c r="E18" t="s">
        <v>31</v>
      </c>
      <c r="F18" t="s">
        <v>66</v>
      </c>
      <c r="G18" t="str" cm="1">
        <f t="array" ref="G18">_xlfn.SWITCH(F18,"Acme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18" t="s">
        <v>33</v>
      </c>
      <c r="I18" t="s">
        <v>55</v>
      </c>
      <c r="J18" t="str" cm="1">
        <f t="array" ref="J18">_xlfn.SWITCH(I18,"P001","Laptop","P002","Server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8" s="1" cm="1">
        <f t="array" ref="K18">_xlfn.SWITCH(Table1[[#This Row],[Product ID]],"P001",220,"P002",150,"P003",130,"P004",70,"P005",200,"P006",40,"P007",25,"P008",20,"P009",190,"P010",530)</f>
        <v>70</v>
      </c>
      <c r="L18">
        <v>7</v>
      </c>
      <c r="M18" s="1">
        <f>Table1[[#This Row],[Unit Price]]*Table1[[#This Row],[Quantity]]</f>
        <v>490</v>
      </c>
      <c r="N18" s="2">
        <v>0.05</v>
      </c>
      <c r="O18" s="1">
        <f>Table1[[#This Row],[Gross Value]]*(1-Table1[[#This Row],[Discount]])</f>
        <v>465.5</v>
      </c>
      <c r="P18" s="2">
        <v>0.2</v>
      </c>
      <c r="Q18" s="1">
        <f>Table1[[#This Row],[Revenue]]*Table1[[#This Row],[VAT Rate]]</f>
        <v>93.100000000000009</v>
      </c>
      <c r="R18" s="1">
        <f>Table1[[#This Row],[Revenue]]+Table1[[#This Row],[VAT Charged]]</f>
        <v>558.6</v>
      </c>
      <c r="S18" s="1" cm="1">
        <f t="array" ref="S18">_xlfn.SWITCH(Table1[[#This Row],[Product ID]],"P001",140,"P002",80,"P003",72,"P004",30,"P005",110,"P006",24,"P007",14,"P008",12,"P009",115,"P010",360)</f>
        <v>30</v>
      </c>
      <c r="T18" s="1" cm="1">
        <f t="array" ref="T18">(_xlfn.SWITCH(Table1[[#This Row],[Product ID]],"P001",140,"P002",80,"P003",72,"P004",30,"P005",110,"P006",24,"P007",14,"P008",12,"P009",115,"P010",360))*Table1[[#This Row],[Quantity]]</f>
        <v>210</v>
      </c>
      <c r="U18" s="1" cm="1">
        <f t="array" ref="U18">_xlfn.SWITCH(Table1[[#This Row],[Product ID]],"P001",15,"P002",0,"P003",8,"P004",8,"P005",0,"P006",7,"P007",7,"P008",6,"P009",45,"P010",60)</f>
        <v>8</v>
      </c>
      <c r="V18" s="1">
        <f>Table1[[#This Row],[Shipping per Unit]]*Table1[[#This Row],[Quantity]]</f>
        <v>56</v>
      </c>
      <c r="W18" s="2">
        <f>IF(Table1[[#This Row],[Total Shipping]]&gt;0.1,0.2,0)</f>
        <v>0.2</v>
      </c>
      <c r="X18" s="4">
        <f>Table1[[#This Row],[Total Shipping]]*Table1[[#This Row],[VAT on Shipping]]</f>
        <v>11.200000000000001</v>
      </c>
      <c r="Y18" s="1">
        <f>Table1[[#This Row],[Revenue]]-Table1[[#This Row],[COGS]]</f>
        <v>255.5</v>
      </c>
      <c r="Z18" s="3">
        <f>(Table1[[#This Row],[Profit]]/Table1[[#This Row],[Revenue]])</f>
        <v>0.54887218045112784</v>
      </c>
      <c r="AA18" s="1">
        <f>Table1[[#This Row],[Profit]]-Table1[[#This Row],[Total Shipping]]</f>
        <v>199.5</v>
      </c>
      <c r="AB18" s="3">
        <f>Table1[[#This Row],[Operating Profit]]/Table1[[#This Row],[Revenue]]</f>
        <v>0.42857142857142855</v>
      </c>
    </row>
    <row r="19" spans="1:28" x14ac:dyDescent="0.25">
      <c r="A19" t="s">
        <v>77</v>
      </c>
      <c r="B19">
        <v>610</v>
      </c>
      <c r="C19" t="s">
        <v>35</v>
      </c>
      <c r="D19" t="s">
        <v>30</v>
      </c>
      <c r="E19" t="s">
        <v>49</v>
      </c>
      <c r="F19" t="s">
        <v>78</v>
      </c>
      <c r="G19" t="str" cm="1">
        <f t="array" ref="G19">_xlfn.SWITCH(F19,"Acme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19" t="s">
        <v>45</v>
      </c>
      <c r="I19" t="s">
        <v>42</v>
      </c>
      <c r="J19" t="str" cm="1">
        <f t="array" ref="J19">_xlfn.SWITCH(I19,"P001","Laptop","P002","Server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9" s="1" cm="1">
        <f t="array" ref="K19">_xlfn.SWITCH(Table1[[#This Row],[Product ID]],"P001",220,"P002",150,"P003",130,"P004",70,"P005",200,"P006",40,"P007",25,"P008",20,"P009",190,"P010",530)</f>
        <v>40</v>
      </c>
      <c r="L19">
        <v>3</v>
      </c>
      <c r="M19" s="1">
        <f>Table1[[#This Row],[Unit Price]]*Table1[[#This Row],[Quantity]]</f>
        <v>120</v>
      </c>
      <c r="N19" s="2">
        <v>0.05</v>
      </c>
      <c r="O19" s="1">
        <f>Table1[[#This Row],[Gross Value]]*(1-Table1[[#This Row],[Discount]])</f>
        <v>114</v>
      </c>
      <c r="P19" s="2">
        <v>0.2</v>
      </c>
      <c r="Q19" s="1">
        <f>Table1[[#This Row],[Revenue]]*Table1[[#This Row],[VAT Rate]]</f>
        <v>22.8</v>
      </c>
      <c r="R19" s="1">
        <f>Table1[[#This Row],[Revenue]]+Table1[[#This Row],[VAT Charged]]</f>
        <v>136.80000000000001</v>
      </c>
      <c r="S19" s="1" cm="1">
        <f t="array" ref="S19">_xlfn.SWITCH(Table1[[#This Row],[Product ID]],"P001",140,"P002",80,"P003",72,"P004",30,"P005",110,"P006",24,"P007",14,"P008",12,"P009",115,"P010",360)</f>
        <v>24</v>
      </c>
      <c r="T19" s="1" cm="1">
        <f t="array" ref="T19">(_xlfn.SWITCH(Table1[[#This Row],[Product ID]],"P001",140,"P002",80,"P003",72,"P004",30,"P005",110,"P006",24,"P007",14,"P008",12,"P009",115,"P010",360))*Table1[[#This Row],[Quantity]]</f>
        <v>72</v>
      </c>
      <c r="U19" s="1" cm="1">
        <f t="array" ref="U19">_xlfn.SWITCH(Table1[[#This Row],[Product ID]],"P001",15,"P002",0,"P003",8,"P004",8,"P005",0,"P006",7,"P007",7,"P008",6,"P009",45,"P010",60)</f>
        <v>7</v>
      </c>
      <c r="V19" s="1">
        <f>Table1[[#This Row],[Shipping per Unit]]*Table1[[#This Row],[Quantity]]</f>
        <v>21</v>
      </c>
      <c r="W19" s="2">
        <f>IF(Table1[[#This Row],[Total Shipping]]&gt;0.1,0.2,0)</f>
        <v>0.2</v>
      </c>
      <c r="X19" s="4">
        <f>Table1[[#This Row],[Total Shipping]]*Table1[[#This Row],[VAT on Shipping]]</f>
        <v>4.2</v>
      </c>
      <c r="Y19" s="1">
        <f>Table1[[#This Row],[Revenue]]-Table1[[#This Row],[COGS]]</f>
        <v>42</v>
      </c>
      <c r="Z19" s="3">
        <f>(Table1[[#This Row],[Profit]]/Table1[[#This Row],[Revenue]])</f>
        <v>0.36842105263157893</v>
      </c>
      <c r="AA19" s="1">
        <f>Table1[[#This Row],[Profit]]-Table1[[#This Row],[Total Shipping]]</f>
        <v>21</v>
      </c>
      <c r="AB19" s="3">
        <f>Table1[[#This Row],[Operating Profit]]/Table1[[#This Row],[Revenue]]</f>
        <v>0.18421052631578946</v>
      </c>
    </row>
    <row r="20" spans="1:28" x14ac:dyDescent="0.25">
      <c r="A20" t="s">
        <v>77</v>
      </c>
      <c r="B20">
        <v>925</v>
      </c>
      <c r="C20" t="s">
        <v>62</v>
      </c>
      <c r="D20" t="s">
        <v>39</v>
      </c>
      <c r="E20" t="s">
        <v>40</v>
      </c>
      <c r="F20" t="s">
        <v>37</v>
      </c>
      <c r="G20" t="str" cm="1">
        <f t="array" ref="G20">_xlfn.SWITCH(F20,"Acme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20" t="s">
        <v>33</v>
      </c>
      <c r="I20" t="s">
        <v>42</v>
      </c>
      <c r="J20" t="str" cm="1">
        <f t="array" ref="J20">_xlfn.SWITCH(I20,"P001","Laptop","P002","Server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0" s="1" cm="1">
        <f t="array" ref="K20">_xlfn.SWITCH(Table1[[#This Row],[Product ID]],"P001",220,"P002",150,"P003",130,"P004",70,"P005",200,"P006",40,"P007",25,"P008",20,"P009",190,"P010",530)</f>
        <v>40</v>
      </c>
      <c r="L20">
        <v>17</v>
      </c>
      <c r="M20" s="1">
        <f>Table1[[#This Row],[Unit Price]]*Table1[[#This Row],[Quantity]]</f>
        <v>680</v>
      </c>
      <c r="N20" s="2">
        <v>0.04</v>
      </c>
      <c r="O20" s="1">
        <f>Table1[[#This Row],[Gross Value]]*(1-Table1[[#This Row],[Discount]])</f>
        <v>652.79999999999995</v>
      </c>
      <c r="P20" s="2">
        <v>0.2</v>
      </c>
      <c r="Q20" s="1">
        <f>Table1[[#This Row],[Revenue]]*Table1[[#This Row],[VAT Rate]]</f>
        <v>130.56</v>
      </c>
      <c r="R20" s="1">
        <f>Table1[[#This Row],[Revenue]]+Table1[[#This Row],[VAT Charged]]</f>
        <v>783.3599999999999</v>
      </c>
      <c r="S20" s="1" cm="1">
        <f t="array" ref="S20">_xlfn.SWITCH(Table1[[#This Row],[Product ID]],"P001",140,"P002",80,"P003",72,"P004",30,"P005",110,"P006",24,"P007",14,"P008",12,"P009",115,"P010",360)</f>
        <v>24</v>
      </c>
      <c r="T20" s="1" cm="1">
        <f t="array" ref="T20">(_xlfn.SWITCH(Table1[[#This Row],[Product ID]],"P001",140,"P002",80,"P003",72,"P004",30,"P005",110,"P006",24,"P007",14,"P008",12,"P009",115,"P010",360))*Table1[[#This Row],[Quantity]]</f>
        <v>408</v>
      </c>
      <c r="U20" s="1" cm="1">
        <f t="array" ref="U20">_xlfn.SWITCH(Table1[[#This Row],[Product ID]],"P001",15,"P002",0,"P003",8,"P004",8,"P005",0,"P006",7,"P007",7,"P008",6,"P009",45,"P010",60)</f>
        <v>7</v>
      </c>
      <c r="V20" s="1">
        <f>Table1[[#This Row],[Shipping per Unit]]*Table1[[#This Row],[Quantity]]</f>
        <v>119</v>
      </c>
      <c r="W20" s="2">
        <f>IF(Table1[[#This Row],[Total Shipping]]&gt;0.1,0.2,0)</f>
        <v>0.2</v>
      </c>
      <c r="X20" s="4">
        <f>Table1[[#This Row],[Total Shipping]]*Table1[[#This Row],[VAT on Shipping]]</f>
        <v>23.8</v>
      </c>
      <c r="Y20" s="1">
        <f>Table1[[#This Row],[Revenue]]-Table1[[#This Row],[COGS]]</f>
        <v>244.79999999999995</v>
      </c>
      <c r="Z20" s="3">
        <f>(Table1[[#This Row],[Profit]]/Table1[[#This Row],[Revenue]])</f>
        <v>0.37499999999999994</v>
      </c>
      <c r="AA20" s="1">
        <f>Table1[[#This Row],[Profit]]-Table1[[#This Row],[Total Shipping]]</f>
        <v>125.79999999999995</v>
      </c>
      <c r="AB20" s="3">
        <f>Table1[[#This Row],[Operating Profit]]/Table1[[#This Row],[Revenue]]</f>
        <v>0.19270833333333329</v>
      </c>
    </row>
    <row r="21" spans="1:28" x14ac:dyDescent="0.25">
      <c r="A21" t="s">
        <v>77</v>
      </c>
      <c r="B21">
        <v>956</v>
      </c>
      <c r="C21" t="s">
        <v>65</v>
      </c>
      <c r="D21" t="s">
        <v>39</v>
      </c>
      <c r="E21" t="s">
        <v>49</v>
      </c>
      <c r="F21" t="s">
        <v>79</v>
      </c>
      <c r="G21" t="str" cm="1">
        <f t="array" ref="G21">_xlfn.SWITCH(F21,"Acme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21" t="s">
        <v>51</v>
      </c>
      <c r="I21" t="s">
        <v>42</v>
      </c>
      <c r="J21" t="str" cm="1">
        <f t="array" ref="J21">_xlfn.SWITCH(I21,"P001","Laptop","P002","Server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1" s="1" cm="1">
        <f t="array" ref="K21">_xlfn.SWITCH(Table1[[#This Row],[Product ID]],"P001",220,"P002",150,"P003",130,"P004",70,"P005",200,"P006",40,"P007",25,"P008",20,"P009",190,"P010",530)</f>
        <v>40</v>
      </c>
      <c r="L21">
        <v>16</v>
      </c>
      <c r="M21" s="1">
        <f>Table1[[#This Row],[Unit Price]]*Table1[[#This Row],[Quantity]]</f>
        <v>640</v>
      </c>
      <c r="N21" s="2">
        <v>0.04</v>
      </c>
      <c r="O21" s="1">
        <f>Table1[[#This Row],[Gross Value]]*(1-Table1[[#This Row],[Discount]])</f>
        <v>614.4</v>
      </c>
      <c r="P21" s="2">
        <v>0.2</v>
      </c>
      <c r="Q21" s="1">
        <f>Table1[[#This Row],[Revenue]]*Table1[[#This Row],[VAT Rate]]</f>
        <v>122.88</v>
      </c>
      <c r="R21" s="1">
        <f>Table1[[#This Row],[Revenue]]+Table1[[#This Row],[VAT Charged]]</f>
        <v>737.28</v>
      </c>
      <c r="S21" s="1" cm="1">
        <f t="array" ref="S21">_xlfn.SWITCH(Table1[[#This Row],[Product ID]],"P001",140,"P002",80,"P003",72,"P004",30,"P005",110,"P006",24,"P007",14,"P008",12,"P009",115,"P010",360)</f>
        <v>24</v>
      </c>
      <c r="T21" s="1" cm="1">
        <f t="array" ref="T21">(_xlfn.SWITCH(Table1[[#This Row],[Product ID]],"P001",140,"P002",80,"P003",72,"P004",30,"P005",110,"P006",24,"P007",14,"P008",12,"P009",115,"P010",360))*Table1[[#This Row],[Quantity]]</f>
        <v>384</v>
      </c>
      <c r="U21" s="1" cm="1">
        <f t="array" ref="U21">_xlfn.SWITCH(Table1[[#This Row],[Product ID]],"P001",15,"P002",0,"P003",8,"P004",8,"P005",0,"P006",7,"P007",7,"P008",6,"P009",45,"P010",60)</f>
        <v>7</v>
      </c>
      <c r="V21" s="1">
        <f>Table1[[#This Row],[Shipping per Unit]]*Table1[[#This Row],[Quantity]]</f>
        <v>112</v>
      </c>
      <c r="W21" s="2">
        <f>IF(Table1[[#This Row],[Total Shipping]]&gt;0.1,0.2,0)</f>
        <v>0.2</v>
      </c>
      <c r="X21" s="4">
        <f>Table1[[#This Row],[Total Shipping]]*Table1[[#This Row],[VAT on Shipping]]</f>
        <v>22.400000000000002</v>
      </c>
      <c r="Y21" s="1">
        <f>Table1[[#This Row],[Revenue]]-Table1[[#This Row],[COGS]]</f>
        <v>230.39999999999998</v>
      </c>
      <c r="Z21" s="3">
        <f>(Table1[[#This Row],[Profit]]/Table1[[#This Row],[Revenue]])</f>
        <v>0.375</v>
      </c>
      <c r="AA21" s="1">
        <f>Table1[[#This Row],[Profit]]-Table1[[#This Row],[Total Shipping]]</f>
        <v>118.39999999999998</v>
      </c>
      <c r="AB21" s="3">
        <f>Table1[[#This Row],[Operating Profit]]/Table1[[#This Row],[Revenue]]</f>
        <v>0.19270833333333331</v>
      </c>
    </row>
    <row r="22" spans="1:28" x14ac:dyDescent="0.25">
      <c r="A22" t="s">
        <v>80</v>
      </c>
      <c r="B22">
        <v>477</v>
      </c>
      <c r="C22" t="s">
        <v>29</v>
      </c>
      <c r="D22" t="s">
        <v>72</v>
      </c>
      <c r="E22" t="s">
        <v>49</v>
      </c>
      <c r="F22" t="s">
        <v>50</v>
      </c>
      <c r="G22" t="str" cm="1">
        <f t="array" ref="G22">_xlfn.SWITCH(F22,"Acme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22" t="s">
        <v>51</v>
      </c>
      <c r="I22" t="s">
        <v>46</v>
      </c>
      <c r="J22" t="str" cm="1">
        <f t="array" ref="J22">_xlfn.SWITCH(I22,"P001","Laptop","P002","Server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2" s="1" cm="1">
        <f t="array" ref="K22">_xlfn.SWITCH(Table1[[#This Row],[Product ID]],"P001",220,"P002",150,"P003",130,"P004",70,"P005",200,"P006",40,"P007",25,"P008",20,"P009",190,"P010",530)</f>
        <v>530</v>
      </c>
      <c r="L22">
        <v>7</v>
      </c>
      <c r="M22" s="1">
        <f>Table1[[#This Row],[Unit Price]]*Table1[[#This Row],[Quantity]]</f>
        <v>3710</v>
      </c>
      <c r="N22" s="2">
        <v>0.01</v>
      </c>
      <c r="O22" s="1">
        <f>Table1[[#This Row],[Gross Value]]*(1-Table1[[#This Row],[Discount]])</f>
        <v>3672.9</v>
      </c>
      <c r="P22" s="2">
        <v>0.2</v>
      </c>
      <c r="Q22" s="1">
        <f>Table1[[#This Row],[Revenue]]*Table1[[#This Row],[VAT Rate]]</f>
        <v>734.58</v>
      </c>
      <c r="R22" s="1">
        <f>Table1[[#This Row],[Revenue]]+Table1[[#This Row],[VAT Charged]]</f>
        <v>4407.4800000000005</v>
      </c>
      <c r="S22" s="1" cm="1">
        <f t="array" ref="S22">_xlfn.SWITCH(Table1[[#This Row],[Product ID]],"P001",140,"P002",80,"P003",72,"P004",30,"P005",110,"P006",24,"P007",14,"P008",12,"P009",115,"P010",360)</f>
        <v>360</v>
      </c>
      <c r="T22" s="1" cm="1">
        <f t="array" ref="T22">(_xlfn.SWITCH(Table1[[#This Row],[Product ID]],"P001",140,"P002",80,"P003",72,"P004",30,"P005",110,"P006",24,"P007",14,"P008",12,"P009",115,"P010",360))*Table1[[#This Row],[Quantity]]</f>
        <v>2520</v>
      </c>
      <c r="U22" s="1" cm="1">
        <f t="array" ref="U22">_xlfn.SWITCH(Table1[[#This Row],[Product ID]],"P001",15,"P002",0,"P003",8,"P004",8,"P005",0,"P006",7,"P007",7,"P008",6,"P009",45,"P010",60)</f>
        <v>60</v>
      </c>
      <c r="V22" s="1">
        <f>Table1[[#This Row],[Shipping per Unit]]*Table1[[#This Row],[Quantity]]</f>
        <v>420</v>
      </c>
      <c r="W22" s="2">
        <f>IF(Table1[[#This Row],[Total Shipping]]&gt;0.1,0.2,0)</f>
        <v>0.2</v>
      </c>
      <c r="X22" s="4">
        <f>Table1[[#This Row],[Total Shipping]]*Table1[[#This Row],[VAT on Shipping]]</f>
        <v>84</v>
      </c>
      <c r="Y22" s="1">
        <f>Table1[[#This Row],[Revenue]]-Table1[[#This Row],[COGS]]</f>
        <v>1152.9000000000001</v>
      </c>
      <c r="Z22" s="3">
        <f>(Table1[[#This Row],[Profit]]/Table1[[#This Row],[Revenue]])</f>
        <v>0.31389365351629506</v>
      </c>
      <c r="AA22" s="1">
        <f>Table1[[#This Row],[Profit]]-Table1[[#This Row],[Total Shipping]]</f>
        <v>732.90000000000009</v>
      </c>
      <c r="AB22" s="3">
        <f>Table1[[#This Row],[Operating Profit]]/Table1[[#This Row],[Revenue]]</f>
        <v>0.19954259576901087</v>
      </c>
    </row>
    <row r="23" spans="1:28" x14ac:dyDescent="0.25">
      <c r="A23" t="s">
        <v>81</v>
      </c>
      <c r="B23">
        <v>497</v>
      </c>
      <c r="C23" t="s">
        <v>35</v>
      </c>
      <c r="D23" t="s">
        <v>67</v>
      </c>
      <c r="E23" t="s">
        <v>49</v>
      </c>
      <c r="F23" t="s">
        <v>74</v>
      </c>
      <c r="G23" t="str" cm="1">
        <f t="array" ref="G23">_xlfn.SWITCH(F23,"Acme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23" t="s">
        <v>33</v>
      </c>
      <c r="I23" t="s">
        <v>42</v>
      </c>
      <c r="J23" t="str" cm="1">
        <f t="array" ref="J23">_xlfn.SWITCH(I23,"P001","Laptop","P002","Server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3" s="1" cm="1">
        <f t="array" ref="K23">_xlfn.SWITCH(Table1[[#This Row],[Product ID]],"P001",220,"P002",150,"P003",130,"P004",70,"P005",200,"P006",40,"P007",25,"P008",20,"P009",190,"P010",530)</f>
        <v>40</v>
      </c>
      <c r="L23">
        <v>20</v>
      </c>
      <c r="M23" s="1">
        <f>Table1[[#This Row],[Unit Price]]*Table1[[#This Row],[Quantity]]</f>
        <v>800</v>
      </c>
      <c r="N23" s="2">
        <v>0.02</v>
      </c>
      <c r="O23" s="1">
        <f>Table1[[#This Row],[Gross Value]]*(1-Table1[[#This Row],[Discount]])</f>
        <v>784</v>
      </c>
      <c r="P23" s="2">
        <v>0.2</v>
      </c>
      <c r="Q23" s="1">
        <f>Table1[[#This Row],[Revenue]]*Table1[[#This Row],[VAT Rate]]</f>
        <v>156.80000000000001</v>
      </c>
      <c r="R23" s="1">
        <f>Table1[[#This Row],[Revenue]]+Table1[[#This Row],[VAT Charged]]</f>
        <v>940.8</v>
      </c>
      <c r="S23" s="1" cm="1">
        <f t="array" ref="S23">_xlfn.SWITCH(Table1[[#This Row],[Product ID]],"P001",140,"P002",80,"P003",72,"P004",30,"P005",110,"P006",24,"P007",14,"P008",12,"P009",115,"P010",360)</f>
        <v>24</v>
      </c>
      <c r="T23" s="1" cm="1">
        <f t="array" ref="T23">(_xlfn.SWITCH(Table1[[#This Row],[Product ID]],"P001",140,"P002",80,"P003",72,"P004",30,"P005",110,"P006",24,"P007",14,"P008",12,"P009",115,"P010",360))*Table1[[#This Row],[Quantity]]</f>
        <v>480</v>
      </c>
      <c r="U23" s="1" cm="1">
        <f t="array" ref="U23">_xlfn.SWITCH(Table1[[#This Row],[Product ID]],"P001",15,"P002",0,"P003",8,"P004",8,"P005",0,"P006",7,"P007",7,"P008",6,"P009",45,"P010",60)</f>
        <v>7</v>
      </c>
      <c r="V23" s="1">
        <f>Table1[[#This Row],[Shipping per Unit]]*Table1[[#This Row],[Quantity]]</f>
        <v>140</v>
      </c>
      <c r="W23" s="2">
        <f>IF(Table1[[#This Row],[Total Shipping]]&gt;0.1,0.2,0)</f>
        <v>0.2</v>
      </c>
      <c r="X23" s="4">
        <f>Table1[[#This Row],[Total Shipping]]*Table1[[#This Row],[VAT on Shipping]]</f>
        <v>28</v>
      </c>
      <c r="Y23" s="1">
        <f>Table1[[#This Row],[Revenue]]-Table1[[#This Row],[COGS]]</f>
        <v>304</v>
      </c>
      <c r="Z23" s="3">
        <f>(Table1[[#This Row],[Profit]]/Table1[[#This Row],[Revenue]])</f>
        <v>0.38775510204081631</v>
      </c>
      <c r="AA23" s="1">
        <f>Table1[[#This Row],[Profit]]-Table1[[#This Row],[Total Shipping]]</f>
        <v>164</v>
      </c>
      <c r="AB23" s="3">
        <f>Table1[[#This Row],[Operating Profit]]/Table1[[#This Row],[Revenue]]</f>
        <v>0.20918367346938777</v>
      </c>
    </row>
    <row r="24" spans="1:28" x14ac:dyDescent="0.25">
      <c r="A24" t="s">
        <v>82</v>
      </c>
      <c r="B24">
        <v>57</v>
      </c>
      <c r="C24" t="s">
        <v>83</v>
      </c>
      <c r="D24" t="s">
        <v>36</v>
      </c>
      <c r="E24" t="s">
        <v>49</v>
      </c>
      <c r="F24" t="s">
        <v>84</v>
      </c>
      <c r="G24" t="str" cm="1">
        <f t="array" ref="G24">_xlfn.SWITCH(F24,"Acme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24" t="s">
        <v>45</v>
      </c>
      <c r="I24" t="s">
        <v>52</v>
      </c>
      <c r="J24" t="str" cm="1">
        <f t="array" ref="J24">_xlfn.SWITCH(I24,"P001","Laptop","P002","Server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24" s="1" cm="1">
        <f t="array" ref="K24">_xlfn.SWITCH(Table1[[#This Row],[Product ID]],"P001",220,"P002",150,"P003",130,"P004",70,"P005",200,"P006",40,"P007",25,"P008",20,"P009",190,"P010",530)</f>
        <v>130</v>
      </c>
      <c r="L24">
        <v>7</v>
      </c>
      <c r="M24" s="1">
        <f>Table1[[#This Row],[Unit Price]]*Table1[[#This Row],[Quantity]]</f>
        <v>910</v>
      </c>
      <c r="N24" s="2">
        <v>0.04</v>
      </c>
      <c r="O24" s="1">
        <f>Table1[[#This Row],[Gross Value]]*(1-Table1[[#This Row],[Discount]])</f>
        <v>873.6</v>
      </c>
      <c r="P24" s="2">
        <v>0.2</v>
      </c>
      <c r="Q24" s="1">
        <f>Table1[[#This Row],[Revenue]]*Table1[[#This Row],[VAT Rate]]</f>
        <v>174.72000000000003</v>
      </c>
      <c r="R24" s="1">
        <f>Table1[[#This Row],[Revenue]]+Table1[[#This Row],[VAT Charged]]</f>
        <v>1048.3200000000002</v>
      </c>
      <c r="S24" s="1" cm="1">
        <f t="array" ref="S24">_xlfn.SWITCH(Table1[[#This Row],[Product ID]],"P001",140,"P002",80,"P003",72,"P004",30,"P005",110,"P006",24,"P007",14,"P008",12,"P009",115,"P010",360)</f>
        <v>72</v>
      </c>
      <c r="T24" s="1" cm="1">
        <f t="array" ref="T24">(_xlfn.SWITCH(Table1[[#This Row],[Product ID]],"P001",140,"P002",80,"P003",72,"P004",30,"P005",110,"P006",24,"P007",14,"P008",12,"P009",115,"P010",360))*Table1[[#This Row],[Quantity]]</f>
        <v>504</v>
      </c>
      <c r="U24" s="1" cm="1">
        <f t="array" ref="U24">_xlfn.SWITCH(Table1[[#This Row],[Product ID]],"P001",15,"P002",0,"P003",8,"P004",8,"P005",0,"P006",7,"P007",7,"P008",6,"P009",45,"P010",60)</f>
        <v>8</v>
      </c>
      <c r="V24" s="1">
        <f>Table1[[#This Row],[Shipping per Unit]]*Table1[[#This Row],[Quantity]]</f>
        <v>56</v>
      </c>
      <c r="W24" s="2">
        <f>IF(Table1[[#This Row],[Total Shipping]]&gt;0.1,0.2,0)</f>
        <v>0.2</v>
      </c>
      <c r="X24" s="4">
        <f>Table1[[#This Row],[Total Shipping]]*Table1[[#This Row],[VAT on Shipping]]</f>
        <v>11.200000000000001</v>
      </c>
      <c r="Y24" s="1">
        <f>Table1[[#This Row],[Revenue]]-Table1[[#This Row],[COGS]]</f>
        <v>369.6</v>
      </c>
      <c r="Z24" s="3">
        <f>(Table1[[#This Row],[Profit]]/Table1[[#This Row],[Revenue]])</f>
        <v>0.42307692307692307</v>
      </c>
      <c r="AA24" s="1">
        <f>Table1[[#This Row],[Profit]]-Table1[[#This Row],[Total Shipping]]</f>
        <v>313.60000000000002</v>
      </c>
      <c r="AB24" s="3">
        <f>Table1[[#This Row],[Operating Profit]]/Table1[[#This Row],[Revenue]]</f>
        <v>0.35897435897435898</v>
      </c>
    </row>
    <row r="25" spans="1:28" x14ac:dyDescent="0.25">
      <c r="A25" t="s">
        <v>82</v>
      </c>
      <c r="B25">
        <v>89</v>
      </c>
      <c r="C25" t="s">
        <v>71</v>
      </c>
      <c r="D25" t="s">
        <v>36</v>
      </c>
      <c r="E25" t="s">
        <v>49</v>
      </c>
      <c r="F25" t="s">
        <v>41</v>
      </c>
      <c r="G25" t="str" cm="1">
        <f t="array" ref="G25">_xlfn.SWITCH(F25,"Acme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25" t="s">
        <v>45</v>
      </c>
      <c r="I25" t="s">
        <v>60</v>
      </c>
      <c r="J25" t="str" cm="1">
        <f t="array" ref="J25">_xlfn.SWITCH(I25,"P001","Laptop","P002","Server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5" s="1" cm="1">
        <f t="array" ref="K25">_xlfn.SWITCH(Table1[[#This Row],[Product ID]],"P001",220,"P002",150,"P003",130,"P004",70,"P005",200,"P006",40,"P007",25,"P008",20,"P009",190,"P010",530)</f>
        <v>25</v>
      </c>
      <c r="L25">
        <v>10</v>
      </c>
      <c r="M25" s="1">
        <f>Table1[[#This Row],[Unit Price]]*Table1[[#This Row],[Quantity]]</f>
        <v>250</v>
      </c>
      <c r="N25" s="2">
        <v>0.03</v>
      </c>
      <c r="O25" s="1">
        <f>Table1[[#This Row],[Gross Value]]*(1-Table1[[#This Row],[Discount]])</f>
        <v>242.5</v>
      </c>
      <c r="P25" s="2">
        <v>0.2</v>
      </c>
      <c r="Q25" s="1">
        <f>Table1[[#This Row],[Revenue]]*Table1[[#This Row],[VAT Rate]]</f>
        <v>48.5</v>
      </c>
      <c r="R25" s="1">
        <f>Table1[[#This Row],[Revenue]]+Table1[[#This Row],[VAT Charged]]</f>
        <v>291</v>
      </c>
      <c r="S25" s="1" cm="1">
        <f t="array" ref="S25">_xlfn.SWITCH(Table1[[#This Row],[Product ID]],"P001",140,"P002",80,"P003",72,"P004",30,"P005",110,"P006",24,"P007",14,"P008",12,"P009",115,"P010",360)</f>
        <v>14</v>
      </c>
      <c r="T25" s="1" cm="1">
        <f t="array" ref="T25">(_xlfn.SWITCH(Table1[[#This Row],[Product ID]],"P001",140,"P002",80,"P003",72,"P004",30,"P005",110,"P006",24,"P007",14,"P008",12,"P009",115,"P010",360))*Table1[[#This Row],[Quantity]]</f>
        <v>140</v>
      </c>
      <c r="U25" s="1" cm="1">
        <f t="array" ref="U25">_xlfn.SWITCH(Table1[[#This Row],[Product ID]],"P001",15,"P002",0,"P003",8,"P004",8,"P005",0,"P006",7,"P007",7,"P008",6,"P009",45,"P010",60)</f>
        <v>7</v>
      </c>
      <c r="V25" s="1">
        <f>Table1[[#This Row],[Shipping per Unit]]*Table1[[#This Row],[Quantity]]</f>
        <v>70</v>
      </c>
      <c r="W25" s="2">
        <f>IF(Table1[[#This Row],[Total Shipping]]&gt;0.1,0.2,0)</f>
        <v>0.2</v>
      </c>
      <c r="X25" s="4">
        <f>Table1[[#This Row],[Total Shipping]]*Table1[[#This Row],[VAT on Shipping]]</f>
        <v>14</v>
      </c>
      <c r="Y25" s="1">
        <f>Table1[[#This Row],[Revenue]]-Table1[[#This Row],[COGS]]</f>
        <v>102.5</v>
      </c>
      <c r="Z25" s="3">
        <f>(Table1[[#This Row],[Profit]]/Table1[[#This Row],[Revenue]])</f>
        <v>0.42268041237113402</v>
      </c>
      <c r="AA25" s="1">
        <f>Table1[[#This Row],[Profit]]-Table1[[#This Row],[Total Shipping]]</f>
        <v>32.5</v>
      </c>
      <c r="AB25" s="3">
        <f>Table1[[#This Row],[Operating Profit]]/Table1[[#This Row],[Revenue]]</f>
        <v>0.13402061855670103</v>
      </c>
    </row>
    <row r="26" spans="1:28" x14ac:dyDescent="0.25">
      <c r="A26" t="s">
        <v>82</v>
      </c>
      <c r="B26">
        <v>859</v>
      </c>
      <c r="C26" t="s">
        <v>83</v>
      </c>
      <c r="D26" t="s">
        <v>63</v>
      </c>
      <c r="E26" t="s">
        <v>31</v>
      </c>
      <c r="F26" t="s">
        <v>59</v>
      </c>
      <c r="G26" t="str" cm="1">
        <f t="array" ref="G26">_xlfn.SWITCH(F26,"Acme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26" t="s">
        <v>45</v>
      </c>
      <c r="I26" t="s">
        <v>42</v>
      </c>
      <c r="J26" t="str" cm="1">
        <f t="array" ref="J26">_xlfn.SWITCH(I26,"P001","Laptop","P002","Server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6" s="1" cm="1">
        <f t="array" ref="K26">_xlfn.SWITCH(Table1[[#This Row],[Product ID]],"P001",220,"P002",150,"P003",130,"P004",70,"P005",200,"P006",40,"P007",25,"P008",20,"P009",190,"P010",530)</f>
        <v>40</v>
      </c>
      <c r="L26">
        <v>13</v>
      </c>
      <c r="M26" s="1">
        <f>Table1[[#This Row],[Unit Price]]*Table1[[#This Row],[Quantity]]</f>
        <v>520</v>
      </c>
      <c r="N26" s="2">
        <v>0.04</v>
      </c>
      <c r="O26" s="1">
        <f>Table1[[#This Row],[Gross Value]]*(1-Table1[[#This Row],[Discount]])</f>
        <v>499.2</v>
      </c>
      <c r="P26" s="2">
        <v>0.2</v>
      </c>
      <c r="Q26" s="1">
        <f>Table1[[#This Row],[Revenue]]*Table1[[#This Row],[VAT Rate]]</f>
        <v>99.84</v>
      </c>
      <c r="R26" s="1">
        <f>Table1[[#This Row],[Revenue]]+Table1[[#This Row],[VAT Charged]]</f>
        <v>599.04</v>
      </c>
      <c r="S26" s="1" cm="1">
        <f t="array" ref="S26">_xlfn.SWITCH(Table1[[#This Row],[Product ID]],"P001",140,"P002",80,"P003",72,"P004",30,"P005",110,"P006",24,"P007",14,"P008",12,"P009",115,"P010",360)</f>
        <v>24</v>
      </c>
      <c r="T26" s="1" cm="1">
        <f t="array" ref="T26">(_xlfn.SWITCH(Table1[[#This Row],[Product ID]],"P001",140,"P002",80,"P003",72,"P004",30,"P005",110,"P006",24,"P007",14,"P008",12,"P009",115,"P010",360))*Table1[[#This Row],[Quantity]]</f>
        <v>312</v>
      </c>
      <c r="U26" s="1" cm="1">
        <f t="array" ref="U26">_xlfn.SWITCH(Table1[[#This Row],[Product ID]],"P001",15,"P002",0,"P003",8,"P004",8,"P005",0,"P006",7,"P007",7,"P008",6,"P009",45,"P010",60)</f>
        <v>7</v>
      </c>
      <c r="V26" s="1">
        <f>Table1[[#This Row],[Shipping per Unit]]*Table1[[#This Row],[Quantity]]</f>
        <v>91</v>
      </c>
      <c r="W26" s="2">
        <f>IF(Table1[[#This Row],[Total Shipping]]&gt;0.1,0.2,0)</f>
        <v>0.2</v>
      </c>
      <c r="X26" s="4">
        <f>Table1[[#This Row],[Total Shipping]]*Table1[[#This Row],[VAT on Shipping]]</f>
        <v>18.2</v>
      </c>
      <c r="Y26" s="1">
        <f>Table1[[#This Row],[Revenue]]-Table1[[#This Row],[COGS]]</f>
        <v>187.2</v>
      </c>
      <c r="Z26" s="3">
        <f>(Table1[[#This Row],[Profit]]/Table1[[#This Row],[Revenue]])</f>
        <v>0.375</v>
      </c>
      <c r="AA26" s="1">
        <f>Table1[[#This Row],[Profit]]-Table1[[#This Row],[Total Shipping]]</f>
        <v>96.199999999999989</v>
      </c>
      <c r="AB26" s="3">
        <f>Table1[[#This Row],[Operating Profit]]/Table1[[#This Row],[Revenue]]</f>
        <v>0.19270833333333331</v>
      </c>
    </row>
    <row r="27" spans="1:28" x14ac:dyDescent="0.25">
      <c r="A27" t="s">
        <v>85</v>
      </c>
      <c r="B27">
        <v>59</v>
      </c>
      <c r="C27" t="s">
        <v>56</v>
      </c>
      <c r="D27" t="s">
        <v>72</v>
      </c>
      <c r="E27" t="s">
        <v>49</v>
      </c>
      <c r="F27" t="s">
        <v>86</v>
      </c>
      <c r="G27" t="str" cm="1">
        <f t="array" ref="G27">_xlfn.SWITCH(F27,"Acme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27" t="s">
        <v>33</v>
      </c>
      <c r="I27" t="s">
        <v>52</v>
      </c>
      <c r="J27" t="str" cm="1">
        <f t="array" ref="J27">_xlfn.SWITCH(I27,"P001","Laptop","P002","Server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27" s="1" cm="1">
        <f t="array" ref="K27">_xlfn.SWITCH(Table1[[#This Row],[Product ID]],"P001",220,"P002",150,"P003",130,"P004",70,"P005",200,"P006",40,"P007",25,"P008",20,"P009",190,"P010",530)</f>
        <v>130</v>
      </c>
      <c r="L27">
        <v>8</v>
      </c>
      <c r="M27" s="1">
        <f>Table1[[#This Row],[Unit Price]]*Table1[[#This Row],[Quantity]]</f>
        <v>1040</v>
      </c>
      <c r="N27" s="2">
        <v>0.05</v>
      </c>
      <c r="O27" s="1">
        <f>Table1[[#This Row],[Gross Value]]*(1-Table1[[#This Row],[Discount]])</f>
        <v>988</v>
      </c>
      <c r="P27" s="2">
        <v>0.2</v>
      </c>
      <c r="Q27" s="1">
        <f>Table1[[#This Row],[Revenue]]*Table1[[#This Row],[VAT Rate]]</f>
        <v>197.60000000000002</v>
      </c>
      <c r="R27" s="1">
        <f>Table1[[#This Row],[Revenue]]+Table1[[#This Row],[VAT Charged]]</f>
        <v>1185.5999999999999</v>
      </c>
      <c r="S27" s="1" cm="1">
        <f t="array" ref="S27">_xlfn.SWITCH(Table1[[#This Row],[Product ID]],"P001",140,"P002",80,"P003",72,"P004",30,"P005",110,"P006",24,"P007",14,"P008",12,"P009",115,"P010",360)</f>
        <v>72</v>
      </c>
      <c r="T27" s="1" cm="1">
        <f t="array" ref="T27">(_xlfn.SWITCH(Table1[[#This Row],[Product ID]],"P001",140,"P002",80,"P003",72,"P004",30,"P005",110,"P006",24,"P007",14,"P008",12,"P009",115,"P010",360))*Table1[[#This Row],[Quantity]]</f>
        <v>576</v>
      </c>
      <c r="U27" s="1" cm="1">
        <f t="array" ref="U27">_xlfn.SWITCH(Table1[[#This Row],[Product ID]],"P001",15,"P002",0,"P003",8,"P004",8,"P005",0,"P006",7,"P007",7,"P008",6,"P009",45,"P010",60)</f>
        <v>8</v>
      </c>
      <c r="V27" s="1">
        <f>Table1[[#This Row],[Shipping per Unit]]*Table1[[#This Row],[Quantity]]</f>
        <v>64</v>
      </c>
      <c r="W27" s="2">
        <f>IF(Table1[[#This Row],[Total Shipping]]&gt;0.1,0.2,0)</f>
        <v>0.2</v>
      </c>
      <c r="X27" s="4">
        <f>Table1[[#This Row],[Total Shipping]]*Table1[[#This Row],[VAT on Shipping]]</f>
        <v>12.8</v>
      </c>
      <c r="Y27" s="1">
        <f>Table1[[#This Row],[Revenue]]-Table1[[#This Row],[COGS]]</f>
        <v>412</v>
      </c>
      <c r="Z27" s="3">
        <f>(Table1[[#This Row],[Profit]]/Table1[[#This Row],[Revenue]])</f>
        <v>0.41700404858299595</v>
      </c>
      <c r="AA27" s="1">
        <f>Table1[[#This Row],[Profit]]-Table1[[#This Row],[Total Shipping]]</f>
        <v>348</v>
      </c>
      <c r="AB27" s="3">
        <f>Table1[[#This Row],[Operating Profit]]/Table1[[#This Row],[Revenue]]</f>
        <v>0.35222672064777327</v>
      </c>
    </row>
    <row r="28" spans="1:28" x14ac:dyDescent="0.25">
      <c r="A28" t="s">
        <v>85</v>
      </c>
      <c r="B28">
        <v>315</v>
      </c>
      <c r="C28" t="s">
        <v>71</v>
      </c>
      <c r="D28" t="s">
        <v>30</v>
      </c>
      <c r="E28" t="s">
        <v>49</v>
      </c>
      <c r="F28" t="s">
        <v>87</v>
      </c>
      <c r="G28" t="str" cm="1">
        <f t="array" ref="G28">_xlfn.SWITCH(F28,"Acme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28" t="s">
        <v>33</v>
      </c>
      <c r="I28" t="s">
        <v>68</v>
      </c>
      <c r="J28" t="str" cm="1">
        <f t="array" ref="J28">_xlfn.SWITCH(I28,"P001","Laptop","P002","Server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28" s="1" cm="1">
        <f t="array" ref="K28">_xlfn.SWITCH(Table1[[#This Row],[Product ID]],"P001",220,"P002",150,"P003",130,"P004",70,"P005",200,"P006",40,"P007",25,"P008",20,"P009",190,"P010",530)</f>
        <v>220</v>
      </c>
      <c r="L28">
        <v>14</v>
      </c>
      <c r="M28" s="1">
        <f>Table1[[#This Row],[Unit Price]]*Table1[[#This Row],[Quantity]]</f>
        <v>3080</v>
      </c>
      <c r="N28" s="2">
        <v>0.12</v>
      </c>
      <c r="O28" s="1">
        <f>Table1[[#This Row],[Gross Value]]*(1-Table1[[#This Row],[Discount]])</f>
        <v>2710.4</v>
      </c>
      <c r="P28" s="2">
        <v>0.2</v>
      </c>
      <c r="Q28" s="1">
        <f>Table1[[#This Row],[Revenue]]*Table1[[#This Row],[VAT Rate]]</f>
        <v>542.08000000000004</v>
      </c>
      <c r="R28" s="1">
        <f>Table1[[#This Row],[Revenue]]+Table1[[#This Row],[VAT Charged]]</f>
        <v>3252.48</v>
      </c>
      <c r="S28" s="1" cm="1">
        <f t="array" ref="S28">_xlfn.SWITCH(Table1[[#This Row],[Product ID]],"P001",140,"P002",80,"P003",72,"P004",30,"P005",110,"P006",24,"P007",14,"P008",12,"P009",115,"P010",360)</f>
        <v>140</v>
      </c>
      <c r="T28" s="1" cm="1">
        <f t="array" ref="T28">(_xlfn.SWITCH(Table1[[#This Row],[Product ID]],"P001",140,"P002",80,"P003",72,"P004",30,"P005",110,"P006",24,"P007",14,"P008",12,"P009",115,"P010",360))*Table1[[#This Row],[Quantity]]</f>
        <v>1960</v>
      </c>
      <c r="U28" s="1" cm="1">
        <f t="array" ref="U28">_xlfn.SWITCH(Table1[[#This Row],[Product ID]],"P001",15,"P002",0,"P003",8,"P004",8,"P005",0,"P006",7,"P007",7,"P008",6,"P009",45,"P010",60)</f>
        <v>15</v>
      </c>
      <c r="V28" s="1">
        <f>Table1[[#This Row],[Shipping per Unit]]*Table1[[#This Row],[Quantity]]</f>
        <v>210</v>
      </c>
      <c r="W28" s="2">
        <f>IF(Table1[[#This Row],[Total Shipping]]&gt;0.1,0.2,0)</f>
        <v>0.2</v>
      </c>
      <c r="X28" s="4">
        <f>Table1[[#This Row],[Total Shipping]]*Table1[[#This Row],[VAT on Shipping]]</f>
        <v>42</v>
      </c>
      <c r="Y28" s="1">
        <f>Table1[[#This Row],[Revenue]]-Table1[[#This Row],[COGS]]</f>
        <v>750.40000000000009</v>
      </c>
      <c r="Z28" s="3">
        <f>(Table1[[#This Row],[Profit]]/Table1[[#This Row],[Revenue]])</f>
        <v>0.27685950413223143</v>
      </c>
      <c r="AA28" s="1">
        <f>Table1[[#This Row],[Profit]]-Table1[[#This Row],[Total Shipping]]</f>
        <v>540.40000000000009</v>
      </c>
      <c r="AB28" s="3">
        <f>Table1[[#This Row],[Operating Profit]]/Table1[[#This Row],[Revenue]]</f>
        <v>0.19938016528925623</v>
      </c>
    </row>
    <row r="29" spans="1:28" x14ac:dyDescent="0.25">
      <c r="A29" t="s">
        <v>88</v>
      </c>
      <c r="B29">
        <v>41</v>
      </c>
      <c r="C29" t="s">
        <v>62</v>
      </c>
      <c r="D29" t="s">
        <v>57</v>
      </c>
      <c r="E29" t="s">
        <v>49</v>
      </c>
      <c r="F29" t="s">
        <v>66</v>
      </c>
      <c r="G29" t="str" cm="1">
        <f t="array" ref="G29">_xlfn.SWITCH(F29,"Acme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29" t="s">
        <v>69</v>
      </c>
      <c r="I29" t="s">
        <v>42</v>
      </c>
      <c r="J29" t="str" cm="1">
        <f t="array" ref="J29">_xlfn.SWITCH(I29,"P001","Laptop","P002","Server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9" s="1" cm="1">
        <f t="array" ref="K29">_xlfn.SWITCH(Table1[[#This Row],[Product ID]],"P001",220,"P002",150,"P003",130,"P004",70,"P005",200,"P006",40,"P007",25,"P008",20,"P009",190,"P010",530)</f>
        <v>40</v>
      </c>
      <c r="L29">
        <v>18</v>
      </c>
      <c r="M29" s="1">
        <f>Table1[[#This Row],[Unit Price]]*Table1[[#This Row],[Quantity]]</f>
        <v>720</v>
      </c>
      <c r="N29" s="2">
        <v>0.03</v>
      </c>
      <c r="O29" s="1">
        <f>Table1[[#This Row],[Gross Value]]*(1-Table1[[#This Row],[Discount]])</f>
        <v>698.4</v>
      </c>
      <c r="P29" s="2">
        <v>0.2</v>
      </c>
      <c r="Q29" s="1">
        <f>Table1[[#This Row],[Revenue]]*Table1[[#This Row],[VAT Rate]]</f>
        <v>139.68</v>
      </c>
      <c r="R29" s="1">
        <f>Table1[[#This Row],[Revenue]]+Table1[[#This Row],[VAT Charged]]</f>
        <v>838.07999999999993</v>
      </c>
      <c r="S29" s="1" cm="1">
        <f t="array" ref="S29">_xlfn.SWITCH(Table1[[#This Row],[Product ID]],"P001",140,"P002",80,"P003",72,"P004",30,"P005",110,"P006",24,"P007",14,"P008",12,"P009",115,"P010",360)</f>
        <v>24</v>
      </c>
      <c r="T29" s="1" cm="1">
        <f t="array" ref="T29">(_xlfn.SWITCH(Table1[[#This Row],[Product ID]],"P001",140,"P002",80,"P003",72,"P004",30,"P005",110,"P006",24,"P007",14,"P008",12,"P009",115,"P010",360))*Table1[[#This Row],[Quantity]]</f>
        <v>432</v>
      </c>
      <c r="U29" s="1" cm="1">
        <f t="array" ref="U29">_xlfn.SWITCH(Table1[[#This Row],[Product ID]],"P001",15,"P002",0,"P003",8,"P004",8,"P005",0,"P006",7,"P007",7,"P008",6,"P009",45,"P010",60)</f>
        <v>7</v>
      </c>
      <c r="V29" s="1">
        <f>Table1[[#This Row],[Shipping per Unit]]*Table1[[#This Row],[Quantity]]</f>
        <v>126</v>
      </c>
      <c r="W29" s="2">
        <f>IF(Table1[[#This Row],[Total Shipping]]&gt;0.1,0.2,0)</f>
        <v>0.2</v>
      </c>
      <c r="X29" s="4">
        <f>Table1[[#This Row],[Total Shipping]]*Table1[[#This Row],[VAT on Shipping]]</f>
        <v>25.200000000000003</v>
      </c>
      <c r="Y29" s="1">
        <f>Table1[[#This Row],[Revenue]]-Table1[[#This Row],[COGS]]</f>
        <v>266.39999999999998</v>
      </c>
      <c r="Z29" s="3">
        <f>(Table1[[#This Row],[Profit]]/Table1[[#This Row],[Revenue]])</f>
        <v>0.38144329896907214</v>
      </c>
      <c r="AA29" s="1">
        <f>Table1[[#This Row],[Profit]]-Table1[[#This Row],[Total Shipping]]</f>
        <v>140.39999999999998</v>
      </c>
      <c r="AB29" s="3">
        <f>Table1[[#This Row],[Operating Profit]]/Table1[[#This Row],[Revenue]]</f>
        <v>0.20103092783505153</v>
      </c>
    </row>
    <row r="30" spans="1:28" x14ac:dyDescent="0.25">
      <c r="A30" t="s">
        <v>88</v>
      </c>
      <c r="B30">
        <v>107</v>
      </c>
      <c r="C30" t="s">
        <v>71</v>
      </c>
      <c r="D30" t="s">
        <v>57</v>
      </c>
      <c r="E30" t="s">
        <v>31</v>
      </c>
      <c r="F30" t="s">
        <v>79</v>
      </c>
      <c r="G30" t="str" cm="1">
        <f t="array" ref="G30">_xlfn.SWITCH(F30,"Acme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30" t="s">
        <v>51</v>
      </c>
      <c r="I30" t="s">
        <v>46</v>
      </c>
      <c r="J30" t="str" cm="1">
        <f t="array" ref="J30">_xlfn.SWITCH(I30,"P001","Laptop","P002","Server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30" s="1" cm="1">
        <f t="array" ref="K30">_xlfn.SWITCH(Table1[[#This Row],[Product ID]],"P001",220,"P002",150,"P003",130,"P004",70,"P005",200,"P006",40,"P007",25,"P008",20,"P009",190,"P010",530)</f>
        <v>530</v>
      </c>
      <c r="L30">
        <v>15</v>
      </c>
      <c r="M30" s="1">
        <f>Table1[[#This Row],[Unit Price]]*Table1[[#This Row],[Quantity]]</f>
        <v>7950</v>
      </c>
      <c r="N30" s="2">
        <v>0.05</v>
      </c>
      <c r="O30" s="1">
        <f>Table1[[#This Row],[Gross Value]]*(1-Table1[[#This Row],[Discount]])</f>
        <v>7552.5</v>
      </c>
      <c r="P30" s="2">
        <v>0.2</v>
      </c>
      <c r="Q30" s="1">
        <f>Table1[[#This Row],[Revenue]]*Table1[[#This Row],[VAT Rate]]</f>
        <v>1510.5</v>
      </c>
      <c r="R30" s="1">
        <f>Table1[[#This Row],[Revenue]]+Table1[[#This Row],[VAT Charged]]</f>
        <v>9063</v>
      </c>
      <c r="S30" s="1" cm="1">
        <f t="array" ref="S30">_xlfn.SWITCH(Table1[[#This Row],[Product ID]],"P001",140,"P002",80,"P003",72,"P004",30,"P005",110,"P006",24,"P007",14,"P008",12,"P009",115,"P010",360)</f>
        <v>360</v>
      </c>
      <c r="T30" s="1" cm="1">
        <f t="array" ref="T30">(_xlfn.SWITCH(Table1[[#This Row],[Product ID]],"P001",140,"P002",80,"P003",72,"P004",30,"P005",110,"P006",24,"P007",14,"P008",12,"P009",115,"P010",360))*Table1[[#This Row],[Quantity]]</f>
        <v>5400</v>
      </c>
      <c r="U30" s="1" cm="1">
        <f t="array" ref="U30">_xlfn.SWITCH(Table1[[#This Row],[Product ID]],"P001",15,"P002",0,"P003",8,"P004",8,"P005",0,"P006",7,"P007",7,"P008",6,"P009",45,"P010",60)</f>
        <v>60</v>
      </c>
      <c r="V30" s="1">
        <f>Table1[[#This Row],[Shipping per Unit]]*Table1[[#This Row],[Quantity]]</f>
        <v>900</v>
      </c>
      <c r="W30" s="2">
        <f>IF(Table1[[#This Row],[Total Shipping]]&gt;0.1,0.2,0)</f>
        <v>0.2</v>
      </c>
      <c r="X30" s="4">
        <f>Table1[[#This Row],[Total Shipping]]*Table1[[#This Row],[VAT on Shipping]]</f>
        <v>180</v>
      </c>
      <c r="Y30" s="1">
        <f>Table1[[#This Row],[Revenue]]-Table1[[#This Row],[COGS]]</f>
        <v>2152.5</v>
      </c>
      <c r="Z30" s="3">
        <f>(Table1[[#This Row],[Profit]]/Table1[[#This Row],[Revenue]])</f>
        <v>0.28500496524329694</v>
      </c>
      <c r="AA30" s="1">
        <f>Table1[[#This Row],[Profit]]-Table1[[#This Row],[Total Shipping]]</f>
        <v>1252.5</v>
      </c>
      <c r="AB30" s="3">
        <f>Table1[[#This Row],[Operating Profit]]/Table1[[#This Row],[Revenue]]</f>
        <v>0.16583912611717974</v>
      </c>
    </row>
    <row r="31" spans="1:28" x14ac:dyDescent="0.25">
      <c r="A31" t="s">
        <v>88</v>
      </c>
      <c r="B31">
        <v>561</v>
      </c>
      <c r="C31" t="s">
        <v>35</v>
      </c>
      <c r="D31" t="s">
        <v>30</v>
      </c>
      <c r="E31" t="s">
        <v>49</v>
      </c>
      <c r="F31" t="s">
        <v>59</v>
      </c>
      <c r="G31" t="str" cm="1">
        <f t="array" ref="G31">_xlfn.SWITCH(F31,"Acme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31" t="s">
        <v>33</v>
      </c>
      <c r="I31" t="s">
        <v>60</v>
      </c>
      <c r="J31" t="str" cm="1">
        <f t="array" ref="J31">_xlfn.SWITCH(I31,"P001","Laptop","P002","Server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1" s="1" cm="1">
        <f t="array" ref="K31">_xlfn.SWITCH(Table1[[#This Row],[Product ID]],"P001",220,"P002",150,"P003",130,"P004",70,"P005",200,"P006",40,"P007",25,"P008",20,"P009",190,"P010",530)</f>
        <v>25</v>
      </c>
      <c r="L31">
        <v>13</v>
      </c>
      <c r="M31" s="1">
        <f>Table1[[#This Row],[Unit Price]]*Table1[[#This Row],[Quantity]]</f>
        <v>325</v>
      </c>
      <c r="N31" s="2">
        <v>0.05</v>
      </c>
      <c r="O31" s="1">
        <f>Table1[[#This Row],[Gross Value]]*(1-Table1[[#This Row],[Discount]])</f>
        <v>308.75</v>
      </c>
      <c r="P31" s="2">
        <v>0.2</v>
      </c>
      <c r="Q31" s="1">
        <f>Table1[[#This Row],[Revenue]]*Table1[[#This Row],[VAT Rate]]</f>
        <v>61.75</v>
      </c>
      <c r="R31" s="1">
        <f>Table1[[#This Row],[Revenue]]+Table1[[#This Row],[VAT Charged]]</f>
        <v>370.5</v>
      </c>
      <c r="S31" s="1" cm="1">
        <f t="array" ref="S31">_xlfn.SWITCH(Table1[[#This Row],[Product ID]],"P001",140,"P002",80,"P003",72,"P004",30,"P005",110,"P006",24,"P007",14,"P008",12,"P009",115,"P010",360)</f>
        <v>14</v>
      </c>
      <c r="T31" s="1" cm="1">
        <f t="array" ref="T31">(_xlfn.SWITCH(Table1[[#This Row],[Product ID]],"P001",140,"P002",80,"P003",72,"P004",30,"P005",110,"P006",24,"P007",14,"P008",12,"P009",115,"P010",360))*Table1[[#This Row],[Quantity]]</f>
        <v>182</v>
      </c>
      <c r="U31" s="1" cm="1">
        <f t="array" ref="U31">_xlfn.SWITCH(Table1[[#This Row],[Product ID]],"P001",15,"P002",0,"P003",8,"P004",8,"P005",0,"P006",7,"P007",7,"P008",6,"P009",45,"P010",60)</f>
        <v>7</v>
      </c>
      <c r="V31" s="1">
        <f>Table1[[#This Row],[Shipping per Unit]]*Table1[[#This Row],[Quantity]]</f>
        <v>91</v>
      </c>
      <c r="W31" s="2">
        <f>IF(Table1[[#This Row],[Total Shipping]]&gt;0.1,0.2,0)</f>
        <v>0.2</v>
      </c>
      <c r="X31" s="4">
        <f>Table1[[#This Row],[Total Shipping]]*Table1[[#This Row],[VAT on Shipping]]</f>
        <v>18.2</v>
      </c>
      <c r="Y31" s="1">
        <f>Table1[[#This Row],[Revenue]]-Table1[[#This Row],[COGS]]</f>
        <v>126.75</v>
      </c>
      <c r="Z31" s="3">
        <f>(Table1[[#This Row],[Profit]]/Table1[[#This Row],[Revenue]])</f>
        <v>0.41052631578947368</v>
      </c>
      <c r="AA31" s="1">
        <f>Table1[[#This Row],[Profit]]-Table1[[#This Row],[Total Shipping]]</f>
        <v>35.75</v>
      </c>
      <c r="AB31" s="3">
        <f>Table1[[#This Row],[Operating Profit]]/Table1[[#This Row],[Revenue]]</f>
        <v>0.11578947368421053</v>
      </c>
    </row>
    <row r="32" spans="1:28" x14ac:dyDescent="0.25">
      <c r="A32" t="s">
        <v>89</v>
      </c>
      <c r="B32">
        <v>520</v>
      </c>
      <c r="C32" t="s">
        <v>29</v>
      </c>
      <c r="D32" t="s">
        <v>57</v>
      </c>
      <c r="E32" t="s">
        <v>49</v>
      </c>
      <c r="F32" t="s">
        <v>90</v>
      </c>
      <c r="G32" t="str" cm="1">
        <f t="array" ref="G32">_xlfn.SWITCH(F32,"Acme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32" t="s">
        <v>51</v>
      </c>
      <c r="I32" t="s">
        <v>91</v>
      </c>
      <c r="J32" t="str" cm="1">
        <f t="array" ref="J32">_xlfn.SWITCH(I32,"P001","Laptop","P002","Server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32" s="1" cm="1">
        <f t="array" ref="K32">_xlfn.SWITCH(Table1[[#This Row],[Product ID]],"P001",220,"P002",150,"P003",130,"P004",70,"P005",200,"P006",40,"P007",25,"P008",20,"P009",190,"P010",530)</f>
        <v>190</v>
      </c>
      <c r="L32">
        <v>11</v>
      </c>
      <c r="M32" s="1">
        <f>Table1[[#This Row],[Unit Price]]*Table1[[#This Row],[Quantity]]</f>
        <v>2090</v>
      </c>
      <c r="N32" s="2">
        <v>0.02</v>
      </c>
      <c r="O32" s="1">
        <f>Table1[[#This Row],[Gross Value]]*(1-Table1[[#This Row],[Discount]])</f>
        <v>2048.1999999999998</v>
      </c>
      <c r="P32" s="2">
        <v>0.2</v>
      </c>
      <c r="Q32" s="1">
        <f>Table1[[#This Row],[Revenue]]*Table1[[#This Row],[VAT Rate]]</f>
        <v>409.64</v>
      </c>
      <c r="R32" s="1">
        <f>Table1[[#This Row],[Revenue]]+Table1[[#This Row],[VAT Charged]]</f>
        <v>2457.8399999999997</v>
      </c>
      <c r="S32" s="1" cm="1">
        <f t="array" ref="S32">_xlfn.SWITCH(Table1[[#This Row],[Product ID]],"P001",140,"P002",80,"P003",72,"P004",30,"P005",110,"P006",24,"P007",14,"P008",12,"P009",115,"P010",360)</f>
        <v>115</v>
      </c>
      <c r="T32" s="1" cm="1">
        <f t="array" ref="T32">(_xlfn.SWITCH(Table1[[#This Row],[Product ID]],"P001",140,"P002",80,"P003",72,"P004",30,"P005",110,"P006",24,"P007",14,"P008",12,"P009",115,"P010",360))*Table1[[#This Row],[Quantity]]</f>
        <v>1265</v>
      </c>
      <c r="U32" s="1" cm="1">
        <f t="array" ref="U32">_xlfn.SWITCH(Table1[[#This Row],[Product ID]],"P001",15,"P002",0,"P003",8,"P004",8,"P005",0,"P006",7,"P007",7,"P008",6,"P009",45,"P010",60)</f>
        <v>45</v>
      </c>
      <c r="V32" s="1">
        <f>Table1[[#This Row],[Shipping per Unit]]*Table1[[#This Row],[Quantity]]</f>
        <v>495</v>
      </c>
      <c r="W32" s="2">
        <f>IF(Table1[[#This Row],[Total Shipping]]&gt;0.1,0.2,0)</f>
        <v>0.2</v>
      </c>
      <c r="X32" s="4">
        <f>Table1[[#This Row],[Total Shipping]]*Table1[[#This Row],[VAT on Shipping]]</f>
        <v>99</v>
      </c>
      <c r="Y32" s="1">
        <f>Table1[[#This Row],[Revenue]]-Table1[[#This Row],[COGS]]</f>
        <v>783.19999999999982</v>
      </c>
      <c r="Z32" s="3">
        <f>(Table1[[#This Row],[Profit]]/Table1[[#This Row],[Revenue]])</f>
        <v>0.38238453276047257</v>
      </c>
      <c r="AA32" s="1">
        <f>Table1[[#This Row],[Profit]]-Table1[[#This Row],[Total Shipping]]</f>
        <v>288.19999999999982</v>
      </c>
      <c r="AB32" s="3">
        <f>Table1[[#This Row],[Operating Profit]]/Table1[[#This Row],[Revenue]]</f>
        <v>0.1407089151450053</v>
      </c>
    </row>
    <row r="33" spans="1:28" x14ac:dyDescent="0.25">
      <c r="A33" t="s">
        <v>89</v>
      </c>
      <c r="B33">
        <v>681</v>
      </c>
      <c r="C33" t="s">
        <v>56</v>
      </c>
      <c r="D33" t="s">
        <v>30</v>
      </c>
      <c r="E33" t="s">
        <v>49</v>
      </c>
      <c r="F33" t="s">
        <v>92</v>
      </c>
      <c r="G33" t="str" cm="1">
        <f t="array" ref="G33">_xlfn.SWITCH(F33,"Acme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33" t="s">
        <v>45</v>
      </c>
      <c r="I33" t="s">
        <v>55</v>
      </c>
      <c r="J33" t="str" cm="1">
        <f t="array" ref="J33">_xlfn.SWITCH(I33,"P001","Laptop","P002","Server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3" s="1" cm="1">
        <f t="array" ref="K33">_xlfn.SWITCH(Table1[[#This Row],[Product ID]],"P001",220,"P002",150,"P003",130,"P004",70,"P005",200,"P006",40,"P007",25,"P008",20,"P009",190,"P010",530)</f>
        <v>70</v>
      </c>
      <c r="L33">
        <v>17</v>
      </c>
      <c r="M33" s="1">
        <f>Table1[[#This Row],[Unit Price]]*Table1[[#This Row],[Quantity]]</f>
        <v>1190</v>
      </c>
      <c r="N33" s="2">
        <v>0.06</v>
      </c>
      <c r="O33" s="1">
        <f>Table1[[#This Row],[Gross Value]]*(1-Table1[[#This Row],[Discount]])</f>
        <v>1118.5999999999999</v>
      </c>
      <c r="P33" s="2">
        <v>0.2</v>
      </c>
      <c r="Q33" s="1">
        <f>Table1[[#This Row],[Revenue]]*Table1[[#This Row],[VAT Rate]]</f>
        <v>223.72</v>
      </c>
      <c r="R33" s="1">
        <f>Table1[[#This Row],[Revenue]]+Table1[[#This Row],[VAT Charged]]</f>
        <v>1342.32</v>
      </c>
      <c r="S33" s="1" cm="1">
        <f t="array" ref="S33">_xlfn.SWITCH(Table1[[#This Row],[Product ID]],"P001",140,"P002",80,"P003",72,"P004",30,"P005",110,"P006",24,"P007",14,"P008",12,"P009",115,"P010",360)</f>
        <v>30</v>
      </c>
      <c r="T33" s="1" cm="1">
        <f t="array" ref="T33">(_xlfn.SWITCH(Table1[[#This Row],[Product ID]],"P001",140,"P002",80,"P003",72,"P004",30,"P005",110,"P006",24,"P007",14,"P008",12,"P009",115,"P010",360))*Table1[[#This Row],[Quantity]]</f>
        <v>510</v>
      </c>
      <c r="U33" s="1" cm="1">
        <f t="array" ref="U33">_xlfn.SWITCH(Table1[[#This Row],[Product ID]],"P001",15,"P002",0,"P003",8,"P004",8,"P005",0,"P006",7,"P007",7,"P008",6,"P009",45,"P010",60)</f>
        <v>8</v>
      </c>
      <c r="V33" s="1">
        <f>Table1[[#This Row],[Shipping per Unit]]*Table1[[#This Row],[Quantity]]</f>
        <v>136</v>
      </c>
      <c r="W33" s="2">
        <f>IF(Table1[[#This Row],[Total Shipping]]&gt;0.1,0.2,0)</f>
        <v>0.2</v>
      </c>
      <c r="X33" s="4">
        <f>Table1[[#This Row],[Total Shipping]]*Table1[[#This Row],[VAT on Shipping]]</f>
        <v>27.200000000000003</v>
      </c>
      <c r="Y33" s="1">
        <f>Table1[[#This Row],[Revenue]]-Table1[[#This Row],[COGS]]</f>
        <v>608.59999999999991</v>
      </c>
      <c r="Z33" s="3">
        <f>(Table1[[#This Row],[Profit]]/Table1[[#This Row],[Revenue]])</f>
        <v>0.54407294832826747</v>
      </c>
      <c r="AA33" s="1">
        <f>Table1[[#This Row],[Profit]]-Table1[[#This Row],[Total Shipping]]</f>
        <v>472.59999999999991</v>
      </c>
      <c r="AB33" s="3">
        <f>Table1[[#This Row],[Operating Profit]]/Table1[[#This Row],[Revenue]]</f>
        <v>0.42249240121580545</v>
      </c>
    </row>
    <row r="34" spans="1:28" x14ac:dyDescent="0.25">
      <c r="A34" t="s">
        <v>89</v>
      </c>
      <c r="B34">
        <v>808</v>
      </c>
      <c r="C34" t="s">
        <v>38</v>
      </c>
      <c r="D34" t="s">
        <v>48</v>
      </c>
      <c r="E34" t="s">
        <v>40</v>
      </c>
      <c r="F34" t="s">
        <v>76</v>
      </c>
      <c r="G34" t="str" cm="1">
        <f t="array" ref="G34">_xlfn.SWITCH(F34,"Acme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34" t="s">
        <v>45</v>
      </c>
      <c r="I34" t="s">
        <v>68</v>
      </c>
      <c r="J34" t="str" cm="1">
        <f t="array" ref="J34">_xlfn.SWITCH(I34,"P001","Laptop","P002","Server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4" s="1" cm="1">
        <f t="array" ref="K34">_xlfn.SWITCH(Table1[[#This Row],[Product ID]],"P001",220,"P002",150,"P003",130,"P004",70,"P005",200,"P006",40,"P007",25,"P008",20,"P009",190,"P010",530)</f>
        <v>220</v>
      </c>
      <c r="L34">
        <v>6</v>
      </c>
      <c r="M34" s="1">
        <f>Table1[[#This Row],[Unit Price]]*Table1[[#This Row],[Quantity]]</f>
        <v>1320</v>
      </c>
      <c r="N34" s="2">
        <v>0.03</v>
      </c>
      <c r="O34" s="1">
        <f>Table1[[#This Row],[Gross Value]]*(1-Table1[[#This Row],[Discount]])</f>
        <v>1280.3999999999999</v>
      </c>
      <c r="P34" s="2">
        <v>0.2</v>
      </c>
      <c r="Q34" s="1">
        <f>Table1[[#This Row],[Revenue]]*Table1[[#This Row],[VAT Rate]]</f>
        <v>256.08</v>
      </c>
      <c r="R34" s="1">
        <f>Table1[[#This Row],[Revenue]]+Table1[[#This Row],[VAT Charged]]</f>
        <v>1536.4799999999998</v>
      </c>
      <c r="S34" s="1" cm="1">
        <f t="array" ref="S34">_xlfn.SWITCH(Table1[[#This Row],[Product ID]],"P001",140,"P002",80,"P003",72,"P004",30,"P005",110,"P006",24,"P007",14,"P008",12,"P009",115,"P010",360)</f>
        <v>140</v>
      </c>
      <c r="T34" s="1" cm="1">
        <f t="array" ref="T34">(_xlfn.SWITCH(Table1[[#This Row],[Product ID]],"P001",140,"P002",80,"P003",72,"P004",30,"P005",110,"P006",24,"P007",14,"P008",12,"P009",115,"P010",360))*Table1[[#This Row],[Quantity]]</f>
        <v>840</v>
      </c>
      <c r="U34" s="1" cm="1">
        <f t="array" ref="U34">_xlfn.SWITCH(Table1[[#This Row],[Product ID]],"P001",15,"P002",0,"P003",8,"P004",8,"P005",0,"P006",7,"P007",7,"P008",6,"P009",45,"P010",60)</f>
        <v>15</v>
      </c>
      <c r="V34" s="1">
        <f>Table1[[#This Row],[Shipping per Unit]]*Table1[[#This Row],[Quantity]]</f>
        <v>90</v>
      </c>
      <c r="W34" s="2">
        <f>IF(Table1[[#This Row],[Total Shipping]]&gt;0.1,0.2,0)</f>
        <v>0.2</v>
      </c>
      <c r="X34" s="4">
        <f>Table1[[#This Row],[Total Shipping]]*Table1[[#This Row],[VAT on Shipping]]</f>
        <v>18</v>
      </c>
      <c r="Y34" s="1">
        <f>Table1[[#This Row],[Revenue]]-Table1[[#This Row],[COGS]]</f>
        <v>440.39999999999986</v>
      </c>
      <c r="Z34" s="3">
        <f>(Table1[[#This Row],[Profit]]/Table1[[#This Row],[Revenue]])</f>
        <v>0.34395501405810675</v>
      </c>
      <c r="AA34" s="1">
        <f>Table1[[#This Row],[Profit]]-Table1[[#This Row],[Total Shipping]]</f>
        <v>350.39999999999986</v>
      </c>
      <c r="AB34" s="3">
        <f>Table1[[#This Row],[Operating Profit]]/Table1[[#This Row],[Revenue]]</f>
        <v>0.27366447985004677</v>
      </c>
    </row>
    <row r="35" spans="1:28" x14ac:dyDescent="0.25">
      <c r="A35" t="s">
        <v>93</v>
      </c>
      <c r="B35">
        <v>404</v>
      </c>
      <c r="C35" t="s">
        <v>65</v>
      </c>
      <c r="D35" t="s">
        <v>57</v>
      </c>
      <c r="E35" t="s">
        <v>40</v>
      </c>
      <c r="F35" t="s">
        <v>90</v>
      </c>
      <c r="G35" t="str" cm="1">
        <f t="array" ref="G35">_xlfn.SWITCH(F35,"Acme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35" t="s">
        <v>33</v>
      </c>
      <c r="I35" t="s">
        <v>42</v>
      </c>
      <c r="J35" t="str" cm="1">
        <f t="array" ref="J35">_xlfn.SWITCH(I35,"P001","Laptop","P002","Server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5" s="1" cm="1">
        <f t="array" ref="K35">_xlfn.SWITCH(Table1[[#This Row],[Product ID]],"P001",220,"P002",150,"P003",130,"P004",70,"P005",200,"P006",40,"P007",25,"P008",20,"P009",190,"P010",530)</f>
        <v>40</v>
      </c>
      <c r="L35">
        <v>9</v>
      </c>
      <c r="M35" s="1">
        <f>Table1[[#This Row],[Unit Price]]*Table1[[#This Row],[Quantity]]</f>
        <v>360</v>
      </c>
      <c r="N35" s="2">
        <v>0.02</v>
      </c>
      <c r="O35" s="1">
        <f>Table1[[#This Row],[Gross Value]]*(1-Table1[[#This Row],[Discount]])</f>
        <v>352.8</v>
      </c>
      <c r="P35" s="2">
        <v>0.2</v>
      </c>
      <c r="Q35" s="1">
        <f>Table1[[#This Row],[Revenue]]*Table1[[#This Row],[VAT Rate]]</f>
        <v>70.56</v>
      </c>
      <c r="R35" s="1">
        <f>Table1[[#This Row],[Revenue]]+Table1[[#This Row],[VAT Charged]]</f>
        <v>423.36</v>
      </c>
      <c r="S35" s="1" cm="1">
        <f t="array" ref="S35">_xlfn.SWITCH(Table1[[#This Row],[Product ID]],"P001",140,"P002",80,"P003",72,"P004",30,"P005",110,"P006",24,"P007",14,"P008",12,"P009",115,"P010",360)</f>
        <v>24</v>
      </c>
      <c r="T35" s="1" cm="1">
        <f t="array" ref="T35">(_xlfn.SWITCH(Table1[[#This Row],[Product ID]],"P001",140,"P002",80,"P003",72,"P004",30,"P005",110,"P006",24,"P007",14,"P008",12,"P009",115,"P010",360))*Table1[[#This Row],[Quantity]]</f>
        <v>216</v>
      </c>
      <c r="U35" s="1" cm="1">
        <f t="array" ref="U35">_xlfn.SWITCH(Table1[[#This Row],[Product ID]],"P001",15,"P002",0,"P003",8,"P004",8,"P005",0,"P006",7,"P007",7,"P008",6,"P009",45,"P010",60)</f>
        <v>7</v>
      </c>
      <c r="V35" s="1">
        <f>Table1[[#This Row],[Shipping per Unit]]*Table1[[#This Row],[Quantity]]</f>
        <v>63</v>
      </c>
      <c r="W35" s="2">
        <f>IF(Table1[[#This Row],[Total Shipping]]&gt;0.1,0.2,0)</f>
        <v>0.2</v>
      </c>
      <c r="X35" s="4">
        <f>Table1[[#This Row],[Total Shipping]]*Table1[[#This Row],[VAT on Shipping]]</f>
        <v>12.600000000000001</v>
      </c>
      <c r="Y35" s="1">
        <f>Table1[[#This Row],[Revenue]]-Table1[[#This Row],[COGS]]</f>
        <v>136.80000000000001</v>
      </c>
      <c r="Z35" s="3">
        <f>(Table1[[#This Row],[Profit]]/Table1[[#This Row],[Revenue]])</f>
        <v>0.38775510204081637</v>
      </c>
      <c r="AA35" s="1">
        <f>Table1[[#This Row],[Profit]]-Table1[[#This Row],[Total Shipping]]</f>
        <v>73.800000000000011</v>
      </c>
      <c r="AB35" s="3">
        <f>Table1[[#This Row],[Operating Profit]]/Table1[[#This Row],[Revenue]]</f>
        <v>0.20918367346938779</v>
      </c>
    </row>
    <row r="36" spans="1:28" x14ac:dyDescent="0.25">
      <c r="A36" t="s">
        <v>94</v>
      </c>
      <c r="B36">
        <v>542</v>
      </c>
      <c r="C36" t="s">
        <v>83</v>
      </c>
      <c r="D36" t="s">
        <v>95</v>
      </c>
      <c r="E36" t="s">
        <v>40</v>
      </c>
      <c r="F36" t="s">
        <v>32</v>
      </c>
      <c r="G36" t="str" cm="1">
        <f t="array" ref="G36">_xlfn.SWITCH(F36,"Acme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36" t="s">
        <v>45</v>
      </c>
      <c r="I36" t="s">
        <v>70</v>
      </c>
      <c r="J36" t="str" cm="1">
        <f t="array" ref="J36">_xlfn.SWITCH(I36,"P001","Laptop","P002","Server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6" s="1" cm="1">
        <f t="array" ref="K36">_xlfn.SWITCH(Table1[[#This Row],[Product ID]],"P001",220,"P002",150,"P003",130,"P004",70,"P005",200,"P006",40,"P007",25,"P008",20,"P009",190,"P010",530)</f>
        <v>150</v>
      </c>
      <c r="L36">
        <v>4</v>
      </c>
      <c r="M36" s="1">
        <f>Table1[[#This Row],[Unit Price]]*Table1[[#This Row],[Quantity]]</f>
        <v>600</v>
      </c>
      <c r="N36" s="2">
        <v>7.0000000000000007E-2</v>
      </c>
      <c r="O36" s="1">
        <f>Table1[[#This Row],[Gross Value]]*(1-Table1[[#This Row],[Discount]])</f>
        <v>558</v>
      </c>
      <c r="P36" s="2">
        <v>0.2</v>
      </c>
      <c r="Q36" s="1">
        <f>Table1[[#This Row],[Revenue]]*Table1[[#This Row],[VAT Rate]]</f>
        <v>111.60000000000001</v>
      </c>
      <c r="R36" s="1">
        <f>Table1[[#This Row],[Revenue]]+Table1[[#This Row],[VAT Charged]]</f>
        <v>669.6</v>
      </c>
      <c r="S36" s="1" cm="1">
        <f t="array" ref="S36">_xlfn.SWITCH(Table1[[#This Row],[Product ID]],"P001",140,"P002",80,"P003",72,"P004",30,"P005",110,"P006",24,"P007",14,"P008",12,"P009",115,"P010",360)</f>
        <v>80</v>
      </c>
      <c r="T36" s="1" cm="1">
        <f t="array" ref="T36">(_xlfn.SWITCH(Table1[[#This Row],[Product ID]],"P001",140,"P002",80,"P003",72,"P004",30,"P005",110,"P006",24,"P007",14,"P008",12,"P009",115,"P010",360))*Table1[[#This Row],[Quantity]]</f>
        <v>320</v>
      </c>
      <c r="U36" s="1" cm="1">
        <f t="array" ref="U36">_xlfn.SWITCH(Table1[[#This Row],[Product ID]],"P001",15,"P002",0,"P003",8,"P004",8,"P005",0,"P006",7,"P007",7,"P008",6,"P009",45,"P010",60)</f>
        <v>0</v>
      </c>
      <c r="V36" s="1">
        <f>Table1[[#This Row],[Shipping per Unit]]*Table1[[#This Row],[Quantity]]</f>
        <v>0</v>
      </c>
      <c r="W36" s="2">
        <f>IF(Table1[[#This Row],[Total Shipping]]&gt;0.1,0.2,0)</f>
        <v>0</v>
      </c>
      <c r="X36" s="4">
        <f>Table1[[#This Row],[Total Shipping]]*Table1[[#This Row],[VAT on Shipping]]</f>
        <v>0</v>
      </c>
      <c r="Y36" s="1">
        <f>Table1[[#This Row],[Revenue]]-Table1[[#This Row],[COGS]]</f>
        <v>238</v>
      </c>
      <c r="Z36" s="3">
        <f>(Table1[[#This Row],[Profit]]/Table1[[#This Row],[Revenue]])</f>
        <v>0.4265232974910394</v>
      </c>
      <c r="AA36" s="1">
        <f>Table1[[#This Row],[Profit]]-Table1[[#This Row],[Total Shipping]]</f>
        <v>238</v>
      </c>
      <c r="AB36" s="3">
        <f>Table1[[#This Row],[Operating Profit]]/Table1[[#This Row],[Revenue]]</f>
        <v>0.4265232974910394</v>
      </c>
    </row>
    <row r="37" spans="1:28" x14ac:dyDescent="0.25">
      <c r="A37" t="s">
        <v>94</v>
      </c>
      <c r="B37">
        <v>723</v>
      </c>
      <c r="C37" t="s">
        <v>83</v>
      </c>
      <c r="D37" t="s">
        <v>48</v>
      </c>
      <c r="E37" t="s">
        <v>40</v>
      </c>
      <c r="F37" t="s">
        <v>76</v>
      </c>
      <c r="G37" t="str" cm="1">
        <f t="array" ref="G37">_xlfn.SWITCH(F37,"Acme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37" t="s">
        <v>69</v>
      </c>
      <c r="I37" t="s">
        <v>42</v>
      </c>
      <c r="J37" t="str" cm="1">
        <f t="array" ref="J37">_xlfn.SWITCH(I37,"P001","Laptop","P002","Server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7" s="1" cm="1">
        <f t="array" ref="K37">_xlfn.SWITCH(Table1[[#This Row],[Product ID]],"P001",220,"P002",150,"P003",130,"P004",70,"P005",200,"P006",40,"P007",25,"P008",20,"P009",190,"P010",530)</f>
        <v>40</v>
      </c>
      <c r="L37">
        <v>3</v>
      </c>
      <c r="M37" s="1">
        <f>Table1[[#This Row],[Unit Price]]*Table1[[#This Row],[Quantity]]</f>
        <v>120</v>
      </c>
      <c r="N37" s="2">
        <v>0.03</v>
      </c>
      <c r="O37" s="1">
        <f>Table1[[#This Row],[Gross Value]]*(1-Table1[[#This Row],[Discount]])</f>
        <v>116.39999999999999</v>
      </c>
      <c r="P37" s="2">
        <v>0.2</v>
      </c>
      <c r="Q37" s="1">
        <f>Table1[[#This Row],[Revenue]]*Table1[[#This Row],[VAT Rate]]</f>
        <v>23.28</v>
      </c>
      <c r="R37" s="1">
        <f>Table1[[#This Row],[Revenue]]+Table1[[#This Row],[VAT Charged]]</f>
        <v>139.68</v>
      </c>
      <c r="S37" s="1" cm="1">
        <f t="array" ref="S37">_xlfn.SWITCH(Table1[[#This Row],[Product ID]],"P001",140,"P002",80,"P003",72,"P004",30,"P005",110,"P006",24,"P007",14,"P008",12,"P009",115,"P010",360)</f>
        <v>24</v>
      </c>
      <c r="T37" s="1" cm="1">
        <f t="array" ref="T37">(_xlfn.SWITCH(Table1[[#This Row],[Product ID]],"P001",140,"P002",80,"P003",72,"P004",30,"P005",110,"P006",24,"P007",14,"P008",12,"P009",115,"P010",360))*Table1[[#This Row],[Quantity]]</f>
        <v>72</v>
      </c>
      <c r="U37" s="1" cm="1">
        <f t="array" ref="U37">_xlfn.SWITCH(Table1[[#This Row],[Product ID]],"P001",15,"P002",0,"P003",8,"P004",8,"P005",0,"P006",7,"P007",7,"P008",6,"P009",45,"P010",60)</f>
        <v>7</v>
      </c>
      <c r="V37" s="1">
        <f>Table1[[#This Row],[Shipping per Unit]]*Table1[[#This Row],[Quantity]]</f>
        <v>21</v>
      </c>
      <c r="W37" s="2">
        <f>IF(Table1[[#This Row],[Total Shipping]]&gt;0.1,0.2,0)</f>
        <v>0.2</v>
      </c>
      <c r="X37" s="4">
        <f>Table1[[#This Row],[Total Shipping]]*Table1[[#This Row],[VAT on Shipping]]</f>
        <v>4.2</v>
      </c>
      <c r="Y37" s="1">
        <f>Table1[[#This Row],[Revenue]]-Table1[[#This Row],[COGS]]</f>
        <v>44.399999999999991</v>
      </c>
      <c r="Z37" s="3">
        <f>(Table1[[#This Row],[Profit]]/Table1[[#This Row],[Revenue]])</f>
        <v>0.38144329896907214</v>
      </c>
      <c r="AA37" s="1">
        <f>Table1[[#This Row],[Profit]]-Table1[[#This Row],[Total Shipping]]</f>
        <v>23.399999999999991</v>
      </c>
      <c r="AB37" s="3">
        <f>Table1[[#This Row],[Operating Profit]]/Table1[[#This Row],[Revenue]]</f>
        <v>0.2010309278350515</v>
      </c>
    </row>
    <row r="38" spans="1:28" x14ac:dyDescent="0.25">
      <c r="A38" t="s">
        <v>96</v>
      </c>
      <c r="B38">
        <v>163</v>
      </c>
      <c r="C38" t="s">
        <v>56</v>
      </c>
      <c r="D38" t="s">
        <v>57</v>
      </c>
      <c r="E38" t="s">
        <v>40</v>
      </c>
      <c r="F38" t="s">
        <v>74</v>
      </c>
      <c r="G38" t="str" cm="1">
        <f t="array" ref="G38">_xlfn.SWITCH(F38,"Acme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38" t="s">
        <v>51</v>
      </c>
      <c r="I38" t="s">
        <v>91</v>
      </c>
      <c r="J38" t="str" cm="1">
        <f t="array" ref="J38">_xlfn.SWITCH(I38,"P001","Laptop","P002","Server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38" s="1" cm="1">
        <f t="array" ref="K38">_xlfn.SWITCH(Table1[[#This Row],[Product ID]],"P001",220,"P002",150,"P003",130,"P004",70,"P005",200,"P006",40,"P007",25,"P008",20,"P009",190,"P010",530)</f>
        <v>190</v>
      </c>
      <c r="L38">
        <v>9</v>
      </c>
      <c r="M38" s="1">
        <f>Table1[[#This Row],[Unit Price]]*Table1[[#This Row],[Quantity]]</f>
        <v>1710</v>
      </c>
      <c r="N38" s="2">
        <v>0.05</v>
      </c>
      <c r="O38" s="1">
        <f>Table1[[#This Row],[Gross Value]]*(1-Table1[[#This Row],[Discount]])</f>
        <v>1624.5</v>
      </c>
      <c r="P38" s="2">
        <v>0.2</v>
      </c>
      <c r="Q38" s="1">
        <f>Table1[[#This Row],[Revenue]]*Table1[[#This Row],[VAT Rate]]</f>
        <v>324.90000000000003</v>
      </c>
      <c r="R38" s="1">
        <f>Table1[[#This Row],[Revenue]]+Table1[[#This Row],[VAT Charged]]</f>
        <v>1949.4</v>
      </c>
      <c r="S38" s="1" cm="1">
        <f t="array" ref="S38">_xlfn.SWITCH(Table1[[#This Row],[Product ID]],"P001",140,"P002",80,"P003",72,"P004",30,"P005",110,"P006",24,"P007",14,"P008",12,"P009",115,"P010",360)</f>
        <v>115</v>
      </c>
      <c r="T38" s="1" cm="1">
        <f t="array" ref="T38">(_xlfn.SWITCH(Table1[[#This Row],[Product ID]],"P001",140,"P002",80,"P003",72,"P004",30,"P005",110,"P006",24,"P007",14,"P008",12,"P009",115,"P010",360))*Table1[[#This Row],[Quantity]]</f>
        <v>1035</v>
      </c>
      <c r="U38" s="1" cm="1">
        <f t="array" ref="U38">_xlfn.SWITCH(Table1[[#This Row],[Product ID]],"P001",15,"P002",0,"P003",8,"P004",8,"P005",0,"P006",7,"P007",7,"P008",6,"P009",45,"P010",60)</f>
        <v>45</v>
      </c>
      <c r="V38" s="1">
        <f>Table1[[#This Row],[Shipping per Unit]]*Table1[[#This Row],[Quantity]]</f>
        <v>405</v>
      </c>
      <c r="W38" s="2">
        <f>IF(Table1[[#This Row],[Total Shipping]]&gt;0.1,0.2,0)</f>
        <v>0.2</v>
      </c>
      <c r="X38" s="4">
        <f>Table1[[#This Row],[Total Shipping]]*Table1[[#This Row],[VAT on Shipping]]</f>
        <v>81</v>
      </c>
      <c r="Y38" s="1">
        <f>Table1[[#This Row],[Revenue]]-Table1[[#This Row],[COGS]]</f>
        <v>589.5</v>
      </c>
      <c r="Z38" s="3">
        <f>(Table1[[#This Row],[Profit]]/Table1[[#This Row],[Revenue]])</f>
        <v>0.36288088642659277</v>
      </c>
      <c r="AA38" s="1">
        <f>Table1[[#This Row],[Profit]]-Table1[[#This Row],[Total Shipping]]</f>
        <v>184.5</v>
      </c>
      <c r="AB38" s="3">
        <f>Table1[[#This Row],[Operating Profit]]/Table1[[#This Row],[Revenue]]</f>
        <v>0.11357340720221606</v>
      </c>
    </row>
    <row r="39" spans="1:28" x14ac:dyDescent="0.25">
      <c r="A39" t="s">
        <v>96</v>
      </c>
      <c r="B39">
        <v>625</v>
      </c>
      <c r="C39" t="s">
        <v>38</v>
      </c>
      <c r="D39" t="s">
        <v>48</v>
      </c>
      <c r="E39" t="s">
        <v>49</v>
      </c>
      <c r="F39" t="s">
        <v>97</v>
      </c>
      <c r="G39" t="str" cm="1">
        <f t="array" ref="G39">_xlfn.SWITCH(F39,"Acme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39" t="s">
        <v>33</v>
      </c>
      <c r="I39" t="s">
        <v>75</v>
      </c>
      <c r="J39" t="str" cm="1">
        <f t="array" ref="J39">_xlfn.SWITCH(I39,"P001","Laptop","P002","Server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39" s="1" cm="1">
        <f t="array" ref="K39">_xlfn.SWITCH(Table1[[#This Row],[Product ID]],"P001",220,"P002",150,"P003",130,"P004",70,"P005",200,"P006",40,"P007",25,"P008",20,"P009",190,"P010",530)</f>
        <v>200</v>
      </c>
      <c r="L39">
        <v>9</v>
      </c>
      <c r="M39" s="1">
        <f>Table1[[#This Row],[Unit Price]]*Table1[[#This Row],[Quantity]]</f>
        <v>1800</v>
      </c>
      <c r="N39" s="2">
        <v>0.12</v>
      </c>
      <c r="O39" s="1">
        <f>Table1[[#This Row],[Gross Value]]*(1-Table1[[#This Row],[Discount]])</f>
        <v>1584</v>
      </c>
      <c r="P39" s="2">
        <v>0.2</v>
      </c>
      <c r="Q39" s="1">
        <f>Table1[[#This Row],[Revenue]]*Table1[[#This Row],[VAT Rate]]</f>
        <v>316.8</v>
      </c>
      <c r="R39" s="1">
        <f>Table1[[#This Row],[Revenue]]+Table1[[#This Row],[VAT Charged]]</f>
        <v>1900.8</v>
      </c>
      <c r="S39" s="1" cm="1">
        <f t="array" ref="S39">_xlfn.SWITCH(Table1[[#This Row],[Product ID]],"P001",140,"P002",80,"P003",72,"P004",30,"P005",110,"P006",24,"P007",14,"P008",12,"P009",115,"P010",360)</f>
        <v>110</v>
      </c>
      <c r="T39" s="1" cm="1">
        <f t="array" ref="T39">(_xlfn.SWITCH(Table1[[#This Row],[Product ID]],"P001",140,"P002",80,"P003",72,"P004",30,"P005",110,"P006",24,"P007",14,"P008",12,"P009",115,"P010",360))*Table1[[#This Row],[Quantity]]</f>
        <v>990</v>
      </c>
      <c r="U39" s="1" cm="1">
        <f t="array" ref="U39">_xlfn.SWITCH(Table1[[#This Row],[Product ID]],"P001",15,"P002",0,"P003",8,"P004",8,"P005",0,"P006",7,"P007",7,"P008",6,"P009",45,"P010",60)</f>
        <v>0</v>
      </c>
      <c r="V39" s="1">
        <f>Table1[[#This Row],[Shipping per Unit]]*Table1[[#This Row],[Quantity]]</f>
        <v>0</v>
      </c>
      <c r="W39" s="2">
        <f>IF(Table1[[#This Row],[Total Shipping]]&gt;0.1,0.2,0)</f>
        <v>0</v>
      </c>
      <c r="X39" s="4">
        <f>Table1[[#This Row],[Total Shipping]]*Table1[[#This Row],[VAT on Shipping]]</f>
        <v>0</v>
      </c>
      <c r="Y39" s="1">
        <f>Table1[[#This Row],[Revenue]]-Table1[[#This Row],[COGS]]</f>
        <v>594</v>
      </c>
      <c r="Z39" s="3">
        <f>(Table1[[#This Row],[Profit]]/Table1[[#This Row],[Revenue]])</f>
        <v>0.375</v>
      </c>
      <c r="AA39" s="1">
        <f>Table1[[#This Row],[Profit]]-Table1[[#This Row],[Total Shipping]]</f>
        <v>594</v>
      </c>
      <c r="AB39" s="3">
        <f>Table1[[#This Row],[Operating Profit]]/Table1[[#This Row],[Revenue]]</f>
        <v>0.375</v>
      </c>
    </row>
    <row r="40" spans="1:28" x14ac:dyDescent="0.25">
      <c r="A40" t="s">
        <v>96</v>
      </c>
      <c r="B40">
        <v>894</v>
      </c>
      <c r="C40" t="s">
        <v>35</v>
      </c>
      <c r="D40" t="s">
        <v>63</v>
      </c>
      <c r="E40" t="s">
        <v>31</v>
      </c>
      <c r="F40" t="s">
        <v>98</v>
      </c>
      <c r="G40" t="str" cm="1">
        <f t="array" ref="G40">_xlfn.SWITCH(F40,"Acme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40" t="s">
        <v>33</v>
      </c>
      <c r="I40" t="s">
        <v>70</v>
      </c>
      <c r="J40" t="str" cm="1">
        <f t="array" ref="J40">_xlfn.SWITCH(I40,"P001","Laptop","P002","Server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0" s="1" cm="1">
        <f t="array" ref="K40">_xlfn.SWITCH(Table1[[#This Row],[Product ID]],"P001",220,"P002",150,"P003",130,"P004",70,"P005",200,"P006",40,"P007",25,"P008",20,"P009",190,"P010",530)</f>
        <v>150</v>
      </c>
      <c r="L40">
        <v>14</v>
      </c>
      <c r="M40" s="1">
        <f>Table1[[#This Row],[Unit Price]]*Table1[[#This Row],[Quantity]]</f>
        <v>2100</v>
      </c>
      <c r="N40" s="2">
        <v>0.04</v>
      </c>
      <c r="O40" s="1">
        <f>Table1[[#This Row],[Gross Value]]*(1-Table1[[#This Row],[Discount]])</f>
        <v>2016</v>
      </c>
      <c r="P40" s="2">
        <v>0.2</v>
      </c>
      <c r="Q40" s="1">
        <f>Table1[[#This Row],[Revenue]]*Table1[[#This Row],[VAT Rate]]</f>
        <v>403.20000000000005</v>
      </c>
      <c r="R40" s="1">
        <f>Table1[[#This Row],[Revenue]]+Table1[[#This Row],[VAT Charged]]</f>
        <v>2419.1999999999998</v>
      </c>
      <c r="S40" s="1" cm="1">
        <f t="array" ref="S40">_xlfn.SWITCH(Table1[[#This Row],[Product ID]],"P001",140,"P002",80,"P003",72,"P004",30,"P005",110,"P006",24,"P007",14,"P008",12,"P009",115,"P010",360)</f>
        <v>80</v>
      </c>
      <c r="T40" s="1" cm="1">
        <f t="array" ref="T40">(_xlfn.SWITCH(Table1[[#This Row],[Product ID]],"P001",140,"P002",80,"P003",72,"P004",30,"P005",110,"P006",24,"P007",14,"P008",12,"P009",115,"P010",360))*Table1[[#This Row],[Quantity]]</f>
        <v>1120</v>
      </c>
      <c r="U40" s="1" cm="1">
        <f t="array" ref="U40">_xlfn.SWITCH(Table1[[#This Row],[Product ID]],"P001",15,"P002",0,"P003",8,"P004",8,"P005",0,"P006",7,"P007",7,"P008",6,"P009",45,"P010",60)</f>
        <v>0</v>
      </c>
      <c r="V40" s="1">
        <f>Table1[[#This Row],[Shipping per Unit]]*Table1[[#This Row],[Quantity]]</f>
        <v>0</v>
      </c>
      <c r="W40" s="2">
        <f>IF(Table1[[#This Row],[Total Shipping]]&gt;0.1,0.2,0)</f>
        <v>0</v>
      </c>
      <c r="X40" s="4">
        <f>Table1[[#This Row],[Total Shipping]]*Table1[[#This Row],[VAT on Shipping]]</f>
        <v>0</v>
      </c>
      <c r="Y40" s="1">
        <f>Table1[[#This Row],[Revenue]]-Table1[[#This Row],[COGS]]</f>
        <v>896</v>
      </c>
      <c r="Z40" s="3">
        <f>(Table1[[#This Row],[Profit]]/Table1[[#This Row],[Revenue]])</f>
        <v>0.44444444444444442</v>
      </c>
      <c r="AA40" s="1">
        <f>Table1[[#This Row],[Profit]]-Table1[[#This Row],[Total Shipping]]</f>
        <v>896</v>
      </c>
      <c r="AB40" s="3">
        <f>Table1[[#This Row],[Operating Profit]]/Table1[[#This Row],[Revenue]]</f>
        <v>0.44444444444444442</v>
      </c>
    </row>
    <row r="41" spans="1:28" x14ac:dyDescent="0.25">
      <c r="A41" t="s">
        <v>99</v>
      </c>
      <c r="B41">
        <v>622</v>
      </c>
      <c r="C41" t="s">
        <v>38</v>
      </c>
      <c r="D41" t="s">
        <v>36</v>
      </c>
      <c r="E41" t="s">
        <v>49</v>
      </c>
      <c r="F41" t="s">
        <v>54</v>
      </c>
      <c r="G41" t="str" cm="1">
        <f t="array" ref="G41">_xlfn.SWITCH(F41,"Acme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41" t="s">
        <v>33</v>
      </c>
      <c r="I41" t="s">
        <v>91</v>
      </c>
      <c r="J41" t="str" cm="1">
        <f t="array" ref="J41">_xlfn.SWITCH(I41,"P001","Laptop","P002","Server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1" s="1" cm="1">
        <f t="array" ref="K41">_xlfn.SWITCH(Table1[[#This Row],[Product ID]],"P001",220,"P002",150,"P003",130,"P004",70,"P005",200,"P006",40,"P007",25,"P008",20,"P009",190,"P010",530)</f>
        <v>190</v>
      </c>
      <c r="L41">
        <v>17</v>
      </c>
      <c r="M41" s="1">
        <f>Table1[[#This Row],[Unit Price]]*Table1[[#This Row],[Quantity]]</f>
        <v>3230</v>
      </c>
      <c r="N41" s="2">
        <v>0.03</v>
      </c>
      <c r="O41" s="1">
        <f>Table1[[#This Row],[Gross Value]]*(1-Table1[[#This Row],[Discount]])</f>
        <v>3133.1</v>
      </c>
      <c r="P41" s="2">
        <v>0.2</v>
      </c>
      <c r="Q41" s="1">
        <f>Table1[[#This Row],[Revenue]]*Table1[[#This Row],[VAT Rate]]</f>
        <v>626.62</v>
      </c>
      <c r="R41" s="1">
        <f>Table1[[#This Row],[Revenue]]+Table1[[#This Row],[VAT Charged]]</f>
        <v>3759.72</v>
      </c>
      <c r="S41" s="1" cm="1">
        <f t="array" ref="S41">_xlfn.SWITCH(Table1[[#This Row],[Product ID]],"P001",140,"P002",80,"P003",72,"P004",30,"P005",110,"P006",24,"P007",14,"P008",12,"P009",115,"P010",360)</f>
        <v>115</v>
      </c>
      <c r="T41" s="1" cm="1">
        <f t="array" ref="T41">(_xlfn.SWITCH(Table1[[#This Row],[Product ID]],"P001",140,"P002",80,"P003",72,"P004",30,"P005",110,"P006",24,"P007",14,"P008",12,"P009",115,"P010",360))*Table1[[#This Row],[Quantity]]</f>
        <v>1955</v>
      </c>
      <c r="U41" s="1" cm="1">
        <f t="array" ref="U41">_xlfn.SWITCH(Table1[[#This Row],[Product ID]],"P001",15,"P002",0,"P003",8,"P004",8,"P005",0,"P006",7,"P007",7,"P008",6,"P009",45,"P010",60)</f>
        <v>45</v>
      </c>
      <c r="V41" s="1">
        <f>Table1[[#This Row],[Shipping per Unit]]*Table1[[#This Row],[Quantity]]</f>
        <v>765</v>
      </c>
      <c r="W41" s="2">
        <f>IF(Table1[[#This Row],[Total Shipping]]&gt;0.1,0.2,0)</f>
        <v>0.2</v>
      </c>
      <c r="X41" s="4">
        <f>Table1[[#This Row],[Total Shipping]]*Table1[[#This Row],[VAT on Shipping]]</f>
        <v>153</v>
      </c>
      <c r="Y41" s="1">
        <f>Table1[[#This Row],[Revenue]]-Table1[[#This Row],[COGS]]</f>
        <v>1178.0999999999999</v>
      </c>
      <c r="Z41" s="3">
        <f>(Table1[[#This Row],[Profit]]/Table1[[#This Row],[Revenue]])</f>
        <v>0.37601736299511662</v>
      </c>
      <c r="AA41" s="1">
        <f>Table1[[#This Row],[Profit]]-Table1[[#This Row],[Total Shipping]]</f>
        <v>413.09999999999991</v>
      </c>
      <c r="AB41" s="3">
        <f>Table1[[#This Row],[Operating Profit]]/Table1[[#This Row],[Revenue]]</f>
        <v>0.1318502441671188</v>
      </c>
    </row>
    <row r="42" spans="1:28" x14ac:dyDescent="0.25">
      <c r="A42" t="s">
        <v>100</v>
      </c>
      <c r="B42">
        <v>567</v>
      </c>
      <c r="C42" t="s">
        <v>35</v>
      </c>
      <c r="D42" t="s">
        <v>39</v>
      </c>
      <c r="E42" t="s">
        <v>31</v>
      </c>
      <c r="F42" t="s">
        <v>98</v>
      </c>
      <c r="G42" t="str" cm="1">
        <f t="array" ref="G42">_xlfn.SWITCH(F42,"Acme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42" t="s">
        <v>69</v>
      </c>
      <c r="I42" t="s">
        <v>42</v>
      </c>
      <c r="J42" t="str" cm="1">
        <f t="array" ref="J42">_xlfn.SWITCH(I42,"P001","Laptop","P002","Server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2" s="1" cm="1">
        <f t="array" ref="K42">_xlfn.SWITCH(Table1[[#This Row],[Product ID]],"P001",220,"P002",150,"P003",130,"P004",70,"P005",200,"P006",40,"P007",25,"P008",20,"P009",190,"P010",530)</f>
        <v>40</v>
      </c>
      <c r="L42">
        <v>10</v>
      </c>
      <c r="M42" s="1">
        <f>Table1[[#This Row],[Unit Price]]*Table1[[#This Row],[Quantity]]</f>
        <v>400</v>
      </c>
      <c r="N42" s="2">
        <v>0.03</v>
      </c>
      <c r="O42" s="1">
        <f>Table1[[#This Row],[Gross Value]]*(1-Table1[[#This Row],[Discount]])</f>
        <v>388</v>
      </c>
      <c r="P42" s="2">
        <v>0.2</v>
      </c>
      <c r="Q42" s="1">
        <f>Table1[[#This Row],[Revenue]]*Table1[[#This Row],[VAT Rate]]</f>
        <v>77.600000000000009</v>
      </c>
      <c r="R42" s="1">
        <f>Table1[[#This Row],[Revenue]]+Table1[[#This Row],[VAT Charged]]</f>
        <v>465.6</v>
      </c>
      <c r="S42" s="1" cm="1">
        <f t="array" ref="S42">_xlfn.SWITCH(Table1[[#This Row],[Product ID]],"P001",140,"P002",80,"P003",72,"P004",30,"P005",110,"P006",24,"P007",14,"P008",12,"P009",115,"P010",360)</f>
        <v>24</v>
      </c>
      <c r="T42" s="1" cm="1">
        <f t="array" ref="T42">(_xlfn.SWITCH(Table1[[#This Row],[Product ID]],"P001",140,"P002",80,"P003",72,"P004",30,"P005",110,"P006",24,"P007",14,"P008",12,"P009",115,"P010",360))*Table1[[#This Row],[Quantity]]</f>
        <v>240</v>
      </c>
      <c r="U42" s="1" cm="1">
        <f t="array" ref="U42">_xlfn.SWITCH(Table1[[#This Row],[Product ID]],"P001",15,"P002",0,"P003",8,"P004",8,"P005",0,"P006",7,"P007",7,"P008",6,"P009",45,"P010",60)</f>
        <v>7</v>
      </c>
      <c r="V42" s="1">
        <f>Table1[[#This Row],[Shipping per Unit]]*Table1[[#This Row],[Quantity]]</f>
        <v>70</v>
      </c>
      <c r="W42" s="2">
        <f>IF(Table1[[#This Row],[Total Shipping]]&gt;0.1,0.2,0)</f>
        <v>0.2</v>
      </c>
      <c r="X42" s="4">
        <f>Table1[[#This Row],[Total Shipping]]*Table1[[#This Row],[VAT on Shipping]]</f>
        <v>14</v>
      </c>
      <c r="Y42" s="1">
        <f>Table1[[#This Row],[Revenue]]-Table1[[#This Row],[COGS]]</f>
        <v>148</v>
      </c>
      <c r="Z42" s="3">
        <f>(Table1[[#This Row],[Profit]]/Table1[[#This Row],[Revenue]])</f>
        <v>0.38144329896907214</v>
      </c>
      <c r="AA42" s="1">
        <f>Table1[[#This Row],[Profit]]-Table1[[#This Row],[Total Shipping]]</f>
        <v>78</v>
      </c>
      <c r="AB42" s="3">
        <f>Table1[[#This Row],[Operating Profit]]/Table1[[#This Row],[Revenue]]</f>
        <v>0.20103092783505155</v>
      </c>
    </row>
    <row r="43" spans="1:28" x14ac:dyDescent="0.25">
      <c r="A43" t="s">
        <v>100</v>
      </c>
      <c r="B43">
        <v>580</v>
      </c>
      <c r="C43" t="s">
        <v>62</v>
      </c>
      <c r="D43" t="s">
        <v>63</v>
      </c>
      <c r="E43" t="s">
        <v>31</v>
      </c>
      <c r="F43" t="s">
        <v>32</v>
      </c>
      <c r="G43" t="str" cm="1">
        <f t="array" ref="G43">_xlfn.SWITCH(F43,"Acme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43" t="s">
        <v>33</v>
      </c>
      <c r="I43" t="s">
        <v>70</v>
      </c>
      <c r="J43" t="str" cm="1">
        <f t="array" ref="J43">_xlfn.SWITCH(I43,"P001","Laptop","P002","Server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3" s="1" cm="1">
        <f t="array" ref="K43">_xlfn.SWITCH(Table1[[#This Row],[Product ID]],"P001",220,"P002",150,"P003",130,"P004",70,"P005",200,"P006",40,"P007",25,"P008",20,"P009",190,"P010",530)</f>
        <v>150</v>
      </c>
      <c r="L43">
        <v>6</v>
      </c>
      <c r="M43" s="1">
        <f>Table1[[#This Row],[Unit Price]]*Table1[[#This Row],[Quantity]]</f>
        <v>900</v>
      </c>
      <c r="N43" s="2">
        <v>0.04</v>
      </c>
      <c r="O43" s="1">
        <f>Table1[[#This Row],[Gross Value]]*(1-Table1[[#This Row],[Discount]])</f>
        <v>864</v>
      </c>
      <c r="P43" s="2">
        <v>0.2</v>
      </c>
      <c r="Q43" s="1">
        <f>Table1[[#This Row],[Revenue]]*Table1[[#This Row],[VAT Rate]]</f>
        <v>172.8</v>
      </c>
      <c r="R43" s="1">
        <f>Table1[[#This Row],[Revenue]]+Table1[[#This Row],[VAT Charged]]</f>
        <v>1036.8</v>
      </c>
      <c r="S43" s="1" cm="1">
        <f t="array" ref="S43">_xlfn.SWITCH(Table1[[#This Row],[Product ID]],"P001",140,"P002",80,"P003",72,"P004",30,"P005",110,"P006",24,"P007",14,"P008",12,"P009",115,"P010",360)</f>
        <v>80</v>
      </c>
      <c r="T43" s="1" cm="1">
        <f t="array" ref="T43">(_xlfn.SWITCH(Table1[[#This Row],[Product ID]],"P001",140,"P002",80,"P003",72,"P004",30,"P005",110,"P006",24,"P007",14,"P008",12,"P009",115,"P010",360))*Table1[[#This Row],[Quantity]]</f>
        <v>480</v>
      </c>
      <c r="U43" s="1" cm="1">
        <f t="array" ref="U43">_xlfn.SWITCH(Table1[[#This Row],[Product ID]],"P001",15,"P002",0,"P003",8,"P004",8,"P005",0,"P006",7,"P007",7,"P008",6,"P009",45,"P010",60)</f>
        <v>0</v>
      </c>
      <c r="V43" s="1">
        <f>Table1[[#This Row],[Shipping per Unit]]*Table1[[#This Row],[Quantity]]</f>
        <v>0</v>
      </c>
      <c r="W43" s="2">
        <f>IF(Table1[[#This Row],[Total Shipping]]&gt;0.1,0.2,0)</f>
        <v>0</v>
      </c>
      <c r="X43" s="4">
        <f>Table1[[#This Row],[Total Shipping]]*Table1[[#This Row],[VAT on Shipping]]</f>
        <v>0</v>
      </c>
      <c r="Y43" s="1">
        <f>Table1[[#This Row],[Revenue]]-Table1[[#This Row],[COGS]]</f>
        <v>384</v>
      </c>
      <c r="Z43" s="3">
        <f>(Table1[[#This Row],[Profit]]/Table1[[#This Row],[Revenue]])</f>
        <v>0.44444444444444442</v>
      </c>
      <c r="AA43" s="1">
        <f>Table1[[#This Row],[Profit]]-Table1[[#This Row],[Total Shipping]]</f>
        <v>384</v>
      </c>
      <c r="AB43" s="3">
        <f>Table1[[#This Row],[Operating Profit]]/Table1[[#This Row],[Revenue]]</f>
        <v>0.44444444444444442</v>
      </c>
    </row>
    <row r="44" spans="1:28" x14ac:dyDescent="0.25">
      <c r="A44" t="s">
        <v>101</v>
      </c>
      <c r="B44">
        <v>468</v>
      </c>
      <c r="C44" t="s">
        <v>71</v>
      </c>
      <c r="D44" t="s">
        <v>57</v>
      </c>
      <c r="E44" t="s">
        <v>40</v>
      </c>
      <c r="F44" t="s">
        <v>102</v>
      </c>
      <c r="G44" t="str" cm="1">
        <f t="array" ref="G44">_xlfn.SWITCH(F44,"Acme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44" t="s">
        <v>58</v>
      </c>
      <c r="I44" t="s">
        <v>34</v>
      </c>
      <c r="J44" t="str" cm="1">
        <f t="array" ref="J44">_xlfn.SWITCH(I44,"P001","Laptop","P002","Server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44" s="1" cm="1">
        <f t="array" ref="K44">_xlfn.SWITCH(Table1[[#This Row],[Product ID]],"P001",220,"P002",150,"P003",130,"P004",70,"P005",200,"P006",40,"P007",25,"P008",20,"P009",190,"P010",530)</f>
        <v>20</v>
      </c>
      <c r="L44">
        <v>1</v>
      </c>
      <c r="M44" s="1">
        <f>Table1[[#This Row],[Unit Price]]*Table1[[#This Row],[Quantity]]</f>
        <v>20</v>
      </c>
      <c r="N44" s="2">
        <v>0.05</v>
      </c>
      <c r="O44" s="1">
        <f>Table1[[#This Row],[Gross Value]]*(1-Table1[[#This Row],[Discount]])</f>
        <v>19</v>
      </c>
      <c r="P44" s="2">
        <v>0.2</v>
      </c>
      <c r="Q44" s="1">
        <f>Table1[[#This Row],[Revenue]]*Table1[[#This Row],[VAT Rate]]</f>
        <v>3.8000000000000003</v>
      </c>
      <c r="R44" s="1">
        <f>Table1[[#This Row],[Revenue]]+Table1[[#This Row],[VAT Charged]]</f>
        <v>22.8</v>
      </c>
      <c r="S44" s="1" cm="1">
        <f t="array" ref="S44">_xlfn.SWITCH(Table1[[#This Row],[Product ID]],"P001",140,"P002",80,"P003",72,"P004",30,"P005",110,"P006",24,"P007",14,"P008",12,"P009",115,"P010",360)</f>
        <v>12</v>
      </c>
      <c r="T44" s="1" cm="1">
        <f t="array" ref="T44">(_xlfn.SWITCH(Table1[[#This Row],[Product ID]],"P001",140,"P002",80,"P003",72,"P004",30,"P005",110,"P006",24,"P007",14,"P008",12,"P009",115,"P010",360))*Table1[[#This Row],[Quantity]]</f>
        <v>12</v>
      </c>
      <c r="U44" s="1" cm="1">
        <f t="array" ref="U44">_xlfn.SWITCH(Table1[[#This Row],[Product ID]],"P001",15,"P002",0,"P003",8,"P004",8,"P005",0,"P006",7,"P007",7,"P008",6,"P009",45,"P010",60)</f>
        <v>6</v>
      </c>
      <c r="V44" s="1">
        <f>Table1[[#This Row],[Shipping per Unit]]*Table1[[#This Row],[Quantity]]</f>
        <v>6</v>
      </c>
      <c r="W44" s="2">
        <f>IF(Table1[[#This Row],[Total Shipping]]&gt;0.1,0.2,0)</f>
        <v>0.2</v>
      </c>
      <c r="X44" s="4">
        <f>Table1[[#This Row],[Total Shipping]]*Table1[[#This Row],[VAT on Shipping]]</f>
        <v>1.2000000000000002</v>
      </c>
      <c r="Y44" s="1">
        <f>Table1[[#This Row],[Revenue]]-Table1[[#This Row],[COGS]]</f>
        <v>7</v>
      </c>
      <c r="Z44" s="3">
        <f>(Table1[[#This Row],[Profit]]/Table1[[#This Row],[Revenue]])</f>
        <v>0.36842105263157893</v>
      </c>
      <c r="AA44" s="1">
        <f>Table1[[#This Row],[Profit]]-Table1[[#This Row],[Total Shipping]]</f>
        <v>1</v>
      </c>
      <c r="AB44" s="3">
        <f>Table1[[#This Row],[Operating Profit]]/Table1[[#This Row],[Revenue]]</f>
        <v>5.2631578947368418E-2</v>
      </c>
    </row>
    <row r="45" spans="1:28" x14ac:dyDescent="0.25">
      <c r="A45" t="s">
        <v>101</v>
      </c>
      <c r="B45">
        <v>496</v>
      </c>
      <c r="C45" t="s">
        <v>71</v>
      </c>
      <c r="D45" t="s">
        <v>95</v>
      </c>
      <c r="E45" t="s">
        <v>49</v>
      </c>
      <c r="F45" t="s">
        <v>103</v>
      </c>
      <c r="G45" t="str" cm="1">
        <f t="array" ref="G45">_xlfn.SWITCH(F45,"Acme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45" t="s">
        <v>104</v>
      </c>
      <c r="I45" t="s">
        <v>42</v>
      </c>
      <c r="J45" t="str" cm="1">
        <f t="array" ref="J45">_xlfn.SWITCH(I45,"P001","Laptop","P002","Server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5" s="1" cm="1">
        <f t="array" ref="K45">_xlfn.SWITCH(Table1[[#This Row],[Product ID]],"P001",220,"P002",150,"P003",130,"P004",70,"P005",200,"P006",40,"P007",25,"P008",20,"P009",190,"P010",530)</f>
        <v>40</v>
      </c>
      <c r="L45">
        <v>5</v>
      </c>
      <c r="M45" s="1">
        <f>Table1[[#This Row],[Unit Price]]*Table1[[#This Row],[Quantity]]</f>
        <v>200</v>
      </c>
      <c r="N45" s="2">
        <v>7.0000000000000007E-2</v>
      </c>
      <c r="O45" s="1">
        <f>Table1[[#This Row],[Gross Value]]*(1-Table1[[#This Row],[Discount]])</f>
        <v>186</v>
      </c>
      <c r="P45" s="2">
        <v>0.2</v>
      </c>
      <c r="Q45" s="1">
        <f>Table1[[#This Row],[Revenue]]*Table1[[#This Row],[VAT Rate]]</f>
        <v>37.200000000000003</v>
      </c>
      <c r="R45" s="1">
        <f>Table1[[#This Row],[Revenue]]+Table1[[#This Row],[VAT Charged]]</f>
        <v>223.2</v>
      </c>
      <c r="S45" s="1" cm="1">
        <f t="array" ref="S45">_xlfn.SWITCH(Table1[[#This Row],[Product ID]],"P001",140,"P002",80,"P003",72,"P004",30,"P005",110,"P006",24,"P007",14,"P008",12,"P009",115,"P010",360)</f>
        <v>24</v>
      </c>
      <c r="T45" s="1" cm="1">
        <f t="array" ref="T45">(_xlfn.SWITCH(Table1[[#This Row],[Product ID]],"P001",140,"P002",80,"P003",72,"P004",30,"P005",110,"P006",24,"P007",14,"P008",12,"P009",115,"P010",360))*Table1[[#This Row],[Quantity]]</f>
        <v>120</v>
      </c>
      <c r="U45" s="1" cm="1">
        <f t="array" ref="U45">_xlfn.SWITCH(Table1[[#This Row],[Product ID]],"P001",15,"P002",0,"P003",8,"P004",8,"P005",0,"P006",7,"P007",7,"P008",6,"P009",45,"P010",60)</f>
        <v>7</v>
      </c>
      <c r="V45" s="1">
        <f>Table1[[#This Row],[Shipping per Unit]]*Table1[[#This Row],[Quantity]]</f>
        <v>35</v>
      </c>
      <c r="W45" s="2">
        <f>IF(Table1[[#This Row],[Total Shipping]]&gt;0.1,0.2,0)</f>
        <v>0.2</v>
      </c>
      <c r="X45" s="4">
        <f>Table1[[#This Row],[Total Shipping]]*Table1[[#This Row],[VAT on Shipping]]</f>
        <v>7</v>
      </c>
      <c r="Y45" s="1">
        <f>Table1[[#This Row],[Revenue]]-Table1[[#This Row],[COGS]]</f>
        <v>66</v>
      </c>
      <c r="Z45" s="3">
        <f>(Table1[[#This Row],[Profit]]/Table1[[#This Row],[Revenue]])</f>
        <v>0.35483870967741937</v>
      </c>
      <c r="AA45" s="1">
        <f>Table1[[#This Row],[Profit]]-Table1[[#This Row],[Total Shipping]]</f>
        <v>31</v>
      </c>
      <c r="AB45" s="3">
        <f>Table1[[#This Row],[Operating Profit]]/Table1[[#This Row],[Revenue]]</f>
        <v>0.16666666666666666</v>
      </c>
    </row>
    <row r="46" spans="1:28" x14ac:dyDescent="0.25">
      <c r="A46" t="s">
        <v>105</v>
      </c>
      <c r="B46">
        <v>218</v>
      </c>
      <c r="C46" t="s">
        <v>29</v>
      </c>
      <c r="D46" t="s">
        <v>39</v>
      </c>
      <c r="E46" t="s">
        <v>49</v>
      </c>
      <c r="F46" t="s">
        <v>41</v>
      </c>
      <c r="G46" t="str" cm="1">
        <f t="array" ref="G46">_xlfn.SWITCH(F46,"Acme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46" t="s">
        <v>33</v>
      </c>
      <c r="I46" t="s">
        <v>34</v>
      </c>
      <c r="J46" t="str" cm="1">
        <f t="array" ref="J46">_xlfn.SWITCH(I46,"P001","Laptop","P002","Server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46" s="1" cm="1">
        <f t="array" ref="K46">_xlfn.SWITCH(Table1[[#This Row],[Product ID]],"P001",220,"P002",150,"P003",130,"P004",70,"P005",200,"P006",40,"P007",25,"P008",20,"P009",190,"P010",530)</f>
        <v>20</v>
      </c>
      <c r="L46">
        <v>9</v>
      </c>
      <c r="M46" s="1">
        <f>Table1[[#This Row],[Unit Price]]*Table1[[#This Row],[Quantity]]</f>
        <v>180</v>
      </c>
      <c r="N46" s="2">
        <v>0.02</v>
      </c>
      <c r="O46" s="1">
        <f>Table1[[#This Row],[Gross Value]]*(1-Table1[[#This Row],[Discount]])</f>
        <v>176.4</v>
      </c>
      <c r="P46" s="2">
        <v>0.2</v>
      </c>
      <c r="Q46" s="1">
        <f>Table1[[#This Row],[Revenue]]*Table1[[#This Row],[VAT Rate]]</f>
        <v>35.28</v>
      </c>
      <c r="R46" s="1">
        <f>Table1[[#This Row],[Revenue]]+Table1[[#This Row],[VAT Charged]]</f>
        <v>211.68</v>
      </c>
      <c r="S46" s="1" cm="1">
        <f t="array" ref="S46">_xlfn.SWITCH(Table1[[#This Row],[Product ID]],"P001",140,"P002",80,"P003",72,"P004",30,"P005",110,"P006",24,"P007",14,"P008",12,"P009",115,"P010",360)</f>
        <v>12</v>
      </c>
      <c r="T46" s="1" cm="1">
        <f t="array" ref="T46">(_xlfn.SWITCH(Table1[[#This Row],[Product ID]],"P001",140,"P002",80,"P003",72,"P004",30,"P005",110,"P006",24,"P007",14,"P008",12,"P009",115,"P010",360))*Table1[[#This Row],[Quantity]]</f>
        <v>108</v>
      </c>
      <c r="U46" s="1" cm="1">
        <f t="array" ref="U46">_xlfn.SWITCH(Table1[[#This Row],[Product ID]],"P001",15,"P002",0,"P003",8,"P004",8,"P005",0,"P006",7,"P007",7,"P008",6,"P009",45,"P010",60)</f>
        <v>6</v>
      </c>
      <c r="V46" s="1">
        <f>Table1[[#This Row],[Shipping per Unit]]*Table1[[#This Row],[Quantity]]</f>
        <v>54</v>
      </c>
      <c r="W46" s="2">
        <f>IF(Table1[[#This Row],[Total Shipping]]&gt;0.1,0.2,0)</f>
        <v>0.2</v>
      </c>
      <c r="X46" s="4">
        <f>Table1[[#This Row],[Total Shipping]]*Table1[[#This Row],[VAT on Shipping]]</f>
        <v>10.8</v>
      </c>
      <c r="Y46" s="1">
        <f>Table1[[#This Row],[Revenue]]-Table1[[#This Row],[COGS]]</f>
        <v>68.400000000000006</v>
      </c>
      <c r="Z46" s="3">
        <f>(Table1[[#This Row],[Profit]]/Table1[[#This Row],[Revenue]])</f>
        <v>0.38775510204081637</v>
      </c>
      <c r="AA46" s="1">
        <f>Table1[[#This Row],[Profit]]-Table1[[#This Row],[Total Shipping]]</f>
        <v>14.400000000000006</v>
      </c>
      <c r="AB46" s="3">
        <f>Table1[[#This Row],[Operating Profit]]/Table1[[#This Row],[Revenue]]</f>
        <v>8.1632653061224525E-2</v>
      </c>
    </row>
    <row r="47" spans="1:28" x14ac:dyDescent="0.25">
      <c r="A47" t="s">
        <v>106</v>
      </c>
      <c r="B47">
        <v>87</v>
      </c>
      <c r="C47" t="s">
        <v>71</v>
      </c>
      <c r="D47" t="s">
        <v>63</v>
      </c>
      <c r="E47" t="s">
        <v>40</v>
      </c>
      <c r="F47" t="s">
        <v>92</v>
      </c>
      <c r="G47" t="str" cm="1">
        <f t="array" ref="G47">_xlfn.SWITCH(F47,"Acme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47" t="s">
        <v>45</v>
      </c>
      <c r="I47" t="s">
        <v>91</v>
      </c>
      <c r="J47" t="str" cm="1">
        <f t="array" ref="J47">_xlfn.SWITCH(I47,"P001","Laptop","P002","Server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7" s="1" cm="1">
        <f t="array" ref="K47">_xlfn.SWITCH(Table1[[#This Row],[Product ID]],"P001",220,"P002",150,"P003",130,"P004",70,"P005",200,"P006",40,"P007",25,"P008",20,"P009",190,"P010",530)</f>
        <v>190</v>
      </c>
      <c r="L47">
        <v>3</v>
      </c>
      <c r="M47" s="1">
        <f>Table1[[#This Row],[Unit Price]]*Table1[[#This Row],[Quantity]]</f>
        <v>570</v>
      </c>
      <c r="N47" s="2">
        <v>0.1</v>
      </c>
      <c r="O47" s="1">
        <f>Table1[[#This Row],[Gross Value]]*(1-Table1[[#This Row],[Discount]])</f>
        <v>513</v>
      </c>
      <c r="P47" s="2">
        <v>0.2</v>
      </c>
      <c r="Q47" s="1">
        <f>Table1[[#This Row],[Revenue]]*Table1[[#This Row],[VAT Rate]]</f>
        <v>102.60000000000001</v>
      </c>
      <c r="R47" s="1">
        <f>Table1[[#This Row],[Revenue]]+Table1[[#This Row],[VAT Charged]]</f>
        <v>615.6</v>
      </c>
      <c r="S47" s="1" cm="1">
        <f t="array" ref="S47">_xlfn.SWITCH(Table1[[#This Row],[Product ID]],"P001",140,"P002",80,"P003",72,"P004",30,"P005",110,"P006",24,"P007",14,"P008",12,"P009",115,"P010",360)</f>
        <v>115</v>
      </c>
      <c r="T47" s="1" cm="1">
        <f t="array" ref="T47">(_xlfn.SWITCH(Table1[[#This Row],[Product ID]],"P001",140,"P002",80,"P003",72,"P004",30,"P005",110,"P006",24,"P007",14,"P008",12,"P009",115,"P010",360))*Table1[[#This Row],[Quantity]]</f>
        <v>345</v>
      </c>
      <c r="U47" s="1" cm="1">
        <f t="array" ref="U47">_xlfn.SWITCH(Table1[[#This Row],[Product ID]],"P001",15,"P002",0,"P003",8,"P004",8,"P005",0,"P006",7,"P007",7,"P008",6,"P009",45,"P010",60)</f>
        <v>45</v>
      </c>
      <c r="V47" s="1">
        <f>Table1[[#This Row],[Shipping per Unit]]*Table1[[#This Row],[Quantity]]</f>
        <v>135</v>
      </c>
      <c r="W47" s="2">
        <f>IF(Table1[[#This Row],[Total Shipping]]&gt;0.1,0.2,0)</f>
        <v>0.2</v>
      </c>
      <c r="X47" s="4">
        <f>Table1[[#This Row],[Total Shipping]]*Table1[[#This Row],[VAT on Shipping]]</f>
        <v>27</v>
      </c>
      <c r="Y47" s="1">
        <f>Table1[[#This Row],[Revenue]]-Table1[[#This Row],[COGS]]</f>
        <v>168</v>
      </c>
      <c r="Z47" s="3">
        <f>(Table1[[#This Row],[Profit]]/Table1[[#This Row],[Revenue]])</f>
        <v>0.32748538011695905</v>
      </c>
      <c r="AA47" s="1">
        <f>Table1[[#This Row],[Profit]]-Table1[[#This Row],[Total Shipping]]</f>
        <v>33</v>
      </c>
      <c r="AB47" s="3">
        <f>Table1[[#This Row],[Operating Profit]]/Table1[[#This Row],[Revenue]]</f>
        <v>6.4327485380116955E-2</v>
      </c>
    </row>
    <row r="48" spans="1:28" x14ac:dyDescent="0.25">
      <c r="A48" t="s">
        <v>106</v>
      </c>
      <c r="B48">
        <v>566</v>
      </c>
      <c r="C48" t="s">
        <v>29</v>
      </c>
      <c r="D48" t="s">
        <v>57</v>
      </c>
      <c r="E48" t="s">
        <v>31</v>
      </c>
      <c r="F48" t="s">
        <v>74</v>
      </c>
      <c r="G48" t="str" cm="1">
        <f t="array" ref="G48">_xlfn.SWITCH(F48,"Acme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48" t="s">
        <v>33</v>
      </c>
      <c r="I48" t="s">
        <v>42</v>
      </c>
      <c r="J48" t="str" cm="1">
        <f t="array" ref="J48">_xlfn.SWITCH(I48,"P001","Laptop","P002","Server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8" s="1" cm="1">
        <f t="array" ref="K48">_xlfn.SWITCH(Table1[[#This Row],[Product ID]],"P001",220,"P002",150,"P003",130,"P004",70,"P005",200,"P006",40,"P007",25,"P008",20,"P009",190,"P010",530)</f>
        <v>40</v>
      </c>
      <c r="L48">
        <v>11</v>
      </c>
      <c r="M48" s="1">
        <f>Table1[[#This Row],[Unit Price]]*Table1[[#This Row],[Quantity]]</f>
        <v>440</v>
      </c>
      <c r="N48" s="2">
        <v>0.05</v>
      </c>
      <c r="O48" s="1">
        <f>Table1[[#This Row],[Gross Value]]*(1-Table1[[#This Row],[Discount]])</f>
        <v>418</v>
      </c>
      <c r="P48" s="2">
        <v>0.2</v>
      </c>
      <c r="Q48" s="1">
        <f>Table1[[#This Row],[Revenue]]*Table1[[#This Row],[VAT Rate]]</f>
        <v>83.600000000000009</v>
      </c>
      <c r="R48" s="1">
        <f>Table1[[#This Row],[Revenue]]+Table1[[#This Row],[VAT Charged]]</f>
        <v>501.6</v>
      </c>
      <c r="S48" s="1" cm="1">
        <f t="array" ref="S48">_xlfn.SWITCH(Table1[[#This Row],[Product ID]],"P001",140,"P002",80,"P003",72,"P004",30,"P005",110,"P006",24,"P007",14,"P008",12,"P009",115,"P010",360)</f>
        <v>24</v>
      </c>
      <c r="T48" s="1" cm="1">
        <f t="array" ref="T48">(_xlfn.SWITCH(Table1[[#This Row],[Product ID]],"P001",140,"P002",80,"P003",72,"P004",30,"P005",110,"P006",24,"P007",14,"P008",12,"P009",115,"P010",360))*Table1[[#This Row],[Quantity]]</f>
        <v>264</v>
      </c>
      <c r="U48" s="1" cm="1">
        <f t="array" ref="U48">_xlfn.SWITCH(Table1[[#This Row],[Product ID]],"P001",15,"P002",0,"P003",8,"P004",8,"P005",0,"P006",7,"P007",7,"P008",6,"P009",45,"P010",60)</f>
        <v>7</v>
      </c>
      <c r="V48" s="1">
        <f>Table1[[#This Row],[Shipping per Unit]]*Table1[[#This Row],[Quantity]]</f>
        <v>77</v>
      </c>
      <c r="W48" s="2">
        <f>IF(Table1[[#This Row],[Total Shipping]]&gt;0.1,0.2,0)</f>
        <v>0.2</v>
      </c>
      <c r="X48" s="4">
        <f>Table1[[#This Row],[Total Shipping]]*Table1[[#This Row],[VAT on Shipping]]</f>
        <v>15.4</v>
      </c>
      <c r="Y48" s="1">
        <f>Table1[[#This Row],[Revenue]]-Table1[[#This Row],[COGS]]</f>
        <v>154</v>
      </c>
      <c r="Z48" s="3">
        <f>(Table1[[#This Row],[Profit]]/Table1[[#This Row],[Revenue]])</f>
        <v>0.36842105263157893</v>
      </c>
      <c r="AA48" s="1">
        <f>Table1[[#This Row],[Profit]]-Table1[[#This Row],[Total Shipping]]</f>
        <v>77</v>
      </c>
      <c r="AB48" s="3">
        <f>Table1[[#This Row],[Operating Profit]]/Table1[[#This Row],[Revenue]]</f>
        <v>0.18421052631578946</v>
      </c>
    </row>
    <row r="49" spans="1:28" x14ac:dyDescent="0.25">
      <c r="A49" t="s">
        <v>107</v>
      </c>
      <c r="B49">
        <v>555</v>
      </c>
      <c r="C49" t="s">
        <v>65</v>
      </c>
      <c r="D49" t="s">
        <v>63</v>
      </c>
      <c r="E49" t="s">
        <v>31</v>
      </c>
      <c r="F49" t="s">
        <v>32</v>
      </c>
      <c r="G49" t="str" cm="1">
        <f t="array" ref="G49">_xlfn.SWITCH(F49,"Acme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49" t="s">
        <v>69</v>
      </c>
      <c r="I49" t="s">
        <v>42</v>
      </c>
      <c r="J49" t="str" cm="1">
        <f t="array" ref="J49">_xlfn.SWITCH(I49,"P001","Laptop","P002","Server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9" s="1" cm="1">
        <f t="array" ref="K49">_xlfn.SWITCH(Table1[[#This Row],[Product ID]],"P001",220,"P002",150,"P003",130,"P004",70,"P005",200,"P006",40,"P007",25,"P008",20,"P009",190,"P010",530)</f>
        <v>40</v>
      </c>
      <c r="L49">
        <v>17</v>
      </c>
      <c r="M49" s="1">
        <f>Table1[[#This Row],[Unit Price]]*Table1[[#This Row],[Quantity]]</f>
        <v>680</v>
      </c>
      <c r="N49" s="2">
        <v>0.05</v>
      </c>
      <c r="O49" s="1">
        <f>Table1[[#This Row],[Gross Value]]*(1-Table1[[#This Row],[Discount]])</f>
        <v>646</v>
      </c>
      <c r="P49" s="2">
        <v>0.2</v>
      </c>
      <c r="Q49" s="1">
        <f>Table1[[#This Row],[Revenue]]*Table1[[#This Row],[VAT Rate]]</f>
        <v>129.20000000000002</v>
      </c>
      <c r="R49" s="1">
        <f>Table1[[#This Row],[Revenue]]+Table1[[#This Row],[VAT Charged]]</f>
        <v>775.2</v>
      </c>
      <c r="S49" s="1" cm="1">
        <f t="array" ref="S49">_xlfn.SWITCH(Table1[[#This Row],[Product ID]],"P001",140,"P002",80,"P003",72,"P004",30,"P005",110,"P006",24,"P007",14,"P008",12,"P009",115,"P010",360)</f>
        <v>24</v>
      </c>
      <c r="T49" s="1" cm="1">
        <f t="array" ref="T49">(_xlfn.SWITCH(Table1[[#This Row],[Product ID]],"P001",140,"P002",80,"P003",72,"P004",30,"P005",110,"P006",24,"P007",14,"P008",12,"P009",115,"P010",360))*Table1[[#This Row],[Quantity]]</f>
        <v>408</v>
      </c>
      <c r="U49" s="1" cm="1">
        <f t="array" ref="U49">_xlfn.SWITCH(Table1[[#This Row],[Product ID]],"P001",15,"P002",0,"P003",8,"P004",8,"P005",0,"P006",7,"P007",7,"P008",6,"P009",45,"P010",60)</f>
        <v>7</v>
      </c>
      <c r="V49" s="1">
        <f>Table1[[#This Row],[Shipping per Unit]]*Table1[[#This Row],[Quantity]]</f>
        <v>119</v>
      </c>
      <c r="W49" s="2">
        <f>IF(Table1[[#This Row],[Total Shipping]]&gt;0.1,0.2,0)</f>
        <v>0.2</v>
      </c>
      <c r="X49" s="4">
        <f>Table1[[#This Row],[Total Shipping]]*Table1[[#This Row],[VAT on Shipping]]</f>
        <v>23.8</v>
      </c>
      <c r="Y49" s="1">
        <f>Table1[[#This Row],[Revenue]]-Table1[[#This Row],[COGS]]</f>
        <v>238</v>
      </c>
      <c r="Z49" s="3">
        <f>(Table1[[#This Row],[Profit]]/Table1[[#This Row],[Revenue]])</f>
        <v>0.36842105263157893</v>
      </c>
      <c r="AA49" s="1">
        <f>Table1[[#This Row],[Profit]]-Table1[[#This Row],[Total Shipping]]</f>
        <v>119</v>
      </c>
      <c r="AB49" s="3">
        <f>Table1[[#This Row],[Operating Profit]]/Table1[[#This Row],[Revenue]]</f>
        <v>0.18421052631578946</v>
      </c>
    </row>
    <row r="50" spans="1:28" x14ac:dyDescent="0.25">
      <c r="A50" t="s">
        <v>108</v>
      </c>
      <c r="B50">
        <v>31</v>
      </c>
      <c r="C50" t="s">
        <v>62</v>
      </c>
      <c r="D50" t="s">
        <v>95</v>
      </c>
      <c r="E50" t="s">
        <v>40</v>
      </c>
      <c r="F50" t="s">
        <v>92</v>
      </c>
      <c r="G50" t="str" cm="1">
        <f t="array" ref="G50">_xlfn.SWITCH(F50,"Acme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50" t="s">
        <v>51</v>
      </c>
      <c r="I50" t="s">
        <v>68</v>
      </c>
      <c r="J50" t="str" cm="1">
        <f t="array" ref="J50">_xlfn.SWITCH(I50,"P001","Laptop","P002","Server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50" s="1" cm="1">
        <f t="array" ref="K50">_xlfn.SWITCH(Table1[[#This Row],[Product ID]],"P001",220,"P002",150,"P003",130,"P004",70,"P005",200,"P006",40,"P007",25,"P008",20,"P009",190,"P010",530)</f>
        <v>220</v>
      </c>
      <c r="L50">
        <v>16</v>
      </c>
      <c r="M50" s="1">
        <f>Table1[[#This Row],[Unit Price]]*Table1[[#This Row],[Quantity]]</f>
        <v>3520</v>
      </c>
      <c r="N50" s="2">
        <v>7.0000000000000007E-2</v>
      </c>
      <c r="O50" s="1">
        <f>Table1[[#This Row],[Gross Value]]*(1-Table1[[#This Row],[Discount]])</f>
        <v>3273.6</v>
      </c>
      <c r="P50" s="2">
        <v>0.2</v>
      </c>
      <c r="Q50" s="1">
        <f>Table1[[#This Row],[Revenue]]*Table1[[#This Row],[VAT Rate]]</f>
        <v>654.72</v>
      </c>
      <c r="R50" s="1">
        <f>Table1[[#This Row],[Revenue]]+Table1[[#This Row],[VAT Charged]]</f>
        <v>3928.3199999999997</v>
      </c>
      <c r="S50" s="1" cm="1">
        <f t="array" ref="S50">_xlfn.SWITCH(Table1[[#This Row],[Product ID]],"P001",140,"P002",80,"P003",72,"P004",30,"P005",110,"P006",24,"P007",14,"P008",12,"P009",115,"P010",360)</f>
        <v>140</v>
      </c>
      <c r="T50" s="1" cm="1">
        <f t="array" ref="T50">(_xlfn.SWITCH(Table1[[#This Row],[Product ID]],"P001",140,"P002",80,"P003",72,"P004",30,"P005",110,"P006",24,"P007",14,"P008",12,"P009",115,"P010",360))*Table1[[#This Row],[Quantity]]</f>
        <v>2240</v>
      </c>
      <c r="U50" s="1" cm="1">
        <f t="array" ref="U50">_xlfn.SWITCH(Table1[[#This Row],[Product ID]],"P001",15,"P002",0,"P003",8,"P004",8,"P005",0,"P006",7,"P007",7,"P008",6,"P009",45,"P010",60)</f>
        <v>15</v>
      </c>
      <c r="V50" s="1">
        <f>Table1[[#This Row],[Shipping per Unit]]*Table1[[#This Row],[Quantity]]</f>
        <v>240</v>
      </c>
      <c r="W50" s="2">
        <f>IF(Table1[[#This Row],[Total Shipping]]&gt;0.1,0.2,0)</f>
        <v>0.2</v>
      </c>
      <c r="X50" s="4">
        <f>Table1[[#This Row],[Total Shipping]]*Table1[[#This Row],[VAT on Shipping]]</f>
        <v>48</v>
      </c>
      <c r="Y50" s="1">
        <f>Table1[[#This Row],[Revenue]]-Table1[[#This Row],[COGS]]</f>
        <v>1033.5999999999999</v>
      </c>
      <c r="Z50" s="3">
        <f>(Table1[[#This Row],[Profit]]/Table1[[#This Row],[Revenue]])</f>
        <v>0.31573802541544477</v>
      </c>
      <c r="AA50" s="1">
        <f>Table1[[#This Row],[Profit]]-Table1[[#This Row],[Total Shipping]]</f>
        <v>793.59999999999991</v>
      </c>
      <c r="AB50" s="3">
        <f>Table1[[#This Row],[Operating Profit]]/Table1[[#This Row],[Revenue]]</f>
        <v>0.2424242424242424</v>
      </c>
    </row>
    <row r="51" spans="1:28" x14ac:dyDescent="0.25">
      <c r="A51" t="s">
        <v>108</v>
      </c>
      <c r="B51">
        <v>95</v>
      </c>
      <c r="C51" t="s">
        <v>38</v>
      </c>
      <c r="D51" t="s">
        <v>72</v>
      </c>
      <c r="E51" t="s">
        <v>40</v>
      </c>
      <c r="F51" t="s">
        <v>64</v>
      </c>
      <c r="G51" t="str" cm="1">
        <f t="array" ref="G51">_xlfn.SWITCH(F51,"Acme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51" t="s">
        <v>45</v>
      </c>
      <c r="I51" t="s">
        <v>42</v>
      </c>
      <c r="J51" t="str" cm="1">
        <f t="array" ref="J51">_xlfn.SWITCH(I51,"P001","Laptop","P002","Server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1" s="1" cm="1">
        <f t="array" ref="K51">_xlfn.SWITCH(Table1[[#This Row],[Product ID]],"P001",220,"P002",150,"P003",130,"P004",70,"P005",200,"P006",40,"P007",25,"P008",20,"P009",190,"P010",530)</f>
        <v>40</v>
      </c>
      <c r="L51">
        <v>18</v>
      </c>
      <c r="M51" s="1">
        <f>Table1[[#This Row],[Unit Price]]*Table1[[#This Row],[Quantity]]</f>
        <v>720</v>
      </c>
      <c r="N51" s="2">
        <v>0.03</v>
      </c>
      <c r="O51" s="1">
        <f>Table1[[#This Row],[Gross Value]]*(1-Table1[[#This Row],[Discount]])</f>
        <v>698.4</v>
      </c>
      <c r="P51" s="2">
        <v>0.2</v>
      </c>
      <c r="Q51" s="1">
        <f>Table1[[#This Row],[Revenue]]*Table1[[#This Row],[VAT Rate]]</f>
        <v>139.68</v>
      </c>
      <c r="R51" s="1">
        <f>Table1[[#This Row],[Revenue]]+Table1[[#This Row],[VAT Charged]]</f>
        <v>838.07999999999993</v>
      </c>
      <c r="S51" s="1" cm="1">
        <f t="array" ref="S51">_xlfn.SWITCH(Table1[[#This Row],[Product ID]],"P001",140,"P002",80,"P003",72,"P004",30,"P005",110,"P006",24,"P007",14,"P008",12,"P009",115,"P010",360)</f>
        <v>24</v>
      </c>
      <c r="T51" s="1" cm="1">
        <f t="array" ref="T51">(_xlfn.SWITCH(Table1[[#This Row],[Product ID]],"P001",140,"P002",80,"P003",72,"P004",30,"P005",110,"P006",24,"P007",14,"P008",12,"P009",115,"P010",360))*Table1[[#This Row],[Quantity]]</f>
        <v>432</v>
      </c>
      <c r="U51" s="1" cm="1">
        <f t="array" ref="U51">_xlfn.SWITCH(Table1[[#This Row],[Product ID]],"P001",15,"P002",0,"P003",8,"P004",8,"P005",0,"P006",7,"P007",7,"P008",6,"P009",45,"P010",60)</f>
        <v>7</v>
      </c>
      <c r="V51" s="1">
        <f>Table1[[#This Row],[Shipping per Unit]]*Table1[[#This Row],[Quantity]]</f>
        <v>126</v>
      </c>
      <c r="W51" s="2">
        <f>IF(Table1[[#This Row],[Total Shipping]]&gt;0.1,0.2,0)</f>
        <v>0.2</v>
      </c>
      <c r="X51" s="4">
        <f>Table1[[#This Row],[Total Shipping]]*Table1[[#This Row],[VAT on Shipping]]</f>
        <v>25.200000000000003</v>
      </c>
      <c r="Y51" s="1">
        <f>Table1[[#This Row],[Revenue]]-Table1[[#This Row],[COGS]]</f>
        <v>266.39999999999998</v>
      </c>
      <c r="Z51" s="3">
        <f>(Table1[[#This Row],[Profit]]/Table1[[#This Row],[Revenue]])</f>
        <v>0.38144329896907214</v>
      </c>
      <c r="AA51" s="1">
        <f>Table1[[#This Row],[Profit]]-Table1[[#This Row],[Total Shipping]]</f>
        <v>140.39999999999998</v>
      </c>
      <c r="AB51" s="3">
        <f>Table1[[#This Row],[Operating Profit]]/Table1[[#This Row],[Revenue]]</f>
        <v>0.20103092783505153</v>
      </c>
    </row>
    <row r="52" spans="1:28" x14ac:dyDescent="0.25">
      <c r="A52" t="s">
        <v>108</v>
      </c>
      <c r="B52">
        <v>481</v>
      </c>
      <c r="C52" t="s">
        <v>29</v>
      </c>
      <c r="D52" t="s">
        <v>30</v>
      </c>
      <c r="E52" t="s">
        <v>31</v>
      </c>
      <c r="F52" t="s">
        <v>76</v>
      </c>
      <c r="G52" t="str" cm="1">
        <f t="array" ref="G52">_xlfn.SWITCH(F52,"Acme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52" t="s">
        <v>45</v>
      </c>
      <c r="I52" t="s">
        <v>42</v>
      </c>
      <c r="J52" t="str" cm="1">
        <f t="array" ref="J52">_xlfn.SWITCH(I52,"P001","Laptop","P002","Server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2" s="1" cm="1">
        <f t="array" ref="K52">_xlfn.SWITCH(Table1[[#This Row],[Product ID]],"P001",220,"P002",150,"P003",130,"P004",70,"P005",200,"P006",40,"P007",25,"P008",20,"P009",190,"P010",530)</f>
        <v>40</v>
      </c>
      <c r="L52">
        <v>9</v>
      </c>
      <c r="M52" s="1">
        <f>Table1[[#This Row],[Unit Price]]*Table1[[#This Row],[Quantity]]</f>
        <v>360</v>
      </c>
      <c r="N52" s="2">
        <v>0.08</v>
      </c>
      <c r="O52" s="1">
        <f>Table1[[#This Row],[Gross Value]]*(1-Table1[[#This Row],[Discount]])</f>
        <v>331.2</v>
      </c>
      <c r="P52" s="2">
        <v>0.2</v>
      </c>
      <c r="Q52" s="1">
        <f>Table1[[#This Row],[Revenue]]*Table1[[#This Row],[VAT Rate]]</f>
        <v>66.239999999999995</v>
      </c>
      <c r="R52" s="1">
        <f>Table1[[#This Row],[Revenue]]+Table1[[#This Row],[VAT Charged]]</f>
        <v>397.44</v>
      </c>
      <c r="S52" s="1" cm="1">
        <f t="array" ref="S52">_xlfn.SWITCH(Table1[[#This Row],[Product ID]],"P001",140,"P002",80,"P003",72,"P004",30,"P005",110,"P006",24,"P007",14,"P008",12,"P009",115,"P010",360)</f>
        <v>24</v>
      </c>
      <c r="T52" s="1" cm="1">
        <f t="array" ref="T52">(_xlfn.SWITCH(Table1[[#This Row],[Product ID]],"P001",140,"P002",80,"P003",72,"P004",30,"P005",110,"P006",24,"P007",14,"P008",12,"P009",115,"P010",360))*Table1[[#This Row],[Quantity]]</f>
        <v>216</v>
      </c>
      <c r="U52" s="1" cm="1">
        <f t="array" ref="U52">_xlfn.SWITCH(Table1[[#This Row],[Product ID]],"P001",15,"P002",0,"P003",8,"P004",8,"P005",0,"P006",7,"P007",7,"P008",6,"P009",45,"P010",60)</f>
        <v>7</v>
      </c>
      <c r="V52" s="1">
        <f>Table1[[#This Row],[Shipping per Unit]]*Table1[[#This Row],[Quantity]]</f>
        <v>63</v>
      </c>
      <c r="W52" s="2">
        <f>IF(Table1[[#This Row],[Total Shipping]]&gt;0.1,0.2,0)</f>
        <v>0.2</v>
      </c>
      <c r="X52" s="4">
        <f>Table1[[#This Row],[Total Shipping]]*Table1[[#This Row],[VAT on Shipping]]</f>
        <v>12.600000000000001</v>
      </c>
      <c r="Y52" s="1">
        <f>Table1[[#This Row],[Revenue]]-Table1[[#This Row],[COGS]]</f>
        <v>115.19999999999999</v>
      </c>
      <c r="Z52" s="3">
        <f>(Table1[[#This Row],[Profit]]/Table1[[#This Row],[Revenue]])</f>
        <v>0.34782608695652173</v>
      </c>
      <c r="AA52" s="1">
        <f>Table1[[#This Row],[Profit]]-Table1[[#This Row],[Total Shipping]]</f>
        <v>52.199999999999989</v>
      </c>
      <c r="AB52" s="3">
        <f>Table1[[#This Row],[Operating Profit]]/Table1[[#This Row],[Revenue]]</f>
        <v>0.15760869565217389</v>
      </c>
    </row>
    <row r="53" spans="1:28" x14ac:dyDescent="0.25">
      <c r="A53" t="s">
        <v>109</v>
      </c>
      <c r="B53">
        <v>245</v>
      </c>
      <c r="C53" t="s">
        <v>35</v>
      </c>
      <c r="D53" t="s">
        <v>72</v>
      </c>
      <c r="E53" t="s">
        <v>40</v>
      </c>
      <c r="F53" t="s">
        <v>86</v>
      </c>
      <c r="G53" t="str" cm="1">
        <f t="array" ref="G53">_xlfn.SWITCH(F53,"Acme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53" t="s">
        <v>58</v>
      </c>
      <c r="I53" t="s">
        <v>91</v>
      </c>
      <c r="J53" t="str" cm="1">
        <f t="array" ref="J53">_xlfn.SWITCH(I53,"P001","Laptop","P002","Server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53" s="1" cm="1">
        <f t="array" ref="K53">_xlfn.SWITCH(Table1[[#This Row],[Product ID]],"P001",220,"P002",150,"P003",130,"P004",70,"P005",200,"P006",40,"P007",25,"P008",20,"P009",190,"P010",530)</f>
        <v>190</v>
      </c>
      <c r="L53">
        <v>10</v>
      </c>
      <c r="M53" s="1">
        <f>Table1[[#This Row],[Unit Price]]*Table1[[#This Row],[Quantity]]</f>
        <v>1900</v>
      </c>
      <c r="N53" s="2">
        <v>0.05</v>
      </c>
      <c r="O53" s="1">
        <f>Table1[[#This Row],[Gross Value]]*(1-Table1[[#This Row],[Discount]])</f>
        <v>1805</v>
      </c>
      <c r="P53" s="2">
        <v>0.2</v>
      </c>
      <c r="Q53" s="1">
        <f>Table1[[#This Row],[Revenue]]*Table1[[#This Row],[VAT Rate]]</f>
        <v>361</v>
      </c>
      <c r="R53" s="1">
        <f>Table1[[#This Row],[Revenue]]+Table1[[#This Row],[VAT Charged]]</f>
        <v>2166</v>
      </c>
      <c r="S53" s="1" cm="1">
        <f t="array" ref="S53">_xlfn.SWITCH(Table1[[#This Row],[Product ID]],"P001",140,"P002",80,"P003",72,"P004",30,"P005",110,"P006",24,"P007",14,"P008",12,"P009",115,"P010",360)</f>
        <v>115</v>
      </c>
      <c r="T53" s="1" cm="1">
        <f t="array" ref="T53">(_xlfn.SWITCH(Table1[[#This Row],[Product ID]],"P001",140,"P002",80,"P003",72,"P004",30,"P005",110,"P006",24,"P007",14,"P008",12,"P009",115,"P010",360))*Table1[[#This Row],[Quantity]]</f>
        <v>1150</v>
      </c>
      <c r="U53" s="1" cm="1">
        <f t="array" ref="U53">_xlfn.SWITCH(Table1[[#This Row],[Product ID]],"P001",15,"P002",0,"P003",8,"P004",8,"P005",0,"P006",7,"P007",7,"P008",6,"P009",45,"P010",60)</f>
        <v>45</v>
      </c>
      <c r="V53" s="1">
        <f>Table1[[#This Row],[Shipping per Unit]]*Table1[[#This Row],[Quantity]]</f>
        <v>450</v>
      </c>
      <c r="W53" s="2">
        <f>IF(Table1[[#This Row],[Total Shipping]]&gt;0.1,0.2,0)</f>
        <v>0.2</v>
      </c>
      <c r="X53" s="4">
        <f>Table1[[#This Row],[Total Shipping]]*Table1[[#This Row],[VAT on Shipping]]</f>
        <v>90</v>
      </c>
      <c r="Y53" s="1">
        <f>Table1[[#This Row],[Revenue]]-Table1[[#This Row],[COGS]]</f>
        <v>655</v>
      </c>
      <c r="Z53" s="3">
        <f>(Table1[[#This Row],[Profit]]/Table1[[#This Row],[Revenue]])</f>
        <v>0.36288088642659277</v>
      </c>
      <c r="AA53" s="1">
        <f>Table1[[#This Row],[Profit]]-Table1[[#This Row],[Total Shipping]]</f>
        <v>205</v>
      </c>
      <c r="AB53" s="3">
        <f>Table1[[#This Row],[Operating Profit]]/Table1[[#This Row],[Revenue]]</f>
        <v>0.11357340720221606</v>
      </c>
    </row>
    <row r="54" spans="1:28" x14ac:dyDescent="0.25">
      <c r="A54" t="s">
        <v>109</v>
      </c>
      <c r="B54">
        <v>282</v>
      </c>
      <c r="C54" t="s">
        <v>71</v>
      </c>
      <c r="D54" t="s">
        <v>57</v>
      </c>
      <c r="E54" t="s">
        <v>49</v>
      </c>
      <c r="F54" t="s">
        <v>98</v>
      </c>
      <c r="G54" t="str" cm="1">
        <f t="array" ref="G54">_xlfn.SWITCH(F54,"Acme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54" t="s">
        <v>58</v>
      </c>
      <c r="I54" t="s">
        <v>91</v>
      </c>
      <c r="J54" t="str" cm="1">
        <f t="array" ref="J54">_xlfn.SWITCH(I54,"P001","Laptop","P002","Server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54" s="1" cm="1">
        <f t="array" ref="K54">_xlfn.SWITCH(Table1[[#This Row],[Product ID]],"P001",220,"P002",150,"P003",130,"P004",70,"P005",200,"P006",40,"P007",25,"P008",20,"P009",190,"P010",530)</f>
        <v>190</v>
      </c>
      <c r="L54">
        <v>20</v>
      </c>
      <c r="M54" s="1">
        <f>Table1[[#This Row],[Unit Price]]*Table1[[#This Row],[Quantity]]</f>
        <v>3800</v>
      </c>
      <c r="N54" s="2">
        <v>0.05</v>
      </c>
      <c r="O54" s="1">
        <f>Table1[[#This Row],[Gross Value]]*(1-Table1[[#This Row],[Discount]])</f>
        <v>3610</v>
      </c>
      <c r="P54" s="2">
        <v>0.2</v>
      </c>
      <c r="Q54" s="1">
        <f>Table1[[#This Row],[Revenue]]*Table1[[#This Row],[VAT Rate]]</f>
        <v>722</v>
      </c>
      <c r="R54" s="1">
        <f>Table1[[#This Row],[Revenue]]+Table1[[#This Row],[VAT Charged]]</f>
        <v>4332</v>
      </c>
      <c r="S54" s="1" cm="1">
        <f t="array" ref="S54">_xlfn.SWITCH(Table1[[#This Row],[Product ID]],"P001",140,"P002",80,"P003",72,"P004",30,"P005",110,"P006",24,"P007",14,"P008",12,"P009",115,"P010",360)</f>
        <v>115</v>
      </c>
      <c r="T54" s="1" cm="1">
        <f t="array" ref="T54">(_xlfn.SWITCH(Table1[[#This Row],[Product ID]],"P001",140,"P002",80,"P003",72,"P004",30,"P005",110,"P006",24,"P007",14,"P008",12,"P009",115,"P010",360))*Table1[[#This Row],[Quantity]]</f>
        <v>2300</v>
      </c>
      <c r="U54" s="1" cm="1">
        <f t="array" ref="U54">_xlfn.SWITCH(Table1[[#This Row],[Product ID]],"P001",15,"P002",0,"P003",8,"P004",8,"P005",0,"P006",7,"P007",7,"P008",6,"P009",45,"P010",60)</f>
        <v>45</v>
      </c>
      <c r="V54" s="1">
        <f>Table1[[#This Row],[Shipping per Unit]]*Table1[[#This Row],[Quantity]]</f>
        <v>900</v>
      </c>
      <c r="W54" s="2">
        <f>IF(Table1[[#This Row],[Total Shipping]]&gt;0.1,0.2,0)</f>
        <v>0.2</v>
      </c>
      <c r="X54" s="4">
        <f>Table1[[#This Row],[Total Shipping]]*Table1[[#This Row],[VAT on Shipping]]</f>
        <v>180</v>
      </c>
      <c r="Y54" s="1">
        <f>Table1[[#This Row],[Revenue]]-Table1[[#This Row],[COGS]]</f>
        <v>1310</v>
      </c>
      <c r="Z54" s="3">
        <f>(Table1[[#This Row],[Profit]]/Table1[[#This Row],[Revenue]])</f>
        <v>0.36288088642659277</v>
      </c>
      <c r="AA54" s="1">
        <f>Table1[[#This Row],[Profit]]-Table1[[#This Row],[Total Shipping]]</f>
        <v>410</v>
      </c>
      <c r="AB54" s="3">
        <f>Table1[[#This Row],[Operating Profit]]/Table1[[#This Row],[Revenue]]</f>
        <v>0.11357340720221606</v>
      </c>
    </row>
    <row r="55" spans="1:28" x14ac:dyDescent="0.25">
      <c r="A55" t="s">
        <v>109</v>
      </c>
      <c r="B55">
        <v>343</v>
      </c>
      <c r="C55" t="s">
        <v>56</v>
      </c>
      <c r="D55" t="s">
        <v>30</v>
      </c>
      <c r="E55" t="s">
        <v>31</v>
      </c>
      <c r="F55" t="s">
        <v>79</v>
      </c>
      <c r="G55" t="str" cm="1">
        <f t="array" ref="G55">_xlfn.SWITCH(F55,"Acme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55" t="s">
        <v>45</v>
      </c>
      <c r="I55" t="s">
        <v>46</v>
      </c>
      <c r="J55" t="str" cm="1">
        <f t="array" ref="J55">_xlfn.SWITCH(I55,"P001","Laptop","P002","Server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5" s="1" cm="1">
        <f t="array" ref="K55">_xlfn.SWITCH(Table1[[#This Row],[Product ID]],"P001",220,"P002",150,"P003",130,"P004",70,"P005",200,"P006",40,"P007",25,"P008",20,"P009",190,"P010",530)</f>
        <v>530</v>
      </c>
      <c r="L55">
        <v>10</v>
      </c>
      <c r="M55" s="1">
        <f>Table1[[#This Row],[Unit Price]]*Table1[[#This Row],[Quantity]]</f>
        <v>5300</v>
      </c>
      <c r="N55" s="2">
        <v>0.03</v>
      </c>
      <c r="O55" s="1">
        <f>Table1[[#This Row],[Gross Value]]*(1-Table1[[#This Row],[Discount]])</f>
        <v>5141</v>
      </c>
      <c r="P55" s="2">
        <v>0.2</v>
      </c>
      <c r="Q55" s="1">
        <f>Table1[[#This Row],[Revenue]]*Table1[[#This Row],[VAT Rate]]</f>
        <v>1028.2</v>
      </c>
      <c r="R55" s="1">
        <f>Table1[[#This Row],[Revenue]]+Table1[[#This Row],[VAT Charged]]</f>
        <v>6169.2</v>
      </c>
      <c r="S55" s="1" cm="1">
        <f t="array" ref="S55">_xlfn.SWITCH(Table1[[#This Row],[Product ID]],"P001",140,"P002",80,"P003",72,"P004",30,"P005",110,"P006",24,"P007",14,"P008",12,"P009",115,"P010",360)</f>
        <v>360</v>
      </c>
      <c r="T55" s="1" cm="1">
        <f t="array" ref="T55">(_xlfn.SWITCH(Table1[[#This Row],[Product ID]],"P001",140,"P002",80,"P003",72,"P004",30,"P005",110,"P006",24,"P007",14,"P008",12,"P009",115,"P010",360))*Table1[[#This Row],[Quantity]]</f>
        <v>3600</v>
      </c>
      <c r="U55" s="1" cm="1">
        <f t="array" ref="U55">_xlfn.SWITCH(Table1[[#This Row],[Product ID]],"P001",15,"P002",0,"P003",8,"P004",8,"P005",0,"P006",7,"P007",7,"P008",6,"P009",45,"P010",60)</f>
        <v>60</v>
      </c>
      <c r="V55" s="1">
        <f>Table1[[#This Row],[Shipping per Unit]]*Table1[[#This Row],[Quantity]]</f>
        <v>600</v>
      </c>
      <c r="W55" s="2">
        <f>IF(Table1[[#This Row],[Total Shipping]]&gt;0.1,0.2,0)</f>
        <v>0.2</v>
      </c>
      <c r="X55" s="4">
        <f>Table1[[#This Row],[Total Shipping]]*Table1[[#This Row],[VAT on Shipping]]</f>
        <v>120</v>
      </c>
      <c r="Y55" s="1">
        <f>Table1[[#This Row],[Revenue]]-Table1[[#This Row],[COGS]]</f>
        <v>1541</v>
      </c>
      <c r="Z55" s="3">
        <f>(Table1[[#This Row],[Profit]]/Table1[[#This Row],[Revenue]])</f>
        <v>0.29974713090838356</v>
      </c>
      <c r="AA55" s="1">
        <f>Table1[[#This Row],[Profit]]-Table1[[#This Row],[Total Shipping]]</f>
        <v>941</v>
      </c>
      <c r="AB55" s="3">
        <f>Table1[[#This Row],[Operating Profit]]/Table1[[#This Row],[Revenue]]</f>
        <v>0.18303831939311418</v>
      </c>
    </row>
    <row r="56" spans="1:28" x14ac:dyDescent="0.25">
      <c r="A56" t="s">
        <v>110</v>
      </c>
      <c r="B56">
        <v>17</v>
      </c>
      <c r="C56" t="s">
        <v>29</v>
      </c>
      <c r="D56" t="s">
        <v>39</v>
      </c>
      <c r="E56" t="s">
        <v>40</v>
      </c>
      <c r="F56" t="s">
        <v>41</v>
      </c>
      <c r="G56" t="str" cm="1">
        <f t="array" ref="G56">_xlfn.SWITCH(F56,"Acme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56" t="s">
        <v>45</v>
      </c>
      <c r="I56" t="s">
        <v>42</v>
      </c>
      <c r="J56" t="str" cm="1">
        <f t="array" ref="J56">_xlfn.SWITCH(I56,"P001","Laptop","P002","Server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6" s="1" cm="1">
        <f t="array" ref="K56">_xlfn.SWITCH(Table1[[#This Row],[Product ID]],"P001",220,"P002",150,"P003",130,"P004",70,"P005",200,"P006",40,"P007",25,"P008",20,"P009",190,"P010",530)</f>
        <v>40</v>
      </c>
      <c r="L56">
        <v>17</v>
      </c>
      <c r="M56" s="1">
        <f>Table1[[#This Row],[Unit Price]]*Table1[[#This Row],[Quantity]]</f>
        <v>680</v>
      </c>
      <c r="N56" s="2">
        <v>7.0000000000000007E-2</v>
      </c>
      <c r="O56" s="1">
        <f>Table1[[#This Row],[Gross Value]]*(1-Table1[[#This Row],[Discount]])</f>
        <v>632.4</v>
      </c>
      <c r="P56" s="2">
        <v>0.2</v>
      </c>
      <c r="Q56" s="1">
        <f>Table1[[#This Row],[Revenue]]*Table1[[#This Row],[VAT Rate]]</f>
        <v>126.48</v>
      </c>
      <c r="R56" s="1">
        <f>Table1[[#This Row],[Revenue]]+Table1[[#This Row],[VAT Charged]]</f>
        <v>758.88</v>
      </c>
      <c r="S56" s="1" cm="1">
        <f t="array" ref="S56">_xlfn.SWITCH(Table1[[#This Row],[Product ID]],"P001",140,"P002",80,"P003",72,"P004",30,"P005",110,"P006",24,"P007",14,"P008",12,"P009",115,"P010",360)</f>
        <v>24</v>
      </c>
      <c r="T56" s="1" cm="1">
        <f t="array" ref="T56">(_xlfn.SWITCH(Table1[[#This Row],[Product ID]],"P001",140,"P002",80,"P003",72,"P004",30,"P005",110,"P006",24,"P007",14,"P008",12,"P009",115,"P010",360))*Table1[[#This Row],[Quantity]]</f>
        <v>408</v>
      </c>
      <c r="U56" s="1" cm="1">
        <f t="array" ref="U56">_xlfn.SWITCH(Table1[[#This Row],[Product ID]],"P001",15,"P002",0,"P003",8,"P004",8,"P005",0,"P006",7,"P007",7,"P008",6,"P009",45,"P010",60)</f>
        <v>7</v>
      </c>
      <c r="V56" s="1">
        <f>Table1[[#This Row],[Shipping per Unit]]*Table1[[#This Row],[Quantity]]</f>
        <v>119</v>
      </c>
      <c r="W56" s="2">
        <f>IF(Table1[[#This Row],[Total Shipping]]&gt;0.1,0.2,0)</f>
        <v>0.2</v>
      </c>
      <c r="X56" s="4">
        <f>Table1[[#This Row],[Total Shipping]]*Table1[[#This Row],[VAT on Shipping]]</f>
        <v>23.8</v>
      </c>
      <c r="Y56" s="1">
        <f>Table1[[#This Row],[Revenue]]-Table1[[#This Row],[COGS]]</f>
        <v>224.39999999999998</v>
      </c>
      <c r="Z56" s="3">
        <f>(Table1[[#This Row],[Profit]]/Table1[[#This Row],[Revenue]])</f>
        <v>0.35483870967741932</v>
      </c>
      <c r="AA56" s="1">
        <f>Table1[[#This Row],[Profit]]-Table1[[#This Row],[Total Shipping]]</f>
        <v>105.39999999999998</v>
      </c>
      <c r="AB56" s="3">
        <f>Table1[[#This Row],[Operating Profit]]/Table1[[#This Row],[Revenue]]</f>
        <v>0.16666666666666663</v>
      </c>
    </row>
    <row r="57" spans="1:28" x14ac:dyDescent="0.25">
      <c r="A57" t="s">
        <v>110</v>
      </c>
      <c r="B57">
        <v>719</v>
      </c>
      <c r="C57" t="s">
        <v>56</v>
      </c>
      <c r="D57" t="s">
        <v>67</v>
      </c>
      <c r="E57" t="s">
        <v>40</v>
      </c>
      <c r="F57" t="s">
        <v>76</v>
      </c>
      <c r="G57" t="str" cm="1">
        <f t="array" ref="G57">_xlfn.SWITCH(F57,"Acme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57" t="s">
        <v>33</v>
      </c>
      <c r="I57" t="s">
        <v>55</v>
      </c>
      <c r="J57" t="str" cm="1">
        <f t="array" ref="J57">_xlfn.SWITCH(I57,"P001","Laptop","P002","Server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7" s="1" cm="1">
        <f t="array" ref="K57">_xlfn.SWITCH(Table1[[#This Row],[Product ID]],"P001",220,"P002",150,"P003",130,"P004",70,"P005",200,"P006",40,"P007",25,"P008",20,"P009",190,"P010",530)</f>
        <v>70</v>
      </c>
      <c r="L57">
        <v>19</v>
      </c>
      <c r="M57" s="1">
        <f>Table1[[#This Row],[Unit Price]]*Table1[[#This Row],[Quantity]]</f>
        <v>1330</v>
      </c>
      <c r="N57" s="2">
        <v>0.08</v>
      </c>
      <c r="O57" s="1">
        <f>Table1[[#This Row],[Gross Value]]*(1-Table1[[#This Row],[Discount]])</f>
        <v>1223.6000000000001</v>
      </c>
      <c r="P57" s="2">
        <v>0.2</v>
      </c>
      <c r="Q57" s="1">
        <f>Table1[[#This Row],[Revenue]]*Table1[[#This Row],[VAT Rate]]</f>
        <v>244.72000000000003</v>
      </c>
      <c r="R57" s="1">
        <f>Table1[[#This Row],[Revenue]]+Table1[[#This Row],[VAT Charged]]</f>
        <v>1468.3200000000002</v>
      </c>
      <c r="S57" s="1" cm="1">
        <f t="array" ref="S57">_xlfn.SWITCH(Table1[[#This Row],[Product ID]],"P001",140,"P002",80,"P003",72,"P004",30,"P005",110,"P006",24,"P007",14,"P008",12,"P009",115,"P010",360)</f>
        <v>30</v>
      </c>
      <c r="T57" s="1" cm="1">
        <f t="array" ref="T57">(_xlfn.SWITCH(Table1[[#This Row],[Product ID]],"P001",140,"P002",80,"P003",72,"P004",30,"P005",110,"P006",24,"P007",14,"P008",12,"P009",115,"P010",360))*Table1[[#This Row],[Quantity]]</f>
        <v>570</v>
      </c>
      <c r="U57" s="1" cm="1">
        <f t="array" ref="U57">_xlfn.SWITCH(Table1[[#This Row],[Product ID]],"P001",15,"P002",0,"P003",8,"P004",8,"P005",0,"P006",7,"P007",7,"P008",6,"P009",45,"P010",60)</f>
        <v>8</v>
      </c>
      <c r="V57" s="1">
        <f>Table1[[#This Row],[Shipping per Unit]]*Table1[[#This Row],[Quantity]]</f>
        <v>152</v>
      </c>
      <c r="W57" s="2">
        <f>IF(Table1[[#This Row],[Total Shipping]]&gt;0.1,0.2,0)</f>
        <v>0.2</v>
      </c>
      <c r="X57" s="4">
        <f>Table1[[#This Row],[Total Shipping]]*Table1[[#This Row],[VAT on Shipping]]</f>
        <v>30.400000000000002</v>
      </c>
      <c r="Y57" s="1">
        <f>Table1[[#This Row],[Revenue]]-Table1[[#This Row],[COGS]]</f>
        <v>653.60000000000014</v>
      </c>
      <c r="Z57" s="3">
        <f>(Table1[[#This Row],[Profit]]/Table1[[#This Row],[Revenue]])</f>
        <v>0.53416149068322982</v>
      </c>
      <c r="AA57" s="1">
        <f>Table1[[#This Row],[Profit]]-Table1[[#This Row],[Total Shipping]]</f>
        <v>501.60000000000014</v>
      </c>
      <c r="AB57" s="3">
        <f>Table1[[#This Row],[Operating Profit]]/Table1[[#This Row],[Revenue]]</f>
        <v>0.40993788819875782</v>
      </c>
    </row>
    <row r="58" spans="1:28" x14ac:dyDescent="0.25">
      <c r="A58" t="s">
        <v>110</v>
      </c>
      <c r="B58">
        <v>900</v>
      </c>
      <c r="C58" t="s">
        <v>83</v>
      </c>
      <c r="D58" t="s">
        <v>39</v>
      </c>
      <c r="E58" t="s">
        <v>31</v>
      </c>
      <c r="F58" t="s">
        <v>74</v>
      </c>
      <c r="G58" t="str" cm="1">
        <f t="array" ref="G58">_xlfn.SWITCH(F58,"Acme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58" t="s">
        <v>33</v>
      </c>
      <c r="I58" t="s">
        <v>46</v>
      </c>
      <c r="J58" t="str" cm="1">
        <f t="array" ref="J58">_xlfn.SWITCH(I58,"P001","Laptop","P002","Server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8" s="1" cm="1">
        <f t="array" ref="K58">_xlfn.SWITCH(Table1[[#This Row],[Product ID]],"P001",220,"P002",150,"P003",130,"P004",70,"P005",200,"P006",40,"P007",25,"P008",20,"P009",190,"P010",530)</f>
        <v>530</v>
      </c>
      <c r="L58">
        <v>11</v>
      </c>
      <c r="M58" s="1">
        <f>Table1[[#This Row],[Unit Price]]*Table1[[#This Row],[Quantity]]</f>
        <v>5830</v>
      </c>
      <c r="N58" s="2">
        <v>0.02</v>
      </c>
      <c r="O58" s="1">
        <f>Table1[[#This Row],[Gross Value]]*(1-Table1[[#This Row],[Discount]])</f>
        <v>5713.4</v>
      </c>
      <c r="P58" s="2">
        <v>0.2</v>
      </c>
      <c r="Q58" s="1">
        <f>Table1[[#This Row],[Revenue]]*Table1[[#This Row],[VAT Rate]]</f>
        <v>1142.68</v>
      </c>
      <c r="R58" s="1">
        <f>Table1[[#This Row],[Revenue]]+Table1[[#This Row],[VAT Charged]]</f>
        <v>6856.08</v>
      </c>
      <c r="S58" s="1" cm="1">
        <f t="array" ref="S58">_xlfn.SWITCH(Table1[[#This Row],[Product ID]],"P001",140,"P002",80,"P003",72,"P004",30,"P005",110,"P006",24,"P007",14,"P008",12,"P009",115,"P010",360)</f>
        <v>360</v>
      </c>
      <c r="T58" s="1" cm="1">
        <f t="array" ref="T58">(_xlfn.SWITCH(Table1[[#This Row],[Product ID]],"P001",140,"P002",80,"P003",72,"P004",30,"P005",110,"P006",24,"P007",14,"P008",12,"P009",115,"P010",360))*Table1[[#This Row],[Quantity]]</f>
        <v>3960</v>
      </c>
      <c r="U58" s="1" cm="1">
        <f t="array" ref="U58">_xlfn.SWITCH(Table1[[#This Row],[Product ID]],"P001",15,"P002",0,"P003",8,"P004",8,"P005",0,"P006",7,"P007",7,"P008",6,"P009",45,"P010",60)</f>
        <v>60</v>
      </c>
      <c r="V58" s="1">
        <f>Table1[[#This Row],[Shipping per Unit]]*Table1[[#This Row],[Quantity]]</f>
        <v>660</v>
      </c>
      <c r="W58" s="2">
        <f>IF(Table1[[#This Row],[Total Shipping]]&gt;0.1,0.2,0)</f>
        <v>0.2</v>
      </c>
      <c r="X58" s="4">
        <f>Table1[[#This Row],[Total Shipping]]*Table1[[#This Row],[VAT on Shipping]]</f>
        <v>132</v>
      </c>
      <c r="Y58" s="1">
        <f>Table1[[#This Row],[Revenue]]-Table1[[#This Row],[COGS]]</f>
        <v>1753.3999999999996</v>
      </c>
      <c r="Z58" s="3">
        <f>(Table1[[#This Row],[Profit]]/Table1[[#This Row],[Revenue]])</f>
        <v>0.30689256834809392</v>
      </c>
      <c r="AA58" s="1">
        <f>Table1[[#This Row],[Profit]]-Table1[[#This Row],[Total Shipping]]</f>
        <v>1093.3999999999996</v>
      </c>
      <c r="AB58" s="3">
        <f>Table1[[#This Row],[Operating Profit]]/Table1[[#This Row],[Revenue]]</f>
        <v>0.19137466307277623</v>
      </c>
    </row>
    <row r="59" spans="1:28" x14ac:dyDescent="0.25">
      <c r="A59" t="s">
        <v>111</v>
      </c>
      <c r="B59">
        <v>1</v>
      </c>
      <c r="C59" t="s">
        <v>65</v>
      </c>
      <c r="D59" t="s">
        <v>63</v>
      </c>
      <c r="E59" t="s">
        <v>49</v>
      </c>
      <c r="F59" t="s">
        <v>79</v>
      </c>
      <c r="G59" t="str" cm="1">
        <f t="array" ref="G59">_xlfn.SWITCH(F59,"Acme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59" t="s">
        <v>33</v>
      </c>
      <c r="I59" t="s">
        <v>42</v>
      </c>
      <c r="J59" t="str" cm="1">
        <f t="array" ref="J59">_xlfn.SWITCH(I59,"P001","Laptop","P002","Server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9" s="1" cm="1">
        <f t="array" ref="K59">_xlfn.SWITCH(Table1[[#This Row],[Product ID]],"P001",220,"P002",150,"P003",130,"P004",70,"P005",200,"P006",40,"P007",25,"P008",20,"P009",190,"P010",530)</f>
        <v>40</v>
      </c>
      <c r="L59">
        <v>18</v>
      </c>
      <c r="M59" s="1">
        <f>Table1[[#This Row],[Unit Price]]*Table1[[#This Row],[Quantity]]</f>
        <v>720</v>
      </c>
      <c r="N59" s="2">
        <v>0.02</v>
      </c>
      <c r="O59" s="1">
        <f>Table1[[#This Row],[Gross Value]]*(1-Table1[[#This Row],[Discount]])</f>
        <v>705.6</v>
      </c>
      <c r="P59" s="2">
        <v>0.2</v>
      </c>
      <c r="Q59" s="1">
        <f>Table1[[#This Row],[Revenue]]*Table1[[#This Row],[VAT Rate]]</f>
        <v>141.12</v>
      </c>
      <c r="R59" s="1">
        <f>Table1[[#This Row],[Revenue]]+Table1[[#This Row],[VAT Charged]]</f>
        <v>846.72</v>
      </c>
      <c r="S59" s="1" cm="1">
        <f t="array" ref="S59">_xlfn.SWITCH(Table1[[#This Row],[Product ID]],"P001",140,"P002",80,"P003",72,"P004",30,"P005",110,"P006",24,"P007",14,"P008",12,"P009",115,"P010",360)</f>
        <v>24</v>
      </c>
      <c r="T59" s="1" cm="1">
        <f t="array" ref="T59">(_xlfn.SWITCH(Table1[[#This Row],[Product ID]],"P001",140,"P002",80,"P003",72,"P004",30,"P005",110,"P006",24,"P007",14,"P008",12,"P009",115,"P010",360))*Table1[[#This Row],[Quantity]]</f>
        <v>432</v>
      </c>
      <c r="U59" s="1" cm="1">
        <f t="array" ref="U59">_xlfn.SWITCH(Table1[[#This Row],[Product ID]],"P001",15,"P002",0,"P003",8,"P004",8,"P005",0,"P006",7,"P007",7,"P008",6,"P009",45,"P010",60)</f>
        <v>7</v>
      </c>
      <c r="V59" s="1">
        <f>Table1[[#This Row],[Shipping per Unit]]*Table1[[#This Row],[Quantity]]</f>
        <v>126</v>
      </c>
      <c r="W59" s="2">
        <f>IF(Table1[[#This Row],[Total Shipping]]&gt;0.1,0.2,0)</f>
        <v>0.2</v>
      </c>
      <c r="X59" s="4">
        <f>Table1[[#This Row],[Total Shipping]]*Table1[[#This Row],[VAT on Shipping]]</f>
        <v>25.200000000000003</v>
      </c>
      <c r="Y59" s="1">
        <f>Table1[[#This Row],[Revenue]]-Table1[[#This Row],[COGS]]</f>
        <v>273.60000000000002</v>
      </c>
      <c r="Z59" s="3">
        <f>(Table1[[#This Row],[Profit]]/Table1[[#This Row],[Revenue]])</f>
        <v>0.38775510204081637</v>
      </c>
      <c r="AA59" s="1">
        <f>Table1[[#This Row],[Profit]]-Table1[[#This Row],[Total Shipping]]</f>
        <v>147.60000000000002</v>
      </c>
      <c r="AB59" s="3">
        <f>Table1[[#This Row],[Operating Profit]]/Table1[[#This Row],[Revenue]]</f>
        <v>0.20918367346938779</v>
      </c>
    </row>
    <row r="60" spans="1:28" x14ac:dyDescent="0.25">
      <c r="A60" t="s">
        <v>111</v>
      </c>
      <c r="B60">
        <v>150</v>
      </c>
      <c r="C60" t="s">
        <v>62</v>
      </c>
      <c r="D60" t="s">
        <v>72</v>
      </c>
      <c r="E60" t="s">
        <v>31</v>
      </c>
      <c r="F60" t="s">
        <v>84</v>
      </c>
      <c r="G60" t="str" cm="1">
        <f t="array" ref="G60">_xlfn.SWITCH(F60,"Acme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60" t="s">
        <v>45</v>
      </c>
      <c r="I60" t="s">
        <v>60</v>
      </c>
      <c r="J60" t="str" cm="1">
        <f t="array" ref="J60">_xlfn.SWITCH(I60,"P001","Laptop","P002","Server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0" s="1" cm="1">
        <f t="array" ref="K60">_xlfn.SWITCH(Table1[[#This Row],[Product ID]],"P001",220,"P002",150,"P003",130,"P004",70,"P005",200,"P006",40,"P007",25,"P008",20,"P009",190,"P010",530)</f>
        <v>25</v>
      </c>
      <c r="L60">
        <v>13</v>
      </c>
      <c r="M60" s="1">
        <f>Table1[[#This Row],[Unit Price]]*Table1[[#This Row],[Quantity]]</f>
        <v>325</v>
      </c>
      <c r="N60" s="2">
        <v>0.04</v>
      </c>
      <c r="O60" s="1">
        <f>Table1[[#This Row],[Gross Value]]*(1-Table1[[#This Row],[Discount]])</f>
        <v>312</v>
      </c>
      <c r="P60" s="2">
        <v>0.2</v>
      </c>
      <c r="Q60" s="1">
        <f>Table1[[#This Row],[Revenue]]*Table1[[#This Row],[VAT Rate]]</f>
        <v>62.400000000000006</v>
      </c>
      <c r="R60" s="1">
        <f>Table1[[#This Row],[Revenue]]+Table1[[#This Row],[VAT Charged]]</f>
        <v>374.4</v>
      </c>
      <c r="S60" s="1" cm="1">
        <f t="array" ref="S60">_xlfn.SWITCH(Table1[[#This Row],[Product ID]],"P001",140,"P002",80,"P003",72,"P004",30,"P005",110,"P006",24,"P007",14,"P008",12,"P009",115,"P010",360)</f>
        <v>14</v>
      </c>
      <c r="T60" s="1" cm="1">
        <f t="array" ref="T60">(_xlfn.SWITCH(Table1[[#This Row],[Product ID]],"P001",140,"P002",80,"P003",72,"P004",30,"P005",110,"P006",24,"P007",14,"P008",12,"P009",115,"P010",360))*Table1[[#This Row],[Quantity]]</f>
        <v>182</v>
      </c>
      <c r="U60" s="1" cm="1">
        <f t="array" ref="U60">_xlfn.SWITCH(Table1[[#This Row],[Product ID]],"P001",15,"P002",0,"P003",8,"P004",8,"P005",0,"P006",7,"P007",7,"P008",6,"P009",45,"P010",60)</f>
        <v>7</v>
      </c>
      <c r="V60" s="1">
        <f>Table1[[#This Row],[Shipping per Unit]]*Table1[[#This Row],[Quantity]]</f>
        <v>91</v>
      </c>
      <c r="W60" s="2">
        <f>IF(Table1[[#This Row],[Total Shipping]]&gt;0.1,0.2,0)</f>
        <v>0.2</v>
      </c>
      <c r="X60" s="4">
        <f>Table1[[#This Row],[Total Shipping]]*Table1[[#This Row],[VAT on Shipping]]</f>
        <v>18.2</v>
      </c>
      <c r="Y60" s="1">
        <f>Table1[[#This Row],[Revenue]]-Table1[[#This Row],[COGS]]</f>
        <v>130</v>
      </c>
      <c r="Z60" s="3">
        <f>(Table1[[#This Row],[Profit]]/Table1[[#This Row],[Revenue]])</f>
        <v>0.41666666666666669</v>
      </c>
      <c r="AA60" s="1">
        <f>Table1[[#This Row],[Profit]]-Table1[[#This Row],[Total Shipping]]</f>
        <v>39</v>
      </c>
      <c r="AB60" s="3">
        <f>Table1[[#This Row],[Operating Profit]]/Table1[[#This Row],[Revenue]]</f>
        <v>0.125</v>
      </c>
    </row>
    <row r="61" spans="1:28" x14ac:dyDescent="0.25">
      <c r="A61" t="s">
        <v>111</v>
      </c>
      <c r="B61">
        <v>536</v>
      </c>
      <c r="C61" t="s">
        <v>29</v>
      </c>
      <c r="D61" t="s">
        <v>36</v>
      </c>
      <c r="E61" t="s">
        <v>40</v>
      </c>
      <c r="F61" t="s">
        <v>50</v>
      </c>
      <c r="G61" t="str" cm="1">
        <f t="array" ref="G61">_xlfn.SWITCH(F61,"Acme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61" t="s">
        <v>58</v>
      </c>
      <c r="I61" t="s">
        <v>46</v>
      </c>
      <c r="J61" t="str" cm="1">
        <f t="array" ref="J61">_xlfn.SWITCH(I61,"P001","Laptop","P002","Server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1" s="1" cm="1">
        <f t="array" ref="K61">_xlfn.SWITCH(Table1[[#This Row],[Product ID]],"P001",220,"P002",150,"P003",130,"P004",70,"P005",200,"P006",40,"P007",25,"P008",20,"P009",190,"P010",530)</f>
        <v>530</v>
      </c>
      <c r="L61">
        <v>12</v>
      </c>
      <c r="M61" s="1">
        <f>Table1[[#This Row],[Unit Price]]*Table1[[#This Row],[Quantity]]</f>
        <v>6360</v>
      </c>
      <c r="N61" s="2">
        <v>0.03</v>
      </c>
      <c r="O61" s="1">
        <f>Table1[[#This Row],[Gross Value]]*(1-Table1[[#This Row],[Discount]])</f>
        <v>6169.2</v>
      </c>
      <c r="P61" s="2">
        <v>0.2</v>
      </c>
      <c r="Q61" s="1">
        <f>Table1[[#This Row],[Revenue]]*Table1[[#This Row],[VAT Rate]]</f>
        <v>1233.8400000000001</v>
      </c>
      <c r="R61" s="1">
        <f>Table1[[#This Row],[Revenue]]+Table1[[#This Row],[VAT Charged]]</f>
        <v>7403.04</v>
      </c>
      <c r="S61" s="1" cm="1">
        <f t="array" ref="S61">_xlfn.SWITCH(Table1[[#This Row],[Product ID]],"P001",140,"P002",80,"P003",72,"P004",30,"P005",110,"P006",24,"P007",14,"P008",12,"P009",115,"P010",360)</f>
        <v>360</v>
      </c>
      <c r="T61" s="1" cm="1">
        <f t="array" ref="T61">(_xlfn.SWITCH(Table1[[#This Row],[Product ID]],"P001",140,"P002",80,"P003",72,"P004",30,"P005",110,"P006",24,"P007",14,"P008",12,"P009",115,"P010",360))*Table1[[#This Row],[Quantity]]</f>
        <v>4320</v>
      </c>
      <c r="U61" s="1" cm="1">
        <f t="array" ref="U61">_xlfn.SWITCH(Table1[[#This Row],[Product ID]],"P001",15,"P002",0,"P003",8,"P004",8,"P005",0,"P006",7,"P007",7,"P008",6,"P009",45,"P010",60)</f>
        <v>60</v>
      </c>
      <c r="V61" s="1">
        <f>Table1[[#This Row],[Shipping per Unit]]*Table1[[#This Row],[Quantity]]</f>
        <v>720</v>
      </c>
      <c r="W61" s="2">
        <f>IF(Table1[[#This Row],[Total Shipping]]&gt;0.1,0.2,0)</f>
        <v>0.2</v>
      </c>
      <c r="X61" s="4">
        <f>Table1[[#This Row],[Total Shipping]]*Table1[[#This Row],[VAT on Shipping]]</f>
        <v>144</v>
      </c>
      <c r="Y61" s="1">
        <f>Table1[[#This Row],[Revenue]]-Table1[[#This Row],[COGS]]</f>
        <v>1849.1999999999998</v>
      </c>
      <c r="Z61" s="3">
        <f>(Table1[[#This Row],[Profit]]/Table1[[#This Row],[Revenue]])</f>
        <v>0.29974713090838356</v>
      </c>
      <c r="AA61" s="1">
        <f>Table1[[#This Row],[Profit]]-Table1[[#This Row],[Total Shipping]]</f>
        <v>1129.1999999999998</v>
      </c>
      <c r="AB61" s="3">
        <f>Table1[[#This Row],[Operating Profit]]/Table1[[#This Row],[Revenue]]</f>
        <v>0.18303831939311416</v>
      </c>
    </row>
    <row r="62" spans="1:28" x14ac:dyDescent="0.25">
      <c r="A62" t="s">
        <v>111</v>
      </c>
      <c r="B62">
        <v>568</v>
      </c>
      <c r="C62" t="s">
        <v>71</v>
      </c>
      <c r="D62" t="s">
        <v>72</v>
      </c>
      <c r="E62" t="s">
        <v>40</v>
      </c>
      <c r="F62" t="s">
        <v>66</v>
      </c>
      <c r="G62" t="str" cm="1">
        <f t="array" ref="G62">_xlfn.SWITCH(F62,"Acme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62" t="s">
        <v>45</v>
      </c>
      <c r="I62" t="s">
        <v>42</v>
      </c>
      <c r="J62" t="str" cm="1">
        <f t="array" ref="J62">_xlfn.SWITCH(I62,"P001","Laptop","P002","Server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2" s="1" cm="1">
        <f t="array" ref="K62">_xlfn.SWITCH(Table1[[#This Row],[Product ID]],"P001",220,"P002",150,"P003",130,"P004",70,"P005",200,"P006",40,"P007",25,"P008",20,"P009",190,"P010",530)</f>
        <v>40</v>
      </c>
      <c r="L62">
        <v>14</v>
      </c>
      <c r="M62" s="1">
        <f>Table1[[#This Row],[Unit Price]]*Table1[[#This Row],[Quantity]]</f>
        <v>560</v>
      </c>
      <c r="N62" s="2">
        <v>0.03</v>
      </c>
      <c r="O62" s="1">
        <f>Table1[[#This Row],[Gross Value]]*(1-Table1[[#This Row],[Discount]])</f>
        <v>543.19999999999993</v>
      </c>
      <c r="P62" s="2">
        <v>0.2</v>
      </c>
      <c r="Q62" s="1">
        <f>Table1[[#This Row],[Revenue]]*Table1[[#This Row],[VAT Rate]]</f>
        <v>108.63999999999999</v>
      </c>
      <c r="R62" s="1">
        <f>Table1[[#This Row],[Revenue]]+Table1[[#This Row],[VAT Charged]]</f>
        <v>651.83999999999992</v>
      </c>
      <c r="S62" s="1" cm="1">
        <f t="array" ref="S62">_xlfn.SWITCH(Table1[[#This Row],[Product ID]],"P001",140,"P002",80,"P003",72,"P004",30,"P005",110,"P006",24,"P007",14,"P008",12,"P009",115,"P010",360)</f>
        <v>24</v>
      </c>
      <c r="T62" s="1" cm="1">
        <f t="array" ref="T62">(_xlfn.SWITCH(Table1[[#This Row],[Product ID]],"P001",140,"P002",80,"P003",72,"P004",30,"P005",110,"P006",24,"P007",14,"P008",12,"P009",115,"P010",360))*Table1[[#This Row],[Quantity]]</f>
        <v>336</v>
      </c>
      <c r="U62" s="1" cm="1">
        <f t="array" ref="U62">_xlfn.SWITCH(Table1[[#This Row],[Product ID]],"P001",15,"P002",0,"P003",8,"P004",8,"P005",0,"P006",7,"P007",7,"P008",6,"P009",45,"P010",60)</f>
        <v>7</v>
      </c>
      <c r="V62" s="1">
        <f>Table1[[#This Row],[Shipping per Unit]]*Table1[[#This Row],[Quantity]]</f>
        <v>98</v>
      </c>
      <c r="W62" s="2">
        <f>IF(Table1[[#This Row],[Total Shipping]]&gt;0.1,0.2,0)</f>
        <v>0.2</v>
      </c>
      <c r="X62" s="4">
        <f>Table1[[#This Row],[Total Shipping]]*Table1[[#This Row],[VAT on Shipping]]</f>
        <v>19.600000000000001</v>
      </c>
      <c r="Y62" s="1">
        <f>Table1[[#This Row],[Revenue]]-Table1[[#This Row],[COGS]]</f>
        <v>207.19999999999993</v>
      </c>
      <c r="Z62" s="3">
        <f>(Table1[[#This Row],[Profit]]/Table1[[#This Row],[Revenue]])</f>
        <v>0.38144329896907209</v>
      </c>
      <c r="AA62" s="1">
        <f>Table1[[#This Row],[Profit]]-Table1[[#This Row],[Total Shipping]]</f>
        <v>109.19999999999993</v>
      </c>
      <c r="AB62" s="3">
        <f>Table1[[#This Row],[Operating Profit]]/Table1[[#This Row],[Revenue]]</f>
        <v>0.20103092783505144</v>
      </c>
    </row>
    <row r="63" spans="1:28" x14ac:dyDescent="0.25">
      <c r="A63" t="s">
        <v>111</v>
      </c>
      <c r="B63">
        <v>677</v>
      </c>
      <c r="C63" t="s">
        <v>38</v>
      </c>
      <c r="D63" t="s">
        <v>39</v>
      </c>
      <c r="E63" t="s">
        <v>49</v>
      </c>
      <c r="F63" t="s">
        <v>92</v>
      </c>
      <c r="G63" t="str" cm="1">
        <f t="array" ref="G63">_xlfn.SWITCH(F63,"Acme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63" t="s">
        <v>45</v>
      </c>
      <c r="I63" t="s">
        <v>34</v>
      </c>
      <c r="J63" t="str" cm="1">
        <f t="array" ref="J63">_xlfn.SWITCH(I63,"P001","Laptop","P002","Server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63" s="1" cm="1">
        <f t="array" ref="K63">_xlfn.SWITCH(Table1[[#This Row],[Product ID]],"P001",220,"P002",150,"P003",130,"P004",70,"P005",200,"P006",40,"P007",25,"P008",20,"P009",190,"P010",530)</f>
        <v>20</v>
      </c>
      <c r="L63">
        <v>12</v>
      </c>
      <c r="M63" s="1">
        <f>Table1[[#This Row],[Unit Price]]*Table1[[#This Row],[Quantity]]</f>
        <v>240</v>
      </c>
      <c r="N63" s="2">
        <v>0.04</v>
      </c>
      <c r="O63" s="1">
        <f>Table1[[#This Row],[Gross Value]]*(1-Table1[[#This Row],[Discount]])</f>
        <v>230.39999999999998</v>
      </c>
      <c r="P63" s="2">
        <v>0.2</v>
      </c>
      <c r="Q63" s="1">
        <f>Table1[[#This Row],[Revenue]]*Table1[[#This Row],[VAT Rate]]</f>
        <v>46.08</v>
      </c>
      <c r="R63" s="1">
        <f>Table1[[#This Row],[Revenue]]+Table1[[#This Row],[VAT Charged]]</f>
        <v>276.47999999999996</v>
      </c>
      <c r="S63" s="1" cm="1">
        <f t="array" ref="S63">_xlfn.SWITCH(Table1[[#This Row],[Product ID]],"P001",140,"P002",80,"P003",72,"P004",30,"P005",110,"P006",24,"P007",14,"P008",12,"P009",115,"P010",360)</f>
        <v>12</v>
      </c>
      <c r="T63" s="1" cm="1">
        <f t="array" ref="T63">(_xlfn.SWITCH(Table1[[#This Row],[Product ID]],"P001",140,"P002",80,"P003",72,"P004",30,"P005",110,"P006",24,"P007",14,"P008",12,"P009",115,"P010",360))*Table1[[#This Row],[Quantity]]</f>
        <v>144</v>
      </c>
      <c r="U63" s="1" cm="1">
        <f t="array" ref="U63">_xlfn.SWITCH(Table1[[#This Row],[Product ID]],"P001",15,"P002",0,"P003",8,"P004",8,"P005",0,"P006",7,"P007",7,"P008",6,"P009",45,"P010",60)</f>
        <v>6</v>
      </c>
      <c r="V63" s="1">
        <f>Table1[[#This Row],[Shipping per Unit]]*Table1[[#This Row],[Quantity]]</f>
        <v>72</v>
      </c>
      <c r="W63" s="2">
        <f>IF(Table1[[#This Row],[Total Shipping]]&gt;0.1,0.2,0)</f>
        <v>0.2</v>
      </c>
      <c r="X63" s="4">
        <f>Table1[[#This Row],[Total Shipping]]*Table1[[#This Row],[VAT on Shipping]]</f>
        <v>14.4</v>
      </c>
      <c r="Y63" s="1">
        <f>Table1[[#This Row],[Revenue]]-Table1[[#This Row],[COGS]]</f>
        <v>86.399999999999977</v>
      </c>
      <c r="Z63" s="3">
        <f>(Table1[[#This Row],[Profit]]/Table1[[#This Row],[Revenue]])</f>
        <v>0.37499999999999994</v>
      </c>
      <c r="AA63" s="1">
        <f>Table1[[#This Row],[Profit]]-Table1[[#This Row],[Total Shipping]]</f>
        <v>14.399999999999977</v>
      </c>
      <c r="AB63" s="3">
        <f>Table1[[#This Row],[Operating Profit]]/Table1[[#This Row],[Revenue]]</f>
        <v>6.249999999999991E-2</v>
      </c>
    </row>
    <row r="64" spans="1:28" x14ac:dyDescent="0.25">
      <c r="A64" t="s">
        <v>111</v>
      </c>
      <c r="B64">
        <v>720</v>
      </c>
      <c r="C64" t="s">
        <v>83</v>
      </c>
      <c r="D64" t="s">
        <v>53</v>
      </c>
      <c r="E64" t="s">
        <v>40</v>
      </c>
      <c r="F64" t="s">
        <v>90</v>
      </c>
      <c r="G64" t="str" cm="1">
        <f t="array" ref="G64">_xlfn.SWITCH(F64,"Acme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64" t="s">
        <v>58</v>
      </c>
      <c r="I64" t="s">
        <v>68</v>
      </c>
      <c r="J64" t="str" cm="1">
        <f t="array" ref="J64">_xlfn.SWITCH(I64,"P001","Laptop","P002","Server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64" s="1" cm="1">
        <f t="array" ref="K64">_xlfn.SWITCH(Table1[[#This Row],[Product ID]],"P001",220,"P002",150,"P003",130,"P004",70,"P005",200,"P006",40,"P007",25,"P008",20,"P009",190,"P010",530)</f>
        <v>220</v>
      </c>
      <c r="L64">
        <v>11</v>
      </c>
      <c r="M64" s="1">
        <f>Table1[[#This Row],[Unit Price]]*Table1[[#This Row],[Quantity]]</f>
        <v>2420</v>
      </c>
      <c r="N64" s="2">
        <v>0.1</v>
      </c>
      <c r="O64" s="1">
        <f>Table1[[#This Row],[Gross Value]]*(1-Table1[[#This Row],[Discount]])</f>
        <v>2178</v>
      </c>
      <c r="P64" s="2">
        <v>0.2</v>
      </c>
      <c r="Q64" s="1">
        <f>Table1[[#This Row],[Revenue]]*Table1[[#This Row],[VAT Rate]]</f>
        <v>435.6</v>
      </c>
      <c r="R64" s="1">
        <f>Table1[[#This Row],[Revenue]]+Table1[[#This Row],[VAT Charged]]</f>
        <v>2613.6</v>
      </c>
      <c r="S64" s="1" cm="1">
        <f t="array" ref="S64">_xlfn.SWITCH(Table1[[#This Row],[Product ID]],"P001",140,"P002",80,"P003",72,"P004",30,"P005",110,"P006",24,"P007",14,"P008",12,"P009",115,"P010",360)</f>
        <v>140</v>
      </c>
      <c r="T64" s="1" cm="1">
        <f t="array" ref="T64">(_xlfn.SWITCH(Table1[[#This Row],[Product ID]],"P001",140,"P002",80,"P003",72,"P004",30,"P005",110,"P006",24,"P007",14,"P008",12,"P009",115,"P010",360))*Table1[[#This Row],[Quantity]]</f>
        <v>1540</v>
      </c>
      <c r="U64" s="1" cm="1">
        <f t="array" ref="U64">_xlfn.SWITCH(Table1[[#This Row],[Product ID]],"P001",15,"P002",0,"P003",8,"P004",8,"P005",0,"P006",7,"P007",7,"P008",6,"P009",45,"P010",60)</f>
        <v>15</v>
      </c>
      <c r="V64" s="1">
        <f>Table1[[#This Row],[Shipping per Unit]]*Table1[[#This Row],[Quantity]]</f>
        <v>165</v>
      </c>
      <c r="W64" s="2">
        <f>IF(Table1[[#This Row],[Total Shipping]]&gt;0.1,0.2,0)</f>
        <v>0.2</v>
      </c>
      <c r="X64" s="4">
        <f>Table1[[#This Row],[Total Shipping]]*Table1[[#This Row],[VAT on Shipping]]</f>
        <v>33</v>
      </c>
      <c r="Y64" s="1">
        <f>Table1[[#This Row],[Revenue]]-Table1[[#This Row],[COGS]]</f>
        <v>638</v>
      </c>
      <c r="Z64" s="3">
        <f>(Table1[[#This Row],[Profit]]/Table1[[#This Row],[Revenue]])</f>
        <v>0.29292929292929293</v>
      </c>
      <c r="AA64" s="1">
        <f>Table1[[#This Row],[Profit]]-Table1[[#This Row],[Total Shipping]]</f>
        <v>473</v>
      </c>
      <c r="AB64" s="3">
        <f>Table1[[#This Row],[Operating Profit]]/Table1[[#This Row],[Revenue]]</f>
        <v>0.21717171717171718</v>
      </c>
    </row>
    <row r="65" spans="1:28" x14ac:dyDescent="0.25">
      <c r="A65" t="s">
        <v>111</v>
      </c>
      <c r="B65">
        <v>722</v>
      </c>
      <c r="C65" t="s">
        <v>62</v>
      </c>
      <c r="D65" t="s">
        <v>53</v>
      </c>
      <c r="E65" t="s">
        <v>49</v>
      </c>
      <c r="F65" t="s">
        <v>50</v>
      </c>
      <c r="G65" t="str" cm="1">
        <f t="array" ref="G65">_xlfn.SWITCH(F65,"Acme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65" t="s">
        <v>58</v>
      </c>
      <c r="I65" t="s">
        <v>52</v>
      </c>
      <c r="J65" t="str" cm="1">
        <f t="array" ref="J65">_xlfn.SWITCH(I65,"P001","Laptop","P002","Server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65" s="1" cm="1">
        <f t="array" ref="K65">_xlfn.SWITCH(Table1[[#This Row],[Product ID]],"P001",220,"P002",150,"P003",130,"P004",70,"P005",200,"P006",40,"P007",25,"P008",20,"P009",190,"P010",530)</f>
        <v>130</v>
      </c>
      <c r="L65">
        <v>18</v>
      </c>
      <c r="M65" s="1">
        <f>Table1[[#This Row],[Unit Price]]*Table1[[#This Row],[Quantity]]</f>
        <v>2340</v>
      </c>
      <c r="N65" s="2">
        <v>0.03</v>
      </c>
      <c r="O65" s="1">
        <f>Table1[[#This Row],[Gross Value]]*(1-Table1[[#This Row],[Discount]])</f>
        <v>2269.7999999999997</v>
      </c>
      <c r="P65" s="2">
        <v>0.2</v>
      </c>
      <c r="Q65" s="1">
        <f>Table1[[#This Row],[Revenue]]*Table1[[#This Row],[VAT Rate]]</f>
        <v>453.96</v>
      </c>
      <c r="R65" s="1">
        <f>Table1[[#This Row],[Revenue]]+Table1[[#This Row],[VAT Charged]]</f>
        <v>2723.7599999999998</v>
      </c>
      <c r="S65" s="1" cm="1">
        <f t="array" ref="S65">_xlfn.SWITCH(Table1[[#This Row],[Product ID]],"P001",140,"P002",80,"P003",72,"P004",30,"P005",110,"P006",24,"P007",14,"P008",12,"P009",115,"P010",360)</f>
        <v>72</v>
      </c>
      <c r="T65" s="1" cm="1">
        <f t="array" ref="T65">(_xlfn.SWITCH(Table1[[#This Row],[Product ID]],"P001",140,"P002",80,"P003",72,"P004",30,"P005",110,"P006",24,"P007",14,"P008",12,"P009",115,"P010",360))*Table1[[#This Row],[Quantity]]</f>
        <v>1296</v>
      </c>
      <c r="U65" s="1" cm="1">
        <f t="array" ref="U65">_xlfn.SWITCH(Table1[[#This Row],[Product ID]],"P001",15,"P002",0,"P003",8,"P004",8,"P005",0,"P006",7,"P007",7,"P008",6,"P009",45,"P010",60)</f>
        <v>8</v>
      </c>
      <c r="V65" s="1">
        <f>Table1[[#This Row],[Shipping per Unit]]*Table1[[#This Row],[Quantity]]</f>
        <v>144</v>
      </c>
      <c r="W65" s="2">
        <f>IF(Table1[[#This Row],[Total Shipping]]&gt;0.1,0.2,0)</f>
        <v>0.2</v>
      </c>
      <c r="X65" s="4">
        <f>Table1[[#This Row],[Total Shipping]]*Table1[[#This Row],[VAT on Shipping]]</f>
        <v>28.8</v>
      </c>
      <c r="Y65" s="1">
        <f>Table1[[#This Row],[Revenue]]-Table1[[#This Row],[COGS]]</f>
        <v>973.79999999999973</v>
      </c>
      <c r="Z65" s="3">
        <f>(Table1[[#This Row],[Profit]]/Table1[[#This Row],[Revenue]])</f>
        <v>0.42902458366375884</v>
      </c>
      <c r="AA65" s="1">
        <f>Table1[[#This Row],[Profit]]-Table1[[#This Row],[Total Shipping]]</f>
        <v>829.79999999999973</v>
      </c>
      <c r="AB65" s="3">
        <f>Table1[[#This Row],[Operating Profit]]/Table1[[#This Row],[Revenue]]</f>
        <v>0.36558287073750984</v>
      </c>
    </row>
    <row r="66" spans="1:28" x14ac:dyDescent="0.25">
      <c r="A66" t="s">
        <v>112</v>
      </c>
      <c r="B66">
        <v>161</v>
      </c>
      <c r="C66" t="s">
        <v>35</v>
      </c>
      <c r="D66" t="s">
        <v>53</v>
      </c>
      <c r="E66" t="s">
        <v>31</v>
      </c>
      <c r="F66" t="s">
        <v>86</v>
      </c>
      <c r="G66" t="str" cm="1">
        <f t="array" ref="G66">_xlfn.SWITCH(F66,"Acme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66" t="s">
        <v>58</v>
      </c>
      <c r="I66" t="s">
        <v>52</v>
      </c>
      <c r="J66" t="str" cm="1">
        <f t="array" ref="J66">_xlfn.SWITCH(I66,"P001","Laptop","P002","Server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66" s="1" cm="1">
        <f t="array" ref="K66">_xlfn.SWITCH(Table1[[#This Row],[Product ID]],"P001",220,"P002",150,"P003",130,"P004",70,"P005",200,"P006",40,"P007",25,"P008",20,"P009",190,"P010",530)</f>
        <v>130</v>
      </c>
      <c r="L66">
        <v>3</v>
      </c>
      <c r="M66" s="1">
        <f>Table1[[#This Row],[Unit Price]]*Table1[[#This Row],[Quantity]]</f>
        <v>390</v>
      </c>
      <c r="N66" s="2">
        <v>0.08</v>
      </c>
      <c r="O66" s="1">
        <f>Table1[[#This Row],[Gross Value]]*(1-Table1[[#This Row],[Discount]])</f>
        <v>358.8</v>
      </c>
      <c r="P66" s="2">
        <v>0.2</v>
      </c>
      <c r="Q66" s="1">
        <f>Table1[[#This Row],[Revenue]]*Table1[[#This Row],[VAT Rate]]</f>
        <v>71.760000000000005</v>
      </c>
      <c r="R66" s="1">
        <f>Table1[[#This Row],[Revenue]]+Table1[[#This Row],[VAT Charged]]</f>
        <v>430.56</v>
      </c>
      <c r="S66" s="1" cm="1">
        <f t="array" ref="S66">_xlfn.SWITCH(Table1[[#This Row],[Product ID]],"P001",140,"P002",80,"P003",72,"P004",30,"P005",110,"P006",24,"P007",14,"P008",12,"P009",115,"P010",360)</f>
        <v>72</v>
      </c>
      <c r="T66" s="1" cm="1">
        <f t="array" ref="T66">(_xlfn.SWITCH(Table1[[#This Row],[Product ID]],"P001",140,"P002",80,"P003",72,"P004",30,"P005",110,"P006",24,"P007",14,"P008",12,"P009",115,"P010",360))*Table1[[#This Row],[Quantity]]</f>
        <v>216</v>
      </c>
      <c r="U66" s="1" cm="1">
        <f t="array" ref="U66">_xlfn.SWITCH(Table1[[#This Row],[Product ID]],"P001",15,"P002",0,"P003",8,"P004",8,"P005",0,"P006",7,"P007",7,"P008",6,"P009",45,"P010",60)</f>
        <v>8</v>
      </c>
      <c r="V66" s="1">
        <f>Table1[[#This Row],[Shipping per Unit]]*Table1[[#This Row],[Quantity]]</f>
        <v>24</v>
      </c>
      <c r="W66" s="2">
        <f>IF(Table1[[#This Row],[Total Shipping]]&gt;0.1,0.2,0)</f>
        <v>0.2</v>
      </c>
      <c r="X66" s="4">
        <f>Table1[[#This Row],[Total Shipping]]*Table1[[#This Row],[VAT on Shipping]]</f>
        <v>4.8000000000000007</v>
      </c>
      <c r="Y66" s="1">
        <f>Table1[[#This Row],[Revenue]]-Table1[[#This Row],[COGS]]</f>
        <v>142.80000000000001</v>
      </c>
      <c r="Z66" s="3">
        <f>(Table1[[#This Row],[Profit]]/Table1[[#This Row],[Revenue]])</f>
        <v>0.39799331103678931</v>
      </c>
      <c r="AA66" s="1">
        <f>Table1[[#This Row],[Profit]]-Table1[[#This Row],[Total Shipping]]</f>
        <v>118.80000000000001</v>
      </c>
      <c r="AB66" s="3">
        <f>Table1[[#This Row],[Operating Profit]]/Table1[[#This Row],[Revenue]]</f>
        <v>0.33110367892976589</v>
      </c>
    </row>
    <row r="67" spans="1:28" x14ac:dyDescent="0.25">
      <c r="A67" t="s">
        <v>112</v>
      </c>
      <c r="B67">
        <v>223</v>
      </c>
      <c r="C67" t="s">
        <v>83</v>
      </c>
      <c r="D67" t="s">
        <v>63</v>
      </c>
      <c r="E67" t="s">
        <v>31</v>
      </c>
      <c r="F67" t="s">
        <v>98</v>
      </c>
      <c r="G67" t="str" cm="1">
        <f t="array" ref="G67">_xlfn.SWITCH(F67,"Acme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67" t="s">
        <v>104</v>
      </c>
      <c r="I67" t="s">
        <v>34</v>
      </c>
      <c r="J67" t="str" cm="1">
        <f t="array" ref="J67">_xlfn.SWITCH(I67,"P001","Laptop","P002","Server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67" s="1" cm="1">
        <f t="array" ref="K67">_xlfn.SWITCH(Table1[[#This Row],[Product ID]],"P001",220,"P002",150,"P003",130,"P004",70,"P005",200,"P006",40,"P007",25,"P008",20,"P009",190,"P010",530)</f>
        <v>20</v>
      </c>
      <c r="L67">
        <v>19</v>
      </c>
      <c r="M67" s="1">
        <f>Table1[[#This Row],[Unit Price]]*Table1[[#This Row],[Quantity]]</f>
        <v>380</v>
      </c>
      <c r="N67" s="2">
        <v>0.08</v>
      </c>
      <c r="O67" s="1">
        <f>Table1[[#This Row],[Gross Value]]*(1-Table1[[#This Row],[Discount]])</f>
        <v>349.6</v>
      </c>
      <c r="P67" s="2">
        <v>0.2</v>
      </c>
      <c r="Q67" s="1">
        <f>Table1[[#This Row],[Revenue]]*Table1[[#This Row],[VAT Rate]]</f>
        <v>69.92</v>
      </c>
      <c r="R67" s="1">
        <f>Table1[[#This Row],[Revenue]]+Table1[[#This Row],[VAT Charged]]</f>
        <v>419.52000000000004</v>
      </c>
      <c r="S67" s="1" cm="1">
        <f t="array" ref="S67">_xlfn.SWITCH(Table1[[#This Row],[Product ID]],"P001",140,"P002",80,"P003",72,"P004",30,"P005",110,"P006",24,"P007",14,"P008",12,"P009",115,"P010",360)</f>
        <v>12</v>
      </c>
      <c r="T67" s="1" cm="1">
        <f t="array" ref="T67">(_xlfn.SWITCH(Table1[[#This Row],[Product ID]],"P001",140,"P002",80,"P003",72,"P004",30,"P005",110,"P006",24,"P007",14,"P008",12,"P009",115,"P010",360))*Table1[[#This Row],[Quantity]]</f>
        <v>228</v>
      </c>
      <c r="U67" s="1" cm="1">
        <f t="array" ref="U67">_xlfn.SWITCH(Table1[[#This Row],[Product ID]],"P001",15,"P002",0,"P003",8,"P004",8,"P005",0,"P006",7,"P007",7,"P008",6,"P009",45,"P010",60)</f>
        <v>6</v>
      </c>
      <c r="V67" s="1">
        <f>Table1[[#This Row],[Shipping per Unit]]*Table1[[#This Row],[Quantity]]</f>
        <v>114</v>
      </c>
      <c r="W67" s="2">
        <f>IF(Table1[[#This Row],[Total Shipping]]&gt;0.1,0.2,0)</f>
        <v>0.2</v>
      </c>
      <c r="X67" s="4">
        <f>Table1[[#This Row],[Total Shipping]]*Table1[[#This Row],[VAT on Shipping]]</f>
        <v>22.8</v>
      </c>
      <c r="Y67" s="1">
        <f>Table1[[#This Row],[Revenue]]-Table1[[#This Row],[COGS]]</f>
        <v>121.60000000000002</v>
      </c>
      <c r="Z67" s="3">
        <f>(Table1[[#This Row],[Profit]]/Table1[[#This Row],[Revenue]])</f>
        <v>0.34782608695652178</v>
      </c>
      <c r="AA67" s="1">
        <f>Table1[[#This Row],[Profit]]-Table1[[#This Row],[Total Shipping]]</f>
        <v>7.6000000000000227</v>
      </c>
      <c r="AB67" s="3">
        <f>Table1[[#This Row],[Operating Profit]]/Table1[[#This Row],[Revenue]]</f>
        <v>2.1739130434782674E-2</v>
      </c>
    </row>
    <row r="68" spans="1:28" x14ac:dyDescent="0.25">
      <c r="A68" t="s">
        <v>112</v>
      </c>
      <c r="B68">
        <v>290</v>
      </c>
      <c r="C68" t="s">
        <v>38</v>
      </c>
      <c r="D68" t="s">
        <v>36</v>
      </c>
      <c r="E68" t="s">
        <v>49</v>
      </c>
      <c r="F68" t="s">
        <v>92</v>
      </c>
      <c r="G68" t="str" cm="1">
        <f t="array" ref="G68">_xlfn.SWITCH(F68,"Acme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68" t="s">
        <v>45</v>
      </c>
      <c r="I68" t="s">
        <v>34</v>
      </c>
      <c r="J68" t="str" cm="1">
        <f t="array" ref="J68">_xlfn.SWITCH(I68,"P001","Laptop","P002","Server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68" s="1" cm="1">
        <f t="array" ref="K68">_xlfn.SWITCH(Table1[[#This Row],[Product ID]],"P001",220,"P002",150,"P003",130,"P004",70,"P005",200,"P006",40,"P007",25,"P008",20,"P009",190,"P010",530)</f>
        <v>20</v>
      </c>
      <c r="L68">
        <v>10</v>
      </c>
      <c r="M68" s="1">
        <f>Table1[[#This Row],[Unit Price]]*Table1[[#This Row],[Quantity]]</f>
        <v>200</v>
      </c>
      <c r="N68" s="2">
        <v>0.02</v>
      </c>
      <c r="O68" s="1">
        <f>Table1[[#This Row],[Gross Value]]*(1-Table1[[#This Row],[Discount]])</f>
        <v>196</v>
      </c>
      <c r="P68" s="2">
        <v>0.2</v>
      </c>
      <c r="Q68" s="1">
        <f>Table1[[#This Row],[Revenue]]*Table1[[#This Row],[VAT Rate]]</f>
        <v>39.200000000000003</v>
      </c>
      <c r="R68" s="1">
        <f>Table1[[#This Row],[Revenue]]+Table1[[#This Row],[VAT Charged]]</f>
        <v>235.2</v>
      </c>
      <c r="S68" s="1" cm="1">
        <f t="array" ref="S68">_xlfn.SWITCH(Table1[[#This Row],[Product ID]],"P001",140,"P002",80,"P003",72,"P004",30,"P005",110,"P006",24,"P007",14,"P008",12,"P009",115,"P010",360)</f>
        <v>12</v>
      </c>
      <c r="T68" s="1" cm="1">
        <f t="array" ref="T68">(_xlfn.SWITCH(Table1[[#This Row],[Product ID]],"P001",140,"P002",80,"P003",72,"P004",30,"P005",110,"P006",24,"P007",14,"P008",12,"P009",115,"P010",360))*Table1[[#This Row],[Quantity]]</f>
        <v>120</v>
      </c>
      <c r="U68" s="1" cm="1">
        <f t="array" ref="U68">_xlfn.SWITCH(Table1[[#This Row],[Product ID]],"P001",15,"P002",0,"P003",8,"P004",8,"P005",0,"P006",7,"P007",7,"P008",6,"P009",45,"P010",60)</f>
        <v>6</v>
      </c>
      <c r="V68" s="1">
        <f>Table1[[#This Row],[Shipping per Unit]]*Table1[[#This Row],[Quantity]]</f>
        <v>60</v>
      </c>
      <c r="W68" s="2">
        <f>IF(Table1[[#This Row],[Total Shipping]]&gt;0.1,0.2,0)</f>
        <v>0.2</v>
      </c>
      <c r="X68" s="4">
        <f>Table1[[#This Row],[Total Shipping]]*Table1[[#This Row],[VAT on Shipping]]</f>
        <v>12</v>
      </c>
      <c r="Y68" s="1">
        <f>Table1[[#This Row],[Revenue]]-Table1[[#This Row],[COGS]]</f>
        <v>76</v>
      </c>
      <c r="Z68" s="3">
        <f>(Table1[[#This Row],[Profit]]/Table1[[#This Row],[Revenue]])</f>
        <v>0.38775510204081631</v>
      </c>
      <c r="AA68" s="1">
        <f>Table1[[#This Row],[Profit]]-Table1[[#This Row],[Total Shipping]]</f>
        <v>16</v>
      </c>
      <c r="AB68" s="3">
        <f>Table1[[#This Row],[Operating Profit]]/Table1[[#This Row],[Revenue]]</f>
        <v>8.1632653061224483E-2</v>
      </c>
    </row>
    <row r="69" spans="1:28" x14ac:dyDescent="0.25">
      <c r="A69" t="s">
        <v>112</v>
      </c>
      <c r="B69">
        <v>522</v>
      </c>
      <c r="C69" t="s">
        <v>56</v>
      </c>
      <c r="D69" t="s">
        <v>57</v>
      </c>
      <c r="E69" t="s">
        <v>49</v>
      </c>
      <c r="F69" t="s">
        <v>76</v>
      </c>
      <c r="G69" t="str" cm="1">
        <f t="array" ref="G69">_xlfn.SWITCH(F69,"Acme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69" t="s">
        <v>33</v>
      </c>
      <c r="I69" t="s">
        <v>60</v>
      </c>
      <c r="J69" t="str" cm="1">
        <f t="array" ref="J69">_xlfn.SWITCH(I69,"P001","Laptop","P002","Server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9" s="1" cm="1">
        <f t="array" ref="K69">_xlfn.SWITCH(Table1[[#This Row],[Product ID]],"P001",220,"P002",150,"P003",130,"P004",70,"P005",200,"P006",40,"P007",25,"P008",20,"P009",190,"P010",530)</f>
        <v>25</v>
      </c>
      <c r="L69">
        <v>15</v>
      </c>
      <c r="M69" s="1">
        <f>Table1[[#This Row],[Unit Price]]*Table1[[#This Row],[Quantity]]</f>
        <v>375</v>
      </c>
      <c r="N69" s="2">
        <v>0.04</v>
      </c>
      <c r="O69" s="1">
        <f>Table1[[#This Row],[Gross Value]]*(1-Table1[[#This Row],[Discount]])</f>
        <v>360</v>
      </c>
      <c r="P69" s="2">
        <v>0.2</v>
      </c>
      <c r="Q69" s="1">
        <f>Table1[[#This Row],[Revenue]]*Table1[[#This Row],[VAT Rate]]</f>
        <v>72</v>
      </c>
      <c r="R69" s="1">
        <f>Table1[[#This Row],[Revenue]]+Table1[[#This Row],[VAT Charged]]</f>
        <v>432</v>
      </c>
      <c r="S69" s="1" cm="1">
        <f t="array" ref="S69">_xlfn.SWITCH(Table1[[#This Row],[Product ID]],"P001",140,"P002",80,"P003",72,"P004",30,"P005",110,"P006",24,"P007",14,"P008",12,"P009",115,"P010",360)</f>
        <v>14</v>
      </c>
      <c r="T69" s="1" cm="1">
        <f t="array" ref="T69">(_xlfn.SWITCH(Table1[[#This Row],[Product ID]],"P001",140,"P002",80,"P003",72,"P004",30,"P005",110,"P006",24,"P007",14,"P008",12,"P009",115,"P010",360))*Table1[[#This Row],[Quantity]]</f>
        <v>210</v>
      </c>
      <c r="U69" s="1" cm="1">
        <f t="array" ref="U69">_xlfn.SWITCH(Table1[[#This Row],[Product ID]],"P001",15,"P002",0,"P003",8,"P004",8,"P005",0,"P006",7,"P007",7,"P008",6,"P009",45,"P010",60)</f>
        <v>7</v>
      </c>
      <c r="V69" s="1">
        <f>Table1[[#This Row],[Shipping per Unit]]*Table1[[#This Row],[Quantity]]</f>
        <v>105</v>
      </c>
      <c r="W69" s="2">
        <f>IF(Table1[[#This Row],[Total Shipping]]&gt;0.1,0.2,0)</f>
        <v>0.2</v>
      </c>
      <c r="X69" s="4">
        <f>Table1[[#This Row],[Total Shipping]]*Table1[[#This Row],[VAT on Shipping]]</f>
        <v>21</v>
      </c>
      <c r="Y69" s="1">
        <f>Table1[[#This Row],[Revenue]]-Table1[[#This Row],[COGS]]</f>
        <v>150</v>
      </c>
      <c r="Z69" s="3">
        <f>(Table1[[#This Row],[Profit]]/Table1[[#This Row],[Revenue]])</f>
        <v>0.41666666666666669</v>
      </c>
      <c r="AA69" s="1">
        <f>Table1[[#This Row],[Profit]]-Table1[[#This Row],[Total Shipping]]</f>
        <v>45</v>
      </c>
      <c r="AB69" s="3">
        <f>Table1[[#This Row],[Operating Profit]]/Table1[[#This Row],[Revenue]]</f>
        <v>0.125</v>
      </c>
    </row>
    <row r="70" spans="1:28" x14ac:dyDescent="0.25">
      <c r="A70" t="s">
        <v>112</v>
      </c>
      <c r="B70">
        <v>798</v>
      </c>
      <c r="C70" t="s">
        <v>38</v>
      </c>
      <c r="D70" t="s">
        <v>63</v>
      </c>
      <c r="E70" t="s">
        <v>49</v>
      </c>
      <c r="F70" t="s">
        <v>113</v>
      </c>
      <c r="G70" t="str" cm="1">
        <f t="array" ref="G70">_xlfn.SWITCH(F70,"Acme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70" t="s">
        <v>33</v>
      </c>
      <c r="I70" t="s">
        <v>55</v>
      </c>
      <c r="J70" t="str" cm="1">
        <f t="array" ref="J70">_xlfn.SWITCH(I70,"P001","Laptop","P002","Server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0" s="1" cm="1">
        <f t="array" ref="K70">_xlfn.SWITCH(Table1[[#This Row],[Product ID]],"P001",220,"P002",150,"P003",130,"P004",70,"P005",200,"P006",40,"P007",25,"P008",20,"P009",190,"P010",530)</f>
        <v>70</v>
      </c>
      <c r="L70">
        <v>5</v>
      </c>
      <c r="M70" s="1">
        <f>Table1[[#This Row],[Unit Price]]*Table1[[#This Row],[Quantity]]</f>
        <v>350</v>
      </c>
      <c r="N70" s="2">
        <v>0.09</v>
      </c>
      <c r="O70" s="1">
        <f>Table1[[#This Row],[Gross Value]]*(1-Table1[[#This Row],[Discount]])</f>
        <v>318.5</v>
      </c>
      <c r="P70" s="2">
        <v>0.2</v>
      </c>
      <c r="Q70" s="1">
        <f>Table1[[#This Row],[Revenue]]*Table1[[#This Row],[VAT Rate]]</f>
        <v>63.7</v>
      </c>
      <c r="R70" s="1">
        <f>Table1[[#This Row],[Revenue]]+Table1[[#This Row],[VAT Charged]]</f>
        <v>382.2</v>
      </c>
      <c r="S70" s="1" cm="1">
        <f t="array" ref="S70">_xlfn.SWITCH(Table1[[#This Row],[Product ID]],"P001",140,"P002",80,"P003",72,"P004",30,"P005",110,"P006",24,"P007",14,"P008",12,"P009",115,"P010",360)</f>
        <v>30</v>
      </c>
      <c r="T70" s="1" cm="1">
        <f t="array" ref="T70">(_xlfn.SWITCH(Table1[[#This Row],[Product ID]],"P001",140,"P002",80,"P003",72,"P004",30,"P005",110,"P006",24,"P007",14,"P008",12,"P009",115,"P010",360))*Table1[[#This Row],[Quantity]]</f>
        <v>150</v>
      </c>
      <c r="U70" s="1" cm="1">
        <f t="array" ref="U70">_xlfn.SWITCH(Table1[[#This Row],[Product ID]],"P001",15,"P002",0,"P003",8,"P004",8,"P005",0,"P006",7,"P007",7,"P008",6,"P009",45,"P010",60)</f>
        <v>8</v>
      </c>
      <c r="V70" s="1">
        <f>Table1[[#This Row],[Shipping per Unit]]*Table1[[#This Row],[Quantity]]</f>
        <v>40</v>
      </c>
      <c r="W70" s="2">
        <f>IF(Table1[[#This Row],[Total Shipping]]&gt;0.1,0.2,0)</f>
        <v>0.2</v>
      </c>
      <c r="X70" s="4">
        <f>Table1[[#This Row],[Total Shipping]]*Table1[[#This Row],[VAT on Shipping]]</f>
        <v>8</v>
      </c>
      <c r="Y70" s="1">
        <f>Table1[[#This Row],[Revenue]]-Table1[[#This Row],[COGS]]</f>
        <v>168.5</v>
      </c>
      <c r="Z70" s="3">
        <f>(Table1[[#This Row],[Profit]]/Table1[[#This Row],[Revenue]])</f>
        <v>0.52904238618524335</v>
      </c>
      <c r="AA70" s="1">
        <f>Table1[[#This Row],[Profit]]-Table1[[#This Row],[Total Shipping]]</f>
        <v>128.5</v>
      </c>
      <c r="AB70" s="3">
        <f>Table1[[#This Row],[Operating Profit]]/Table1[[#This Row],[Revenue]]</f>
        <v>0.40345368916797486</v>
      </c>
    </row>
    <row r="71" spans="1:28" x14ac:dyDescent="0.25">
      <c r="A71" t="s">
        <v>112</v>
      </c>
      <c r="B71">
        <v>823</v>
      </c>
      <c r="C71" t="s">
        <v>29</v>
      </c>
      <c r="D71" t="s">
        <v>72</v>
      </c>
      <c r="E71" t="s">
        <v>40</v>
      </c>
      <c r="F71" t="s">
        <v>66</v>
      </c>
      <c r="G71" t="str" cm="1">
        <f t="array" ref="G71">_xlfn.SWITCH(F71,"Acme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71" t="s">
        <v>69</v>
      </c>
      <c r="I71" t="s">
        <v>34</v>
      </c>
      <c r="J71" t="str" cm="1">
        <f t="array" ref="J71">_xlfn.SWITCH(I71,"P001","Laptop","P002","Server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1" s="1" cm="1">
        <f t="array" ref="K71">_xlfn.SWITCH(Table1[[#This Row],[Product ID]],"P001",220,"P002",150,"P003",130,"P004",70,"P005",200,"P006",40,"P007",25,"P008",20,"P009",190,"P010",530)</f>
        <v>20</v>
      </c>
      <c r="L71">
        <v>20</v>
      </c>
      <c r="M71" s="1">
        <f>Table1[[#This Row],[Unit Price]]*Table1[[#This Row],[Quantity]]</f>
        <v>400</v>
      </c>
      <c r="N71" s="2">
        <v>7.0000000000000007E-2</v>
      </c>
      <c r="O71" s="1">
        <f>Table1[[#This Row],[Gross Value]]*(1-Table1[[#This Row],[Discount]])</f>
        <v>372</v>
      </c>
      <c r="P71" s="2">
        <v>0.2</v>
      </c>
      <c r="Q71" s="1">
        <f>Table1[[#This Row],[Revenue]]*Table1[[#This Row],[VAT Rate]]</f>
        <v>74.400000000000006</v>
      </c>
      <c r="R71" s="1">
        <f>Table1[[#This Row],[Revenue]]+Table1[[#This Row],[VAT Charged]]</f>
        <v>446.4</v>
      </c>
      <c r="S71" s="1" cm="1">
        <f t="array" ref="S71">_xlfn.SWITCH(Table1[[#This Row],[Product ID]],"P001",140,"P002",80,"P003",72,"P004",30,"P005",110,"P006",24,"P007",14,"P008",12,"P009",115,"P010",360)</f>
        <v>12</v>
      </c>
      <c r="T71" s="1" cm="1">
        <f t="array" ref="T71">(_xlfn.SWITCH(Table1[[#This Row],[Product ID]],"P001",140,"P002",80,"P003",72,"P004",30,"P005",110,"P006",24,"P007",14,"P008",12,"P009",115,"P010",360))*Table1[[#This Row],[Quantity]]</f>
        <v>240</v>
      </c>
      <c r="U71" s="1" cm="1">
        <f t="array" ref="U71">_xlfn.SWITCH(Table1[[#This Row],[Product ID]],"P001",15,"P002",0,"P003",8,"P004",8,"P005",0,"P006",7,"P007",7,"P008",6,"P009",45,"P010",60)</f>
        <v>6</v>
      </c>
      <c r="V71" s="1">
        <f>Table1[[#This Row],[Shipping per Unit]]*Table1[[#This Row],[Quantity]]</f>
        <v>120</v>
      </c>
      <c r="W71" s="2">
        <f>IF(Table1[[#This Row],[Total Shipping]]&gt;0.1,0.2,0)</f>
        <v>0.2</v>
      </c>
      <c r="X71" s="4">
        <f>Table1[[#This Row],[Total Shipping]]*Table1[[#This Row],[VAT on Shipping]]</f>
        <v>24</v>
      </c>
      <c r="Y71" s="1">
        <f>Table1[[#This Row],[Revenue]]-Table1[[#This Row],[COGS]]</f>
        <v>132</v>
      </c>
      <c r="Z71" s="3">
        <f>(Table1[[#This Row],[Profit]]/Table1[[#This Row],[Revenue]])</f>
        <v>0.35483870967741937</v>
      </c>
      <c r="AA71" s="1">
        <f>Table1[[#This Row],[Profit]]-Table1[[#This Row],[Total Shipping]]</f>
        <v>12</v>
      </c>
      <c r="AB71" s="3">
        <f>Table1[[#This Row],[Operating Profit]]/Table1[[#This Row],[Revenue]]</f>
        <v>3.2258064516129031E-2</v>
      </c>
    </row>
    <row r="72" spans="1:28" x14ac:dyDescent="0.25">
      <c r="A72" t="s">
        <v>114</v>
      </c>
      <c r="B72">
        <v>164</v>
      </c>
      <c r="C72" t="s">
        <v>56</v>
      </c>
      <c r="D72" t="s">
        <v>53</v>
      </c>
      <c r="E72" t="s">
        <v>40</v>
      </c>
      <c r="F72" t="s">
        <v>44</v>
      </c>
      <c r="G72" t="str" cm="1">
        <f t="array" ref="G72">_xlfn.SWITCH(F72,"Acme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72" t="s">
        <v>51</v>
      </c>
      <c r="I72" t="s">
        <v>46</v>
      </c>
      <c r="J72" t="str" cm="1">
        <f t="array" ref="J72">_xlfn.SWITCH(I72,"P001","Laptop","P002","Server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72" s="1" cm="1">
        <f t="array" ref="K72">_xlfn.SWITCH(Table1[[#This Row],[Product ID]],"P001",220,"P002",150,"P003",130,"P004",70,"P005",200,"P006",40,"P007",25,"P008",20,"P009",190,"P010",530)</f>
        <v>530</v>
      </c>
      <c r="L72">
        <v>20</v>
      </c>
      <c r="M72" s="1">
        <f>Table1[[#This Row],[Unit Price]]*Table1[[#This Row],[Quantity]]</f>
        <v>10600</v>
      </c>
      <c r="N72" s="2">
        <v>0.03</v>
      </c>
      <c r="O72" s="1">
        <f>Table1[[#This Row],[Gross Value]]*(1-Table1[[#This Row],[Discount]])</f>
        <v>10282</v>
      </c>
      <c r="P72" s="2">
        <v>0.2</v>
      </c>
      <c r="Q72" s="1">
        <f>Table1[[#This Row],[Revenue]]*Table1[[#This Row],[VAT Rate]]</f>
        <v>2056.4</v>
      </c>
      <c r="R72" s="1">
        <f>Table1[[#This Row],[Revenue]]+Table1[[#This Row],[VAT Charged]]</f>
        <v>12338.4</v>
      </c>
      <c r="S72" s="1" cm="1">
        <f t="array" ref="S72">_xlfn.SWITCH(Table1[[#This Row],[Product ID]],"P001",140,"P002",80,"P003",72,"P004",30,"P005",110,"P006",24,"P007",14,"P008",12,"P009",115,"P010",360)</f>
        <v>360</v>
      </c>
      <c r="T72" s="1" cm="1">
        <f t="array" ref="T72">(_xlfn.SWITCH(Table1[[#This Row],[Product ID]],"P001",140,"P002",80,"P003",72,"P004",30,"P005",110,"P006",24,"P007",14,"P008",12,"P009",115,"P010",360))*Table1[[#This Row],[Quantity]]</f>
        <v>7200</v>
      </c>
      <c r="U72" s="1" cm="1">
        <f t="array" ref="U72">_xlfn.SWITCH(Table1[[#This Row],[Product ID]],"P001",15,"P002",0,"P003",8,"P004",8,"P005",0,"P006",7,"P007",7,"P008",6,"P009",45,"P010",60)</f>
        <v>60</v>
      </c>
      <c r="V72" s="1">
        <f>Table1[[#This Row],[Shipping per Unit]]*Table1[[#This Row],[Quantity]]</f>
        <v>1200</v>
      </c>
      <c r="W72" s="2">
        <f>IF(Table1[[#This Row],[Total Shipping]]&gt;0.1,0.2,0)</f>
        <v>0.2</v>
      </c>
      <c r="X72" s="4">
        <f>Table1[[#This Row],[Total Shipping]]*Table1[[#This Row],[VAT on Shipping]]</f>
        <v>240</v>
      </c>
      <c r="Y72" s="1">
        <f>Table1[[#This Row],[Revenue]]-Table1[[#This Row],[COGS]]</f>
        <v>3082</v>
      </c>
      <c r="Z72" s="3">
        <f>(Table1[[#This Row],[Profit]]/Table1[[#This Row],[Revenue]])</f>
        <v>0.29974713090838356</v>
      </c>
      <c r="AA72" s="1">
        <f>Table1[[#This Row],[Profit]]-Table1[[#This Row],[Total Shipping]]</f>
        <v>1882</v>
      </c>
      <c r="AB72" s="3">
        <f>Table1[[#This Row],[Operating Profit]]/Table1[[#This Row],[Revenue]]</f>
        <v>0.18303831939311418</v>
      </c>
    </row>
    <row r="73" spans="1:28" x14ac:dyDescent="0.25">
      <c r="A73" t="s">
        <v>114</v>
      </c>
      <c r="B73">
        <v>337</v>
      </c>
      <c r="C73" t="s">
        <v>71</v>
      </c>
      <c r="D73" t="s">
        <v>36</v>
      </c>
      <c r="E73" t="s">
        <v>49</v>
      </c>
      <c r="F73" t="s">
        <v>87</v>
      </c>
      <c r="G73" t="str" cm="1">
        <f t="array" ref="G73">_xlfn.SWITCH(F73,"Acme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73" t="s">
        <v>58</v>
      </c>
      <c r="I73" t="s">
        <v>55</v>
      </c>
      <c r="J73" t="str" cm="1">
        <f t="array" ref="J73">_xlfn.SWITCH(I73,"P001","Laptop","P002","Server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3" s="1" cm="1">
        <f t="array" ref="K73">_xlfn.SWITCH(Table1[[#This Row],[Product ID]],"P001",220,"P002",150,"P003",130,"P004",70,"P005",200,"P006",40,"P007",25,"P008",20,"P009",190,"P010",530)</f>
        <v>70</v>
      </c>
      <c r="L73">
        <v>14</v>
      </c>
      <c r="M73" s="1">
        <f>Table1[[#This Row],[Unit Price]]*Table1[[#This Row],[Quantity]]</f>
        <v>980</v>
      </c>
      <c r="N73" s="2">
        <v>0.03</v>
      </c>
      <c r="O73" s="1">
        <f>Table1[[#This Row],[Gross Value]]*(1-Table1[[#This Row],[Discount]])</f>
        <v>950.6</v>
      </c>
      <c r="P73" s="2">
        <v>0.2</v>
      </c>
      <c r="Q73" s="1">
        <f>Table1[[#This Row],[Revenue]]*Table1[[#This Row],[VAT Rate]]</f>
        <v>190.12</v>
      </c>
      <c r="R73" s="1">
        <f>Table1[[#This Row],[Revenue]]+Table1[[#This Row],[VAT Charged]]</f>
        <v>1140.72</v>
      </c>
      <c r="S73" s="1" cm="1">
        <f t="array" ref="S73">_xlfn.SWITCH(Table1[[#This Row],[Product ID]],"P001",140,"P002",80,"P003",72,"P004",30,"P005",110,"P006",24,"P007",14,"P008",12,"P009",115,"P010",360)</f>
        <v>30</v>
      </c>
      <c r="T73" s="1" cm="1">
        <f t="array" ref="T73">(_xlfn.SWITCH(Table1[[#This Row],[Product ID]],"P001",140,"P002",80,"P003",72,"P004",30,"P005",110,"P006",24,"P007",14,"P008",12,"P009",115,"P010",360))*Table1[[#This Row],[Quantity]]</f>
        <v>420</v>
      </c>
      <c r="U73" s="1" cm="1">
        <f t="array" ref="U73">_xlfn.SWITCH(Table1[[#This Row],[Product ID]],"P001",15,"P002",0,"P003",8,"P004",8,"P005",0,"P006",7,"P007",7,"P008",6,"P009",45,"P010",60)</f>
        <v>8</v>
      </c>
      <c r="V73" s="1">
        <f>Table1[[#This Row],[Shipping per Unit]]*Table1[[#This Row],[Quantity]]</f>
        <v>112</v>
      </c>
      <c r="W73" s="2">
        <f>IF(Table1[[#This Row],[Total Shipping]]&gt;0.1,0.2,0)</f>
        <v>0.2</v>
      </c>
      <c r="X73" s="4">
        <f>Table1[[#This Row],[Total Shipping]]*Table1[[#This Row],[VAT on Shipping]]</f>
        <v>22.400000000000002</v>
      </c>
      <c r="Y73" s="1">
        <f>Table1[[#This Row],[Revenue]]-Table1[[#This Row],[COGS]]</f>
        <v>530.6</v>
      </c>
      <c r="Z73" s="3">
        <f>(Table1[[#This Row],[Profit]]/Table1[[#This Row],[Revenue]])</f>
        <v>0.5581737849779087</v>
      </c>
      <c r="AA73" s="1">
        <f>Table1[[#This Row],[Profit]]-Table1[[#This Row],[Total Shipping]]</f>
        <v>418.6</v>
      </c>
      <c r="AB73" s="3">
        <f>Table1[[#This Row],[Operating Profit]]/Table1[[#This Row],[Revenue]]</f>
        <v>0.44035346097201766</v>
      </c>
    </row>
    <row r="74" spans="1:28" x14ac:dyDescent="0.25">
      <c r="A74" t="s">
        <v>114</v>
      </c>
      <c r="B74">
        <v>426</v>
      </c>
      <c r="C74" t="s">
        <v>35</v>
      </c>
      <c r="D74" t="s">
        <v>30</v>
      </c>
      <c r="E74" t="s">
        <v>40</v>
      </c>
      <c r="F74" t="s">
        <v>41</v>
      </c>
      <c r="G74" t="str" cm="1">
        <f t="array" ref="G74">_xlfn.SWITCH(F74,"Acme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74" t="s">
        <v>45</v>
      </c>
      <c r="I74" t="s">
        <v>42</v>
      </c>
      <c r="J74" t="str" cm="1">
        <f t="array" ref="J74">_xlfn.SWITCH(I74,"P001","Laptop","P002","Server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4" s="1" cm="1">
        <f t="array" ref="K74">_xlfn.SWITCH(Table1[[#This Row],[Product ID]],"P001",220,"P002",150,"P003",130,"P004",70,"P005",200,"P006",40,"P007",25,"P008",20,"P009",190,"P010",530)</f>
        <v>40</v>
      </c>
      <c r="L74">
        <v>17</v>
      </c>
      <c r="M74" s="1">
        <f>Table1[[#This Row],[Unit Price]]*Table1[[#This Row],[Quantity]]</f>
        <v>680</v>
      </c>
      <c r="N74" s="2">
        <v>0.09</v>
      </c>
      <c r="O74" s="1">
        <f>Table1[[#This Row],[Gross Value]]*(1-Table1[[#This Row],[Discount]])</f>
        <v>618.80000000000007</v>
      </c>
      <c r="P74" s="2">
        <v>0.2</v>
      </c>
      <c r="Q74" s="1">
        <f>Table1[[#This Row],[Revenue]]*Table1[[#This Row],[VAT Rate]]</f>
        <v>123.76000000000002</v>
      </c>
      <c r="R74" s="1">
        <f>Table1[[#This Row],[Revenue]]+Table1[[#This Row],[VAT Charged]]</f>
        <v>742.56000000000006</v>
      </c>
      <c r="S74" s="1" cm="1">
        <f t="array" ref="S74">_xlfn.SWITCH(Table1[[#This Row],[Product ID]],"P001",140,"P002",80,"P003",72,"P004",30,"P005",110,"P006",24,"P007",14,"P008",12,"P009",115,"P010",360)</f>
        <v>24</v>
      </c>
      <c r="T74" s="1" cm="1">
        <f t="array" ref="T74">(_xlfn.SWITCH(Table1[[#This Row],[Product ID]],"P001",140,"P002",80,"P003",72,"P004",30,"P005",110,"P006",24,"P007",14,"P008",12,"P009",115,"P010",360))*Table1[[#This Row],[Quantity]]</f>
        <v>408</v>
      </c>
      <c r="U74" s="1" cm="1">
        <f t="array" ref="U74">_xlfn.SWITCH(Table1[[#This Row],[Product ID]],"P001",15,"P002",0,"P003",8,"P004",8,"P005",0,"P006",7,"P007",7,"P008",6,"P009",45,"P010",60)</f>
        <v>7</v>
      </c>
      <c r="V74" s="1">
        <f>Table1[[#This Row],[Shipping per Unit]]*Table1[[#This Row],[Quantity]]</f>
        <v>119</v>
      </c>
      <c r="W74" s="2">
        <f>IF(Table1[[#This Row],[Total Shipping]]&gt;0.1,0.2,0)</f>
        <v>0.2</v>
      </c>
      <c r="X74" s="4">
        <f>Table1[[#This Row],[Total Shipping]]*Table1[[#This Row],[VAT on Shipping]]</f>
        <v>23.8</v>
      </c>
      <c r="Y74" s="1">
        <f>Table1[[#This Row],[Revenue]]-Table1[[#This Row],[COGS]]</f>
        <v>210.80000000000007</v>
      </c>
      <c r="Z74" s="3">
        <f>(Table1[[#This Row],[Profit]]/Table1[[#This Row],[Revenue]])</f>
        <v>0.34065934065934073</v>
      </c>
      <c r="AA74" s="1">
        <f>Table1[[#This Row],[Profit]]-Table1[[#This Row],[Total Shipping]]</f>
        <v>91.800000000000068</v>
      </c>
      <c r="AB74" s="3">
        <f>Table1[[#This Row],[Operating Profit]]/Table1[[#This Row],[Revenue]]</f>
        <v>0.14835164835164844</v>
      </c>
    </row>
    <row r="75" spans="1:28" x14ac:dyDescent="0.25">
      <c r="A75" t="s">
        <v>114</v>
      </c>
      <c r="B75">
        <v>588</v>
      </c>
      <c r="C75" t="s">
        <v>35</v>
      </c>
      <c r="D75" t="s">
        <v>57</v>
      </c>
      <c r="E75" t="s">
        <v>40</v>
      </c>
      <c r="F75" t="s">
        <v>32</v>
      </c>
      <c r="G75" t="str" cm="1">
        <f t="array" ref="G75">_xlfn.SWITCH(F75,"Acme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75" t="s">
        <v>58</v>
      </c>
      <c r="I75" t="s">
        <v>42</v>
      </c>
      <c r="J75" t="str" cm="1">
        <f t="array" ref="J75">_xlfn.SWITCH(I75,"P001","Laptop","P002","Server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5" s="1" cm="1">
        <f t="array" ref="K75">_xlfn.SWITCH(Table1[[#This Row],[Product ID]],"P001",220,"P002",150,"P003",130,"P004",70,"P005",200,"P006",40,"P007",25,"P008",20,"P009",190,"P010",530)</f>
        <v>40</v>
      </c>
      <c r="L75">
        <v>1</v>
      </c>
      <c r="M75" s="1">
        <f>Table1[[#This Row],[Unit Price]]*Table1[[#This Row],[Quantity]]</f>
        <v>40</v>
      </c>
      <c r="N75" s="2">
        <v>0.06</v>
      </c>
      <c r="O75" s="1">
        <f>Table1[[#This Row],[Gross Value]]*(1-Table1[[#This Row],[Discount]])</f>
        <v>37.599999999999994</v>
      </c>
      <c r="P75" s="2">
        <v>0.2</v>
      </c>
      <c r="Q75" s="1">
        <f>Table1[[#This Row],[Revenue]]*Table1[[#This Row],[VAT Rate]]</f>
        <v>7.52</v>
      </c>
      <c r="R75" s="1">
        <f>Table1[[#This Row],[Revenue]]+Table1[[#This Row],[VAT Charged]]</f>
        <v>45.11999999999999</v>
      </c>
      <c r="S75" s="1" cm="1">
        <f t="array" ref="S75">_xlfn.SWITCH(Table1[[#This Row],[Product ID]],"P001",140,"P002",80,"P003",72,"P004",30,"P005",110,"P006",24,"P007",14,"P008",12,"P009",115,"P010",360)</f>
        <v>24</v>
      </c>
      <c r="T75" s="1" cm="1">
        <f t="array" ref="T75">(_xlfn.SWITCH(Table1[[#This Row],[Product ID]],"P001",140,"P002",80,"P003",72,"P004",30,"P005",110,"P006",24,"P007",14,"P008",12,"P009",115,"P010",360))*Table1[[#This Row],[Quantity]]</f>
        <v>24</v>
      </c>
      <c r="U75" s="1" cm="1">
        <f t="array" ref="U75">_xlfn.SWITCH(Table1[[#This Row],[Product ID]],"P001",15,"P002",0,"P003",8,"P004",8,"P005",0,"P006",7,"P007",7,"P008",6,"P009",45,"P010",60)</f>
        <v>7</v>
      </c>
      <c r="V75" s="1">
        <f>Table1[[#This Row],[Shipping per Unit]]*Table1[[#This Row],[Quantity]]</f>
        <v>7</v>
      </c>
      <c r="W75" s="2">
        <f>IF(Table1[[#This Row],[Total Shipping]]&gt;0.1,0.2,0)</f>
        <v>0.2</v>
      </c>
      <c r="X75" s="4">
        <f>Table1[[#This Row],[Total Shipping]]*Table1[[#This Row],[VAT on Shipping]]</f>
        <v>1.4000000000000001</v>
      </c>
      <c r="Y75" s="1">
        <f>Table1[[#This Row],[Revenue]]-Table1[[#This Row],[COGS]]</f>
        <v>13.599999999999994</v>
      </c>
      <c r="Z75" s="3">
        <f>(Table1[[#This Row],[Profit]]/Table1[[#This Row],[Revenue]])</f>
        <v>0.36170212765957438</v>
      </c>
      <c r="AA75" s="1">
        <f>Table1[[#This Row],[Profit]]-Table1[[#This Row],[Total Shipping]]</f>
        <v>6.5999999999999943</v>
      </c>
      <c r="AB75" s="3">
        <f>Table1[[#This Row],[Operating Profit]]/Table1[[#This Row],[Revenue]]</f>
        <v>0.17553191489361689</v>
      </c>
    </row>
    <row r="76" spans="1:28" x14ac:dyDescent="0.25">
      <c r="A76" t="s">
        <v>114</v>
      </c>
      <c r="B76">
        <v>830</v>
      </c>
      <c r="C76" t="s">
        <v>65</v>
      </c>
      <c r="D76" t="s">
        <v>30</v>
      </c>
      <c r="E76" t="s">
        <v>40</v>
      </c>
      <c r="F76" t="s">
        <v>90</v>
      </c>
      <c r="G76" t="str" cm="1">
        <f t="array" ref="G76">_xlfn.SWITCH(F76,"Acme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76" t="s">
        <v>45</v>
      </c>
      <c r="I76" t="s">
        <v>75</v>
      </c>
      <c r="J76" t="str" cm="1">
        <f t="array" ref="J76">_xlfn.SWITCH(I76,"P001","Laptop","P002","Server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76" s="1" cm="1">
        <f t="array" ref="K76">_xlfn.SWITCH(Table1[[#This Row],[Product ID]],"P001",220,"P002",150,"P003",130,"P004",70,"P005",200,"P006",40,"P007",25,"P008",20,"P009",190,"P010",530)</f>
        <v>200</v>
      </c>
      <c r="L76">
        <v>9</v>
      </c>
      <c r="M76" s="1">
        <f>Table1[[#This Row],[Unit Price]]*Table1[[#This Row],[Quantity]]</f>
        <v>1800</v>
      </c>
      <c r="N76" s="2">
        <v>0.02</v>
      </c>
      <c r="O76" s="1">
        <f>Table1[[#This Row],[Gross Value]]*(1-Table1[[#This Row],[Discount]])</f>
        <v>1764</v>
      </c>
      <c r="P76" s="2">
        <v>0.2</v>
      </c>
      <c r="Q76" s="1">
        <f>Table1[[#This Row],[Revenue]]*Table1[[#This Row],[VAT Rate]]</f>
        <v>352.8</v>
      </c>
      <c r="R76" s="1">
        <f>Table1[[#This Row],[Revenue]]+Table1[[#This Row],[VAT Charged]]</f>
        <v>2116.8000000000002</v>
      </c>
      <c r="S76" s="1" cm="1">
        <f t="array" ref="S76">_xlfn.SWITCH(Table1[[#This Row],[Product ID]],"P001",140,"P002",80,"P003",72,"P004",30,"P005",110,"P006",24,"P007",14,"P008",12,"P009",115,"P010",360)</f>
        <v>110</v>
      </c>
      <c r="T76" s="1" cm="1">
        <f t="array" ref="T76">(_xlfn.SWITCH(Table1[[#This Row],[Product ID]],"P001",140,"P002",80,"P003",72,"P004",30,"P005",110,"P006",24,"P007",14,"P008",12,"P009",115,"P010",360))*Table1[[#This Row],[Quantity]]</f>
        <v>990</v>
      </c>
      <c r="U76" s="1" cm="1">
        <f t="array" ref="U76">_xlfn.SWITCH(Table1[[#This Row],[Product ID]],"P001",15,"P002",0,"P003",8,"P004",8,"P005",0,"P006",7,"P007",7,"P008",6,"P009",45,"P010",60)</f>
        <v>0</v>
      </c>
      <c r="V76" s="1">
        <f>Table1[[#This Row],[Shipping per Unit]]*Table1[[#This Row],[Quantity]]</f>
        <v>0</v>
      </c>
      <c r="W76" s="2">
        <f>IF(Table1[[#This Row],[Total Shipping]]&gt;0.1,0.2,0)</f>
        <v>0</v>
      </c>
      <c r="X76" s="4">
        <f>Table1[[#This Row],[Total Shipping]]*Table1[[#This Row],[VAT on Shipping]]</f>
        <v>0</v>
      </c>
      <c r="Y76" s="1">
        <f>Table1[[#This Row],[Revenue]]-Table1[[#This Row],[COGS]]</f>
        <v>774</v>
      </c>
      <c r="Z76" s="3">
        <f>(Table1[[#This Row],[Profit]]/Table1[[#This Row],[Revenue]])</f>
        <v>0.43877551020408162</v>
      </c>
      <c r="AA76" s="1">
        <f>Table1[[#This Row],[Profit]]-Table1[[#This Row],[Total Shipping]]</f>
        <v>774</v>
      </c>
      <c r="AB76" s="3">
        <f>Table1[[#This Row],[Operating Profit]]/Table1[[#This Row],[Revenue]]</f>
        <v>0.43877551020408162</v>
      </c>
    </row>
    <row r="77" spans="1:28" x14ac:dyDescent="0.25">
      <c r="A77" t="s">
        <v>114</v>
      </c>
      <c r="B77">
        <v>877</v>
      </c>
      <c r="C77" t="s">
        <v>38</v>
      </c>
      <c r="D77" t="s">
        <v>72</v>
      </c>
      <c r="E77" t="s">
        <v>49</v>
      </c>
      <c r="F77" t="s">
        <v>84</v>
      </c>
      <c r="G77" t="str" cm="1">
        <f t="array" ref="G77">_xlfn.SWITCH(F77,"Acme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77" t="s">
        <v>33</v>
      </c>
      <c r="I77" t="s">
        <v>34</v>
      </c>
      <c r="J77" t="str" cm="1">
        <f t="array" ref="J77">_xlfn.SWITCH(I77,"P001","Laptop","P002","Server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7" s="1" cm="1">
        <f t="array" ref="K77">_xlfn.SWITCH(Table1[[#This Row],[Product ID]],"P001",220,"P002",150,"P003",130,"P004",70,"P005",200,"P006",40,"P007",25,"P008",20,"P009",190,"P010",530)</f>
        <v>20</v>
      </c>
      <c r="L77">
        <v>20</v>
      </c>
      <c r="M77" s="1">
        <f>Table1[[#This Row],[Unit Price]]*Table1[[#This Row],[Quantity]]</f>
        <v>400</v>
      </c>
      <c r="N77" s="2">
        <v>0.03</v>
      </c>
      <c r="O77" s="1">
        <f>Table1[[#This Row],[Gross Value]]*(1-Table1[[#This Row],[Discount]])</f>
        <v>388</v>
      </c>
      <c r="P77" s="2">
        <v>0.2</v>
      </c>
      <c r="Q77" s="1">
        <f>Table1[[#This Row],[Revenue]]*Table1[[#This Row],[VAT Rate]]</f>
        <v>77.600000000000009</v>
      </c>
      <c r="R77" s="1">
        <f>Table1[[#This Row],[Revenue]]+Table1[[#This Row],[VAT Charged]]</f>
        <v>465.6</v>
      </c>
      <c r="S77" s="1" cm="1">
        <f t="array" ref="S77">_xlfn.SWITCH(Table1[[#This Row],[Product ID]],"P001",140,"P002",80,"P003",72,"P004",30,"P005",110,"P006",24,"P007",14,"P008",12,"P009",115,"P010",360)</f>
        <v>12</v>
      </c>
      <c r="T77" s="1" cm="1">
        <f t="array" ref="T77">(_xlfn.SWITCH(Table1[[#This Row],[Product ID]],"P001",140,"P002",80,"P003",72,"P004",30,"P005",110,"P006",24,"P007",14,"P008",12,"P009",115,"P010",360))*Table1[[#This Row],[Quantity]]</f>
        <v>240</v>
      </c>
      <c r="U77" s="1" cm="1">
        <f t="array" ref="U77">_xlfn.SWITCH(Table1[[#This Row],[Product ID]],"P001",15,"P002",0,"P003",8,"P004",8,"P005",0,"P006",7,"P007",7,"P008",6,"P009",45,"P010",60)</f>
        <v>6</v>
      </c>
      <c r="V77" s="1">
        <f>Table1[[#This Row],[Shipping per Unit]]*Table1[[#This Row],[Quantity]]</f>
        <v>120</v>
      </c>
      <c r="W77" s="2">
        <f>IF(Table1[[#This Row],[Total Shipping]]&gt;0.1,0.2,0)</f>
        <v>0.2</v>
      </c>
      <c r="X77" s="4">
        <f>Table1[[#This Row],[Total Shipping]]*Table1[[#This Row],[VAT on Shipping]]</f>
        <v>24</v>
      </c>
      <c r="Y77" s="1">
        <f>Table1[[#This Row],[Revenue]]-Table1[[#This Row],[COGS]]</f>
        <v>148</v>
      </c>
      <c r="Z77" s="3">
        <f>(Table1[[#This Row],[Profit]]/Table1[[#This Row],[Revenue]])</f>
        <v>0.38144329896907214</v>
      </c>
      <c r="AA77" s="1">
        <f>Table1[[#This Row],[Profit]]-Table1[[#This Row],[Total Shipping]]</f>
        <v>28</v>
      </c>
      <c r="AB77" s="3">
        <f>Table1[[#This Row],[Operating Profit]]/Table1[[#This Row],[Revenue]]</f>
        <v>7.2164948453608241E-2</v>
      </c>
    </row>
    <row r="78" spans="1:28" x14ac:dyDescent="0.25">
      <c r="A78" t="s">
        <v>115</v>
      </c>
      <c r="B78">
        <v>418</v>
      </c>
      <c r="C78" t="s">
        <v>29</v>
      </c>
      <c r="D78" t="s">
        <v>67</v>
      </c>
      <c r="E78" t="s">
        <v>40</v>
      </c>
      <c r="F78" t="s">
        <v>32</v>
      </c>
      <c r="G78" t="str" cm="1">
        <f t="array" ref="G78">_xlfn.SWITCH(F78,"Acme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78" t="s">
        <v>45</v>
      </c>
      <c r="I78" t="s">
        <v>52</v>
      </c>
      <c r="J78" t="str" cm="1">
        <f t="array" ref="J78">_xlfn.SWITCH(I78,"P001","Laptop","P002","Server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78" s="1" cm="1">
        <f t="array" ref="K78">_xlfn.SWITCH(Table1[[#This Row],[Product ID]],"P001",220,"P002",150,"P003",130,"P004",70,"P005",200,"P006",40,"P007",25,"P008",20,"P009",190,"P010",530)</f>
        <v>130</v>
      </c>
      <c r="L78">
        <v>20</v>
      </c>
      <c r="M78" s="1">
        <f>Table1[[#This Row],[Unit Price]]*Table1[[#This Row],[Quantity]]</f>
        <v>2600</v>
      </c>
      <c r="N78" s="2">
        <v>7.0000000000000007E-2</v>
      </c>
      <c r="O78" s="1">
        <f>Table1[[#This Row],[Gross Value]]*(1-Table1[[#This Row],[Discount]])</f>
        <v>2418</v>
      </c>
      <c r="P78" s="2">
        <v>0.2</v>
      </c>
      <c r="Q78" s="1">
        <f>Table1[[#This Row],[Revenue]]*Table1[[#This Row],[VAT Rate]]</f>
        <v>483.6</v>
      </c>
      <c r="R78" s="1">
        <f>Table1[[#This Row],[Revenue]]+Table1[[#This Row],[VAT Charged]]</f>
        <v>2901.6</v>
      </c>
      <c r="S78" s="1" cm="1">
        <f t="array" ref="S78">_xlfn.SWITCH(Table1[[#This Row],[Product ID]],"P001",140,"P002",80,"P003",72,"P004",30,"P005",110,"P006",24,"P007",14,"P008",12,"P009",115,"P010",360)</f>
        <v>72</v>
      </c>
      <c r="T78" s="1" cm="1">
        <f t="array" ref="T78">(_xlfn.SWITCH(Table1[[#This Row],[Product ID]],"P001",140,"P002",80,"P003",72,"P004",30,"P005",110,"P006",24,"P007",14,"P008",12,"P009",115,"P010",360))*Table1[[#This Row],[Quantity]]</f>
        <v>1440</v>
      </c>
      <c r="U78" s="1" cm="1">
        <f t="array" ref="U78">_xlfn.SWITCH(Table1[[#This Row],[Product ID]],"P001",15,"P002",0,"P003",8,"P004",8,"P005",0,"P006",7,"P007",7,"P008",6,"P009",45,"P010",60)</f>
        <v>8</v>
      </c>
      <c r="V78" s="1">
        <f>Table1[[#This Row],[Shipping per Unit]]*Table1[[#This Row],[Quantity]]</f>
        <v>160</v>
      </c>
      <c r="W78" s="2">
        <f>IF(Table1[[#This Row],[Total Shipping]]&gt;0.1,0.2,0)</f>
        <v>0.2</v>
      </c>
      <c r="X78" s="4">
        <f>Table1[[#This Row],[Total Shipping]]*Table1[[#This Row],[VAT on Shipping]]</f>
        <v>32</v>
      </c>
      <c r="Y78" s="1">
        <f>Table1[[#This Row],[Revenue]]-Table1[[#This Row],[COGS]]</f>
        <v>978</v>
      </c>
      <c r="Z78" s="3">
        <f>(Table1[[#This Row],[Profit]]/Table1[[#This Row],[Revenue]])</f>
        <v>0.40446650124069478</v>
      </c>
      <c r="AA78" s="1">
        <f>Table1[[#This Row],[Profit]]-Table1[[#This Row],[Total Shipping]]</f>
        <v>818</v>
      </c>
      <c r="AB78" s="3">
        <f>Table1[[#This Row],[Operating Profit]]/Table1[[#This Row],[Revenue]]</f>
        <v>0.33829611248966085</v>
      </c>
    </row>
    <row r="79" spans="1:28" x14ac:dyDescent="0.25">
      <c r="A79" t="s">
        <v>116</v>
      </c>
      <c r="B79">
        <v>209</v>
      </c>
      <c r="C79" t="s">
        <v>62</v>
      </c>
      <c r="D79" t="s">
        <v>48</v>
      </c>
      <c r="E79" t="s">
        <v>40</v>
      </c>
      <c r="F79" t="s">
        <v>74</v>
      </c>
      <c r="G79" t="str" cm="1">
        <f t="array" ref="G79">_xlfn.SWITCH(F79,"Acme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79" t="s">
        <v>45</v>
      </c>
      <c r="I79" t="s">
        <v>42</v>
      </c>
      <c r="J79" t="str" cm="1">
        <f t="array" ref="J79">_xlfn.SWITCH(I79,"P001","Laptop","P002","Server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9" s="1" cm="1">
        <f t="array" ref="K79">_xlfn.SWITCH(Table1[[#This Row],[Product ID]],"P001",220,"P002",150,"P003",130,"P004",70,"P005",200,"P006",40,"P007",25,"P008",20,"P009",190,"P010",530)</f>
        <v>40</v>
      </c>
      <c r="L79">
        <v>13</v>
      </c>
      <c r="M79" s="1">
        <f>Table1[[#This Row],[Unit Price]]*Table1[[#This Row],[Quantity]]</f>
        <v>520</v>
      </c>
      <c r="N79" s="2">
        <v>0.09</v>
      </c>
      <c r="O79" s="1">
        <f>Table1[[#This Row],[Gross Value]]*(1-Table1[[#This Row],[Discount]])</f>
        <v>473.2</v>
      </c>
      <c r="P79" s="2">
        <v>0.2</v>
      </c>
      <c r="Q79" s="1">
        <f>Table1[[#This Row],[Revenue]]*Table1[[#This Row],[VAT Rate]]</f>
        <v>94.64</v>
      </c>
      <c r="R79" s="1">
        <f>Table1[[#This Row],[Revenue]]+Table1[[#This Row],[VAT Charged]]</f>
        <v>567.84</v>
      </c>
      <c r="S79" s="1" cm="1">
        <f t="array" ref="S79">_xlfn.SWITCH(Table1[[#This Row],[Product ID]],"P001",140,"P002",80,"P003",72,"P004",30,"P005",110,"P006",24,"P007",14,"P008",12,"P009",115,"P010",360)</f>
        <v>24</v>
      </c>
      <c r="T79" s="1" cm="1">
        <f t="array" ref="T79">(_xlfn.SWITCH(Table1[[#This Row],[Product ID]],"P001",140,"P002",80,"P003",72,"P004",30,"P005",110,"P006",24,"P007",14,"P008",12,"P009",115,"P010",360))*Table1[[#This Row],[Quantity]]</f>
        <v>312</v>
      </c>
      <c r="U79" s="1" cm="1">
        <f t="array" ref="U79">_xlfn.SWITCH(Table1[[#This Row],[Product ID]],"P001",15,"P002",0,"P003",8,"P004",8,"P005",0,"P006",7,"P007",7,"P008",6,"P009",45,"P010",60)</f>
        <v>7</v>
      </c>
      <c r="V79" s="1">
        <f>Table1[[#This Row],[Shipping per Unit]]*Table1[[#This Row],[Quantity]]</f>
        <v>91</v>
      </c>
      <c r="W79" s="2">
        <f>IF(Table1[[#This Row],[Total Shipping]]&gt;0.1,0.2,0)</f>
        <v>0.2</v>
      </c>
      <c r="X79" s="4">
        <f>Table1[[#This Row],[Total Shipping]]*Table1[[#This Row],[VAT on Shipping]]</f>
        <v>18.2</v>
      </c>
      <c r="Y79" s="1">
        <f>Table1[[#This Row],[Revenue]]-Table1[[#This Row],[COGS]]</f>
        <v>161.19999999999999</v>
      </c>
      <c r="Z79" s="3">
        <f>(Table1[[#This Row],[Profit]]/Table1[[#This Row],[Revenue]])</f>
        <v>0.34065934065934067</v>
      </c>
      <c r="AA79" s="1">
        <f>Table1[[#This Row],[Profit]]-Table1[[#This Row],[Total Shipping]]</f>
        <v>70.199999999999989</v>
      </c>
      <c r="AB79" s="3">
        <f>Table1[[#This Row],[Operating Profit]]/Table1[[#This Row],[Revenue]]</f>
        <v>0.14835164835164832</v>
      </c>
    </row>
    <row r="80" spans="1:28" x14ac:dyDescent="0.25">
      <c r="A80" t="s">
        <v>116</v>
      </c>
      <c r="B80">
        <v>686</v>
      </c>
      <c r="C80" t="s">
        <v>62</v>
      </c>
      <c r="D80" t="s">
        <v>48</v>
      </c>
      <c r="E80" t="s">
        <v>31</v>
      </c>
      <c r="F80" t="s">
        <v>66</v>
      </c>
      <c r="G80" t="str" cm="1">
        <f t="array" ref="G80">_xlfn.SWITCH(F80,"Acme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80" t="s">
        <v>45</v>
      </c>
      <c r="I80" t="s">
        <v>55</v>
      </c>
      <c r="J80" t="str" cm="1">
        <f t="array" ref="J80">_xlfn.SWITCH(I80,"P001","Laptop","P002","Server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0" s="1" cm="1">
        <f t="array" ref="K80">_xlfn.SWITCH(Table1[[#This Row],[Product ID]],"P001",220,"P002",150,"P003",130,"P004",70,"P005",200,"P006",40,"P007",25,"P008",20,"P009",190,"P010",530)</f>
        <v>70</v>
      </c>
      <c r="L80">
        <v>7</v>
      </c>
      <c r="M80" s="1">
        <f>Table1[[#This Row],[Unit Price]]*Table1[[#This Row],[Quantity]]</f>
        <v>490</v>
      </c>
      <c r="N80" s="2">
        <v>0.1</v>
      </c>
      <c r="O80" s="1">
        <f>Table1[[#This Row],[Gross Value]]*(1-Table1[[#This Row],[Discount]])</f>
        <v>441</v>
      </c>
      <c r="P80" s="2">
        <v>0.2</v>
      </c>
      <c r="Q80" s="1">
        <f>Table1[[#This Row],[Revenue]]*Table1[[#This Row],[VAT Rate]]</f>
        <v>88.2</v>
      </c>
      <c r="R80" s="1">
        <f>Table1[[#This Row],[Revenue]]+Table1[[#This Row],[VAT Charged]]</f>
        <v>529.20000000000005</v>
      </c>
      <c r="S80" s="1" cm="1">
        <f t="array" ref="S80">_xlfn.SWITCH(Table1[[#This Row],[Product ID]],"P001",140,"P002",80,"P003",72,"P004",30,"P005",110,"P006",24,"P007",14,"P008",12,"P009",115,"P010",360)</f>
        <v>30</v>
      </c>
      <c r="T80" s="1" cm="1">
        <f t="array" ref="T80">(_xlfn.SWITCH(Table1[[#This Row],[Product ID]],"P001",140,"P002",80,"P003",72,"P004",30,"P005",110,"P006",24,"P007",14,"P008",12,"P009",115,"P010",360))*Table1[[#This Row],[Quantity]]</f>
        <v>210</v>
      </c>
      <c r="U80" s="1" cm="1">
        <f t="array" ref="U80">_xlfn.SWITCH(Table1[[#This Row],[Product ID]],"P001",15,"P002",0,"P003",8,"P004",8,"P005",0,"P006",7,"P007",7,"P008",6,"P009",45,"P010",60)</f>
        <v>8</v>
      </c>
      <c r="V80" s="1">
        <f>Table1[[#This Row],[Shipping per Unit]]*Table1[[#This Row],[Quantity]]</f>
        <v>56</v>
      </c>
      <c r="W80" s="2">
        <f>IF(Table1[[#This Row],[Total Shipping]]&gt;0.1,0.2,0)</f>
        <v>0.2</v>
      </c>
      <c r="X80" s="4">
        <f>Table1[[#This Row],[Total Shipping]]*Table1[[#This Row],[VAT on Shipping]]</f>
        <v>11.200000000000001</v>
      </c>
      <c r="Y80" s="1">
        <f>Table1[[#This Row],[Revenue]]-Table1[[#This Row],[COGS]]</f>
        <v>231</v>
      </c>
      <c r="Z80" s="3">
        <f>(Table1[[#This Row],[Profit]]/Table1[[#This Row],[Revenue]])</f>
        <v>0.52380952380952384</v>
      </c>
      <c r="AA80" s="1">
        <f>Table1[[#This Row],[Profit]]-Table1[[#This Row],[Total Shipping]]</f>
        <v>175</v>
      </c>
      <c r="AB80" s="3">
        <f>Table1[[#This Row],[Operating Profit]]/Table1[[#This Row],[Revenue]]</f>
        <v>0.3968253968253968</v>
      </c>
    </row>
    <row r="81" spans="1:28" x14ac:dyDescent="0.25">
      <c r="A81" t="s">
        <v>117</v>
      </c>
      <c r="B81">
        <v>4</v>
      </c>
      <c r="C81" t="s">
        <v>65</v>
      </c>
      <c r="D81" t="s">
        <v>53</v>
      </c>
      <c r="E81" t="s">
        <v>31</v>
      </c>
      <c r="F81" t="s">
        <v>78</v>
      </c>
      <c r="G81" t="str" cm="1">
        <f t="array" ref="G81">_xlfn.SWITCH(F81,"Acme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1" t="s">
        <v>33</v>
      </c>
      <c r="I81" t="s">
        <v>42</v>
      </c>
      <c r="J81" t="str" cm="1">
        <f t="array" ref="J81">_xlfn.SWITCH(I81,"P001","Laptop","P002","Server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1" s="1" cm="1">
        <f t="array" ref="K81">_xlfn.SWITCH(Table1[[#This Row],[Product ID]],"P001",220,"P002",150,"P003",130,"P004",70,"P005",200,"P006",40,"P007",25,"P008",20,"P009",190,"P010",530)</f>
        <v>40</v>
      </c>
      <c r="L81">
        <v>9</v>
      </c>
      <c r="M81" s="1">
        <f>Table1[[#This Row],[Unit Price]]*Table1[[#This Row],[Quantity]]</f>
        <v>360</v>
      </c>
      <c r="N81" s="2">
        <v>0.1</v>
      </c>
      <c r="O81" s="1">
        <f>Table1[[#This Row],[Gross Value]]*(1-Table1[[#This Row],[Discount]])</f>
        <v>324</v>
      </c>
      <c r="P81" s="2">
        <v>0.2</v>
      </c>
      <c r="Q81" s="1">
        <f>Table1[[#This Row],[Revenue]]*Table1[[#This Row],[VAT Rate]]</f>
        <v>64.8</v>
      </c>
      <c r="R81" s="1">
        <f>Table1[[#This Row],[Revenue]]+Table1[[#This Row],[VAT Charged]]</f>
        <v>388.8</v>
      </c>
      <c r="S81" s="1" cm="1">
        <f t="array" ref="S81">_xlfn.SWITCH(Table1[[#This Row],[Product ID]],"P001",140,"P002",80,"P003",72,"P004",30,"P005",110,"P006",24,"P007",14,"P008",12,"P009",115,"P010",360)</f>
        <v>24</v>
      </c>
      <c r="T81" s="1" cm="1">
        <f t="array" ref="T81">(_xlfn.SWITCH(Table1[[#This Row],[Product ID]],"P001",140,"P002",80,"P003",72,"P004",30,"P005",110,"P006",24,"P007",14,"P008",12,"P009",115,"P010",360))*Table1[[#This Row],[Quantity]]</f>
        <v>216</v>
      </c>
      <c r="U81" s="1" cm="1">
        <f t="array" ref="U81">_xlfn.SWITCH(Table1[[#This Row],[Product ID]],"P001",15,"P002",0,"P003",8,"P004",8,"P005",0,"P006",7,"P007",7,"P008",6,"P009",45,"P010",60)</f>
        <v>7</v>
      </c>
      <c r="V81" s="1">
        <f>Table1[[#This Row],[Shipping per Unit]]*Table1[[#This Row],[Quantity]]</f>
        <v>63</v>
      </c>
      <c r="W81" s="2">
        <f>IF(Table1[[#This Row],[Total Shipping]]&gt;0.1,0.2,0)</f>
        <v>0.2</v>
      </c>
      <c r="X81" s="4">
        <f>Table1[[#This Row],[Total Shipping]]*Table1[[#This Row],[VAT on Shipping]]</f>
        <v>12.600000000000001</v>
      </c>
      <c r="Y81" s="1">
        <f>Table1[[#This Row],[Revenue]]-Table1[[#This Row],[COGS]]</f>
        <v>108</v>
      </c>
      <c r="Z81" s="3">
        <f>(Table1[[#This Row],[Profit]]/Table1[[#This Row],[Revenue]])</f>
        <v>0.33333333333333331</v>
      </c>
      <c r="AA81" s="1">
        <f>Table1[[#This Row],[Profit]]-Table1[[#This Row],[Total Shipping]]</f>
        <v>45</v>
      </c>
      <c r="AB81" s="3">
        <f>Table1[[#This Row],[Operating Profit]]/Table1[[#This Row],[Revenue]]</f>
        <v>0.1388888888888889</v>
      </c>
    </row>
    <row r="82" spans="1:28" x14ac:dyDescent="0.25">
      <c r="A82" t="s">
        <v>117</v>
      </c>
      <c r="B82">
        <v>793</v>
      </c>
      <c r="C82" t="s">
        <v>35</v>
      </c>
      <c r="D82" t="s">
        <v>72</v>
      </c>
      <c r="E82" t="s">
        <v>40</v>
      </c>
      <c r="F82" t="s">
        <v>54</v>
      </c>
      <c r="G82" t="str" cm="1">
        <f t="array" ref="G82">_xlfn.SWITCH(F82,"Acme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82" t="s">
        <v>33</v>
      </c>
      <c r="I82" t="s">
        <v>68</v>
      </c>
      <c r="J82" t="str" cm="1">
        <f t="array" ref="J82">_xlfn.SWITCH(I82,"P001","Laptop","P002","Server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2" s="1" cm="1">
        <f t="array" ref="K82">_xlfn.SWITCH(Table1[[#This Row],[Product ID]],"P001",220,"P002",150,"P003",130,"P004",70,"P005",200,"P006",40,"P007",25,"P008",20,"P009",190,"P010",530)</f>
        <v>220</v>
      </c>
      <c r="L82">
        <v>16</v>
      </c>
      <c r="M82" s="1">
        <f>Table1[[#This Row],[Unit Price]]*Table1[[#This Row],[Quantity]]</f>
        <v>3520</v>
      </c>
      <c r="N82" s="2">
        <v>0.08</v>
      </c>
      <c r="O82" s="1">
        <f>Table1[[#This Row],[Gross Value]]*(1-Table1[[#This Row],[Discount]])</f>
        <v>3238.4</v>
      </c>
      <c r="P82" s="2">
        <v>0.2</v>
      </c>
      <c r="Q82" s="1">
        <f>Table1[[#This Row],[Revenue]]*Table1[[#This Row],[VAT Rate]]</f>
        <v>647.68000000000006</v>
      </c>
      <c r="R82" s="1">
        <f>Table1[[#This Row],[Revenue]]+Table1[[#This Row],[VAT Charged]]</f>
        <v>3886.08</v>
      </c>
      <c r="S82" s="1" cm="1">
        <f t="array" ref="S82">_xlfn.SWITCH(Table1[[#This Row],[Product ID]],"P001",140,"P002",80,"P003",72,"P004",30,"P005",110,"P006",24,"P007",14,"P008",12,"P009",115,"P010",360)</f>
        <v>140</v>
      </c>
      <c r="T82" s="1" cm="1">
        <f t="array" ref="T82">(_xlfn.SWITCH(Table1[[#This Row],[Product ID]],"P001",140,"P002",80,"P003",72,"P004",30,"P005",110,"P006",24,"P007",14,"P008",12,"P009",115,"P010",360))*Table1[[#This Row],[Quantity]]</f>
        <v>2240</v>
      </c>
      <c r="U82" s="1" cm="1">
        <f t="array" ref="U82">_xlfn.SWITCH(Table1[[#This Row],[Product ID]],"P001",15,"P002",0,"P003",8,"P004",8,"P005",0,"P006",7,"P007",7,"P008",6,"P009",45,"P010",60)</f>
        <v>15</v>
      </c>
      <c r="V82" s="1">
        <f>Table1[[#This Row],[Shipping per Unit]]*Table1[[#This Row],[Quantity]]</f>
        <v>240</v>
      </c>
      <c r="W82" s="2">
        <f>IF(Table1[[#This Row],[Total Shipping]]&gt;0.1,0.2,0)</f>
        <v>0.2</v>
      </c>
      <c r="X82" s="4">
        <f>Table1[[#This Row],[Total Shipping]]*Table1[[#This Row],[VAT on Shipping]]</f>
        <v>48</v>
      </c>
      <c r="Y82" s="1">
        <f>Table1[[#This Row],[Revenue]]-Table1[[#This Row],[COGS]]</f>
        <v>998.40000000000009</v>
      </c>
      <c r="Z82" s="3">
        <f>(Table1[[#This Row],[Profit]]/Table1[[#This Row],[Revenue]])</f>
        <v>0.30830039525691699</v>
      </c>
      <c r="AA82" s="1">
        <f>Table1[[#This Row],[Profit]]-Table1[[#This Row],[Total Shipping]]</f>
        <v>758.40000000000009</v>
      </c>
      <c r="AB82" s="3">
        <f>Table1[[#This Row],[Operating Profit]]/Table1[[#This Row],[Revenue]]</f>
        <v>0.23418972332015811</v>
      </c>
    </row>
    <row r="83" spans="1:28" x14ac:dyDescent="0.25">
      <c r="A83" t="s">
        <v>118</v>
      </c>
      <c r="B83">
        <v>10</v>
      </c>
      <c r="C83" t="s">
        <v>35</v>
      </c>
      <c r="D83" t="s">
        <v>63</v>
      </c>
      <c r="E83" t="s">
        <v>40</v>
      </c>
      <c r="F83" t="s">
        <v>119</v>
      </c>
      <c r="G83" t="str" cm="1">
        <f t="array" ref="G83">_xlfn.SWITCH(F83,"Acme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83" t="s">
        <v>58</v>
      </c>
      <c r="I83" t="s">
        <v>42</v>
      </c>
      <c r="J83" t="str" cm="1">
        <f t="array" ref="J83">_xlfn.SWITCH(I83,"P001","Laptop","P002","Server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3" s="1" cm="1">
        <f t="array" ref="K83">_xlfn.SWITCH(Table1[[#This Row],[Product ID]],"P001",220,"P002",150,"P003",130,"P004",70,"P005",200,"P006",40,"P007",25,"P008",20,"P009",190,"P010",530)</f>
        <v>40</v>
      </c>
      <c r="L83">
        <v>18</v>
      </c>
      <c r="M83" s="1">
        <f>Table1[[#This Row],[Unit Price]]*Table1[[#This Row],[Quantity]]</f>
        <v>720</v>
      </c>
      <c r="N83" s="2">
        <v>0.03</v>
      </c>
      <c r="O83" s="1">
        <f>Table1[[#This Row],[Gross Value]]*(1-Table1[[#This Row],[Discount]])</f>
        <v>698.4</v>
      </c>
      <c r="P83" s="2">
        <v>0.2</v>
      </c>
      <c r="Q83" s="1">
        <f>Table1[[#This Row],[Revenue]]*Table1[[#This Row],[VAT Rate]]</f>
        <v>139.68</v>
      </c>
      <c r="R83" s="1">
        <f>Table1[[#This Row],[Revenue]]+Table1[[#This Row],[VAT Charged]]</f>
        <v>838.07999999999993</v>
      </c>
      <c r="S83" s="1" cm="1">
        <f t="array" ref="S83">_xlfn.SWITCH(Table1[[#This Row],[Product ID]],"P001",140,"P002",80,"P003",72,"P004",30,"P005",110,"P006",24,"P007",14,"P008",12,"P009",115,"P010",360)</f>
        <v>24</v>
      </c>
      <c r="T83" s="1" cm="1">
        <f t="array" ref="T83">(_xlfn.SWITCH(Table1[[#This Row],[Product ID]],"P001",140,"P002",80,"P003",72,"P004",30,"P005",110,"P006",24,"P007",14,"P008",12,"P009",115,"P010",360))*Table1[[#This Row],[Quantity]]</f>
        <v>432</v>
      </c>
      <c r="U83" s="1" cm="1">
        <f t="array" ref="U83">_xlfn.SWITCH(Table1[[#This Row],[Product ID]],"P001",15,"P002",0,"P003",8,"P004",8,"P005",0,"P006",7,"P007",7,"P008",6,"P009",45,"P010",60)</f>
        <v>7</v>
      </c>
      <c r="V83" s="1">
        <f>Table1[[#This Row],[Shipping per Unit]]*Table1[[#This Row],[Quantity]]</f>
        <v>126</v>
      </c>
      <c r="W83" s="2">
        <f>IF(Table1[[#This Row],[Total Shipping]]&gt;0.1,0.2,0)</f>
        <v>0.2</v>
      </c>
      <c r="X83" s="4">
        <f>Table1[[#This Row],[Total Shipping]]*Table1[[#This Row],[VAT on Shipping]]</f>
        <v>25.200000000000003</v>
      </c>
      <c r="Y83" s="1">
        <f>Table1[[#This Row],[Revenue]]-Table1[[#This Row],[COGS]]</f>
        <v>266.39999999999998</v>
      </c>
      <c r="Z83" s="3">
        <f>(Table1[[#This Row],[Profit]]/Table1[[#This Row],[Revenue]])</f>
        <v>0.38144329896907214</v>
      </c>
      <c r="AA83" s="1">
        <f>Table1[[#This Row],[Profit]]-Table1[[#This Row],[Total Shipping]]</f>
        <v>140.39999999999998</v>
      </c>
      <c r="AB83" s="3">
        <f>Table1[[#This Row],[Operating Profit]]/Table1[[#This Row],[Revenue]]</f>
        <v>0.20103092783505153</v>
      </c>
    </row>
    <row r="84" spans="1:28" x14ac:dyDescent="0.25">
      <c r="A84" t="s">
        <v>118</v>
      </c>
      <c r="B84">
        <v>319</v>
      </c>
      <c r="C84" t="s">
        <v>29</v>
      </c>
      <c r="D84" t="s">
        <v>67</v>
      </c>
      <c r="E84" t="s">
        <v>31</v>
      </c>
      <c r="F84" t="s">
        <v>97</v>
      </c>
      <c r="G84" t="str" cm="1">
        <f t="array" ref="G84">_xlfn.SWITCH(F84,"Acme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84" t="s">
        <v>104</v>
      </c>
      <c r="I84" t="s">
        <v>52</v>
      </c>
      <c r="J84" t="str" cm="1">
        <f t="array" ref="J84">_xlfn.SWITCH(I84,"P001","Laptop","P002","Server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4" s="1" cm="1">
        <f t="array" ref="K84">_xlfn.SWITCH(Table1[[#This Row],[Product ID]],"P001",220,"P002",150,"P003",130,"P004",70,"P005",200,"P006",40,"P007",25,"P008",20,"P009",190,"P010",530)</f>
        <v>130</v>
      </c>
      <c r="L84">
        <v>20</v>
      </c>
      <c r="M84" s="1">
        <f>Table1[[#This Row],[Unit Price]]*Table1[[#This Row],[Quantity]]</f>
        <v>2600</v>
      </c>
      <c r="N84" s="2">
        <v>0.03</v>
      </c>
      <c r="O84" s="1">
        <f>Table1[[#This Row],[Gross Value]]*(1-Table1[[#This Row],[Discount]])</f>
        <v>2522</v>
      </c>
      <c r="P84" s="2">
        <v>0.2</v>
      </c>
      <c r="Q84" s="1">
        <f>Table1[[#This Row],[Revenue]]*Table1[[#This Row],[VAT Rate]]</f>
        <v>504.40000000000003</v>
      </c>
      <c r="R84" s="1">
        <f>Table1[[#This Row],[Revenue]]+Table1[[#This Row],[VAT Charged]]</f>
        <v>3026.4</v>
      </c>
      <c r="S84" s="1" cm="1">
        <f t="array" ref="S84">_xlfn.SWITCH(Table1[[#This Row],[Product ID]],"P001",140,"P002",80,"P003",72,"P004",30,"P005",110,"P006",24,"P007",14,"P008",12,"P009",115,"P010",360)</f>
        <v>72</v>
      </c>
      <c r="T84" s="1" cm="1">
        <f t="array" ref="T84">(_xlfn.SWITCH(Table1[[#This Row],[Product ID]],"P001",140,"P002",80,"P003",72,"P004",30,"P005",110,"P006",24,"P007",14,"P008",12,"P009",115,"P010",360))*Table1[[#This Row],[Quantity]]</f>
        <v>1440</v>
      </c>
      <c r="U84" s="1" cm="1">
        <f t="array" ref="U84">_xlfn.SWITCH(Table1[[#This Row],[Product ID]],"P001",15,"P002",0,"P003",8,"P004",8,"P005",0,"P006",7,"P007",7,"P008",6,"P009",45,"P010",60)</f>
        <v>8</v>
      </c>
      <c r="V84" s="1">
        <f>Table1[[#This Row],[Shipping per Unit]]*Table1[[#This Row],[Quantity]]</f>
        <v>160</v>
      </c>
      <c r="W84" s="2">
        <f>IF(Table1[[#This Row],[Total Shipping]]&gt;0.1,0.2,0)</f>
        <v>0.2</v>
      </c>
      <c r="X84" s="4">
        <f>Table1[[#This Row],[Total Shipping]]*Table1[[#This Row],[VAT on Shipping]]</f>
        <v>32</v>
      </c>
      <c r="Y84" s="1">
        <f>Table1[[#This Row],[Revenue]]-Table1[[#This Row],[COGS]]</f>
        <v>1082</v>
      </c>
      <c r="Z84" s="3">
        <f>(Table1[[#This Row],[Profit]]/Table1[[#This Row],[Revenue]])</f>
        <v>0.4290245836637589</v>
      </c>
      <c r="AA84" s="1">
        <f>Table1[[#This Row],[Profit]]-Table1[[#This Row],[Total Shipping]]</f>
        <v>922</v>
      </c>
      <c r="AB84" s="3">
        <f>Table1[[#This Row],[Operating Profit]]/Table1[[#This Row],[Revenue]]</f>
        <v>0.36558287073750989</v>
      </c>
    </row>
    <row r="85" spans="1:28" x14ac:dyDescent="0.25">
      <c r="A85" t="s">
        <v>118</v>
      </c>
      <c r="B85">
        <v>364</v>
      </c>
      <c r="C85" t="s">
        <v>38</v>
      </c>
      <c r="D85" t="s">
        <v>36</v>
      </c>
      <c r="E85" t="s">
        <v>49</v>
      </c>
      <c r="F85" t="s">
        <v>54</v>
      </c>
      <c r="G85" t="str" cm="1">
        <f t="array" ref="G85">_xlfn.SWITCH(F85,"Acme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85" t="s">
        <v>33</v>
      </c>
      <c r="I85" t="s">
        <v>52</v>
      </c>
      <c r="J85" t="str" cm="1">
        <f t="array" ref="J85">_xlfn.SWITCH(I85,"P001","Laptop","P002","Server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5" s="1" cm="1">
        <f t="array" ref="K85">_xlfn.SWITCH(Table1[[#This Row],[Product ID]],"P001",220,"P002",150,"P003",130,"P004",70,"P005",200,"P006",40,"P007",25,"P008",20,"P009",190,"P010",530)</f>
        <v>130</v>
      </c>
      <c r="L85">
        <v>2</v>
      </c>
      <c r="M85" s="1">
        <f>Table1[[#This Row],[Unit Price]]*Table1[[#This Row],[Quantity]]</f>
        <v>260</v>
      </c>
      <c r="N85" s="2">
        <v>0.09</v>
      </c>
      <c r="O85" s="1">
        <f>Table1[[#This Row],[Gross Value]]*(1-Table1[[#This Row],[Discount]])</f>
        <v>236.6</v>
      </c>
      <c r="P85" s="2">
        <v>0.2</v>
      </c>
      <c r="Q85" s="1">
        <f>Table1[[#This Row],[Revenue]]*Table1[[#This Row],[VAT Rate]]</f>
        <v>47.32</v>
      </c>
      <c r="R85" s="1">
        <f>Table1[[#This Row],[Revenue]]+Table1[[#This Row],[VAT Charged]]</f>
        <v>283.92</v>
      </c>
      <c r="S85" s="1" cm="1">
        <f t="array" ref="S85">_xlfn.SWITCH(Table1[[#This Row],[Product ID]],"P001",140,"P002",80,"P003",72,"P004",30,"P005",110,"P006",24,"P007",14,"P008",12,"P009",115,"P010",360)</f>
        <v>72</v>
      </c>
      <c r="T85" s="1" cm="1">
        <f t="array" ref="T85">(_xlfn.SWITCH(Table1[[#This Row],[Product ID]],"P001",140,"P002",80,"P003",72,"P004",30,"P005",110,"P006",24,"P007",14,"P008",12,"P009",115,"P010",360))*Table1[[#This Row],[Quantity]]</f>
        <v>144</v>
      </c>
      <c r="U85" s="1" cm="1">
        <f t="array" ref="U85">_xlfn.SWITCH(Table1[[#This Row],[Product ID]],"P001",15,"P002",0,"P003",8,"P004",8,"P005",0,"P006",7,"P007",7,"P008",6,"P009",45,"P010",60)</f>
        <v>8</v>
      </c>
      <c r="V85" s="1">
        <f>Table1[[#This Row],[Shipping per Unit]]*Table1[[#This Row],[Quantity]]</f>
        <v>16</v>
      </c>
      <c r="W85" s="2">
        <f>IF(Table1[[#This Row],[Total Shipping]]&gt;0.1,0.2,0)</f>
        <v>0.2</v>
      </c>
      <c r="X85" s="4">
        <f>Table1[[#This Row],[Total Shipping]]*Table1[[#This Row],[VAT on Shipping]]</f>
        <v>3.2</v>
      </c>
      <c r="Y85" s="1">
        <f>Table1[[#This Row],[Revenue]]-Table1[[#This Row],[COGS]]</f>
        <v>92.6</v>
      </c>
      <c r="Z85" s="3">
        <f>(Table1[[#This Row],[Profit]]/Table1[[#This Row],[Revenue]])</f>
        <v>0.39137785291631444</v>
      </c>
      <c r="AA85" s="1">
        <f>Table1[[#This Row],[Profit]]-Table1[[#This Row],[Total Shipping]]</f>
        <v>76.599999999999994</v>
      </c>
      <c r="AB85" s="3">
        <f>Table1[[#This Row],[Operating Profit]]/Table1[[#This Row],[Revenue]]</f>
        <v>0.32375316990701603</v>
      </c>
    </row>
    <row r="86" spans="1:28" x14ac:dyDescent="0.25">
      <c r="A86" t="s">
        <v>118</v>
      </c>
      <c r="B86">
        <v>652</v>
      </c>
      <c r="C86" t="s">
        <v>38</v>
      </c>
      <c r="D86" t="s">
        <v>72</v>
      </c>
      <c r="E86" t="s">
        <v>31</v>
      </c>
      <c r="F86" t="s">
        <v>74</v>
      </c>
      <c r="G86" t="str" cm="1">
        <f t="array" ref="G86">_xlfn.SWITCH(F86,"Acme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86" t="s">
        <v>33</v>
      </c>
      <c r="I86" t="s">
        <v>70</v>
      </c>
      <c r="J86" t="str" cm="1">
        <f t="array" ref="J86">_xlfn.SWITCH(I86,"P001","Laptop","P002","Server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86" s="1" cm="1">
        <f t="array" ref="K86">_xlfn.SWITCH(Table1[[#This Row],[Product ID]],"P001",220,"P002",150,"P003",130,"P004",70,"P005",200,"P006",40,"P007",25,"P008",20,"P009",190,"P010",530)</f>
        <v>150</v>
      </c>
      <c r="L86">
        <v>19</v>
      </c>
      <c r="M86" s="1">
        <f>Table1[[#This Row],[Unit Price]]*Table1[[#This Row],[Quantity]]</f>
        <v>2850</v>
      </c>
      <c r="N86" s="2">
        <v>0.02</v>
      </c>
      <c r="O86" s="1">
        <f>Table1[[#This Row],[Gross Value]]*(1-Table1[[#This Row],[Discount]])</f>
        <v>2793</v>
      </c>
      <c r="P86" s="2">
        <v>0.2</v>
      </c>
      <c r="Q86" s="1">
        <f>Table1[[#This Row],[Revenue]]*Table1[[#This Row],[VAT Rate]]</f>
        <v>558.6</v>
      </c>
      <c r="R86" s="1">
        <f>Table1[[#This Row],[Revenue]]+Table1[[#This Row],[VAT Charged]]</f>
        <v>3351.6</v>
      </c>
      <c r="S86" s="1" cm="1">
        <f t="array" ref="S86">_xlfn.SWITCH(Table1[[#This Row],[Product ID]],"P001",140,"P002",80,"P003",72,"P004",30,"P005",110,"P006",24,"P007",14,"P008",12,"P009",115,"P010",360)</f>
        <v>80</v>
      </c>
      <c r="T86" s="1" cm="1">
        <f t="array" ref="T86">(_xlfn.SWITCH(Table1[[#This Row],[Product ID]],"P001",140,"P002",80,"P003",72,"P004",30,"P005",110,"P006",24,"P007",14,"P008",12,"P009",115,"P010",360))*Table1[[#This Row],[Quantity]]</f>
        <v>1520</v>
      </c>
      <c r="U86" s="1" cm="1">
        <f t="array" ref="U86">_xlfn.SWITCH(Table1[[#This Row],[Product ID]],"P001",15,"P002",0,"P003",8,"P004",8,"P005",0,"P006",7,"P007",7,"P008",6,"P009",45,"P010",60)</f>
        <v>0</v>
      </c>
      <c r="V86" s="1">
        <f>Table1[[#This Row],[Shipping per Unit]]*Table1[[#This Row],[Quantity]]</f>
        <v>0</v>
      </c>
      <c r="W86" s="2">
        <f>IF(Table1[[#This Row],[Total Shipping]]&gt;0.1,0.2,0)</f>
        <v>0</v>
      </c>
      <c r="X86" s="4">
        <f>Table1[[#This Row],[Total Shipping]]*Table1[[#This Row],[VAT on Shipping]]</f>
        <v>0</v>
      </c>
      <c r="Y86" s="1">
        <f>Table1[[#This Row],[Revenue]]-Table1[[#This Row],[COGS]]</f>
        <v>1273</v>
      </c>
      <c r="Z86" s="3">
        <f>(Table1[[#This Row],[Profit]]/Table1[[#This Row],[Revenue]])</f>
        <v>0.45578231292517007</v>
      </c>
      <c r="AA86" s="1">
        <f>Table1[[#This Row],[Profit]]-Table1[[#This Row],[Total Shipping]]</f>
        <v>1273</v>
      </c>
      <c r="AB86" s="3">
        <f>Table1[[#This Row],[Operating Profit]]/Table1[[#This Row],[Revenue]]</f>
        <v>0.45578231292517007</v>
      </c>
    </row>
    <row r="87" spans="1:28" x14ac:dyDescent="0.25">
      <c r="A87" t="s">
        <v>118</v>
      </c>
      <c r="B87">
        <v>904</v>
      </c>
      <c r="C87" t="s">
        <v>35</v>
      </c>
      <c r="D87" t="s">
        <v>30</v>
      </c>
      <c r="E87" t="s">
        <v>49</v>
      </c>
      <c r="F87" t="s">
        <v>119</v>
      </c>
      <c r="G87" t="str" cm="1">
        <f t="array" ref="G87">_xlfn.SWITCH(F87,"Acme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87" t="s">
        <v>104</v>
      </c>
      <c r="I87" t="s">
        <v>55</v>
      </c>
      <c r="J87" t="str" cm="1">
        <f t="array" ref="J87">_xlfn.SWITCH(I87,"P001","Laptop","P002","Server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7" s="1" cm="1">
        <f t="array" ref="K87">_xlfn.SWITCH(Table1[[#This Row],[Product ID]],"P001",220,"P002",150,"P003",130,"P004",70,"P005",200,"P006",40,"P007",25,"P008",20,"P009",190,"P010",530)</f>
        <v>70</v>
      </c>
      <c r="L87">
        <v>2</v>
      </c>
      <c r="M87" s="1">
        <f>Table1[[#This Row],[Unit Price]]*Table1[[#This Row],[Quantity]]</f>
        <v>140</v>
      </c>
      <c r="N87" s="2">
        <v>0.12</v>
      </c>
      <c r="O87" s="1">
        <f>Table1[[#This Row],[Gross Value]]*(1-Table1[[#This Row],[Discount]])</f>
        <v>123.2</v>
      </c>
      <c r="P87" s="2">
        <v>0.2</v>
      </c>
      <c r="Q87" s="1">
        <f>Table1[[#This Row],[Revenue]]*Table1[[#This Row],[VAT Rate]]</f>
        <v>24.64</v>
      </c>
      <c r="R87" s="1">
        <f>Table1[[#This Row],[Revenue]]+Table1[[#This Row],[VAT Charged]]</f>
        <v>147.84</v>
      </c>
      <c r="S87" s="1" cm="1">
        <f t="array" ref="S87">_xlfn.SWITCH(Table1[[#This Row],[Product ID]],"P001",140,"P002",80,"P003",72,"P004",30,"P005",110,"P006",24,"P007",14,"P008",12,"P009",115,"P010",360)</f>
        <v>30</v>
      </c>
      <c r="T87" s="1" cm="1">
        <f t="array" ref="T87">(_xlfn.SWITCH(Table1[[#This Row],[Product ID]],"P001",140,"P002",80,"P003",72,"P004",30,"P005",110,"P006",24,"P007",14,"P008",12,"P009",115,"P010",360))*Table1[[#This Row],[Quantity]]</f>
        <v>60</v>
      </c>
      <c r="U87" s="1" cm="1">
        <f t="array" ref="U87">_xlfn.SWITCH(Table1[[#This Row],[Product ID]],"P001",15,"P002",0,"P003",8,"P004",8,"P005",0,"P006",7,"P007",7,"P008",6,"P009",45,"P010",60)</f>
        <v>8</v>
      </c>
      <c r="V87" s="1">
        <f>Table1[[#This Row],[Shipping per Unit]]*Table1[[#This Row],[Quantity]]</f>
        <v>16</v>
      </c>
      <c r="W87" s="2">
        <f>IF(Table1[[#This Row],[Total Shipping]]&gt;0.1,0.2,0)</f>
        <v>0.2</v>
      </c>
      <c r="X87" s="4">
        <f>Table1[[#This Row],[Total Shipping]]*Table1[[#This Row],[VAT on Shipping]]</f>
        <v>3.2</v>
      </c>
      <c r="Y87" s="1">
        <f>Table1[[#This Row],[Revenue]]-Table1[[#This Row],[COGS]]</f>
        <v>63.2</v>
      </c>
      <c r="Z87" s="3">
        <f>(Table1[[#This Row],[Profit]]/Table1[[#This Row],[Revenue]])</f>
        <v>0.51298701298701299</v>
      </c>
      <c r="AA87" s="1">
        <f>Table1[[#This Row],[Profit]]-Table1[[#This Row],[Total Shipping]]</f>
        <v>47.2</v>
      </c>
      <c r="AB87" s="3">
        <f>Table1[[#This Row],[Operating Profit]]/Table1[[#This Row],[Revenue]]</f>
        <v>0.38311688311688313</v>
      </c>
    </row>
    <row r="88" spans="1:28" x14ac:dyDescent="0.25">
      <c r="A88" t="s">
        <v>120</v>
      </c>
      <c r="B88">
        <v>264</v>
      </c>
      <c r="C88" t="s">
        <v>35</v>
      </c>
      <c r="D88" t="s">
        <v>72</v>
      </c>
      <c r="E88" t="s">
        <v>49</v>
      </c>
      <c r="F88" t="s">
        <v>97</v>
      </c>
      <c r="G88" t="str" cm="1">
        <f t="array" ref="G88">_xlfn.SWITCH(F88,"Acme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88" t="s">
        <v>51</v>
      </c>
      <c r="I88" t="s">
        <v>52</v>
      </c>
      <c r="J88" t="str" cm="1">
        <f t="array" ref="J88">_xlfn.SWITCH(I88,"P001","Laptop","P002","Server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8" s="1" cm="1">
        <f t="array" ref="K88">_xlfn.SWITCH(Table1[[#This Row],[Product ID]],"P001",220,"P002",150,"P003",130,"P004",70,"P005",200,"P006",40,"P007",25,"P008",20,"P009",190,"P010",530)</f>
        <v>130</v>
      </c>
      <c r="L88">
        <v>6</v>
      </c>
      <c r="M88" s="1">
        <f>Table1[[#This Row],[Unit Price]]*Table1[[#This Row],[Quantity]]</f>
        <v>780</v>
      </c>
      <c r="N88" s="2">
        <v>0.08</v>
      </c>
      <c r="O88" s="1">
        <f>Table1[[#This Row],[Gross Value]]*(1-Table1[[#This Row],[Discount]])</f>
        <v>717.6</v>
      </c>
      <c r="P88" s="2">
        <v>0.2</v>
      </c>
      <c r="Q88" s="1">
        <f>Table1[[#This Row],[Revenue]]*Table1[[#This Row],[VAT Rate]]</f>
        <v>143.52000000000001</v>
      </c>
      <c r="R88" s="1">
        <f>Table1[[#This Row],[Revenue]]+Table1[[#This Row],[VAT Charged]]</f>
        <v>861.12</v>
      </c>
      <c r="S88" s="1" cm="1">
        <f t="array" ref="S88">_xlfn.SWITCH(Table1[[#This Row],[Product ID]],"P001",140,"P002",80,"P003",72,"P004",30,"P005",110,"P006",24,"P007",14,"P008",12,"P009",115,"P010",360)</f>
        <v>72</v>
      </c>
      <c r="T88" s="1" cm="1">
        <f t="array" ref="T88">(_xlfn.SWITCH(Table1[[#This Row],[Product ID]],"P001",140,"P002",80,"P003",72,"P004",30,"P005",110,"P006",24,"P007",14,"P008",12,"P009",115,"P010",360))*Table1[[#This Row],[Quantity]]</f>
        <v>432</v>
      </c>
      <c r="U88" s="1" cm="1">
        <f t="array" ref="U88">_xlfn.SWITCH(Table1[[#This Row],[Product ID]],"P001",15,"P002",0,"P003",8,"P004",8,"P005",0,"P006",7,"P007",7,"P008",6,"P009",45,"P010",60)</f>
        <v>8</v>
      </c>
      <c r="V88" s="1">
        <f>Table1[[#This Row],[Shipping per Unit]]*Table1[[#This Row],[Quantity]]</f>
        <v>48</v>
      </c>
      <c r="W88" s="2">
        <f>IF(Table1[[#This Row],[Total Shipping]]&gt;0.1,0.2,0)</f>
        <v>0.2</v>
      </c>
      <c r="X88" s="4">
        <f>Table1[[#This Row],[Total Shipping]]*Table1[[#This Row],[VAT on Shipping]]</f>
        <v>9.6000000000000014</v>
      </c>
      <c r="Y88" s="1">
        <f>Table1[[#This Row],[Revenue]]-Table1[[#This Row],[COGS]]</f>
        <v>285.60000000000002</v>
      </c>
      <c r="Z88" s="3">
        <f>(Table1[[#This Row],[Profit]]/Table1[[#This Row],[Revenue]])</f>
        <v>0.39799331103678931</v>
      </c>
      <c r="AA88" s="1">
        <f>Table1[[#This Row],[Profit]]-Table1[[#This Row],[Total Shipping]]</f>
        <v>237.60000000000002</v>
      </c>
      <c r="AB88" s="3">
        <f>Table1[[#This Row],[Operating Profit]]/Table1[[#This Row],[Revenue]]</f>
        <v>0.33110367892976589</v>
      </c>
    </row>
    <row r="89" spans="1:28" x14ac:dyDescent="0.25">
      <c r="A89" t="s">
        <v>121</v>
      </c>
      <c r="B89">
        <v>413</v>
      </c>
      <c r="C89" t="s">
        <v>56</v>
      </c>
      <c r="D89" t="s">
        <v>95</v>
      </c>
      <c r="E89" t="s">
        <v>49</v>
      </c>
      <c r="F89" t="s">
        <v>50</v>
      </c>
      <c r="G89" t="str" cm="1">
        <f t="array" ref="G89">_xlfn.SWITCH(F89,"Acme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89" t="s">
        <v>58</v>
      </c>
      <c r="I89" t="s">
        <v>55</v>
      </c>
      <c r="J89" t="str" cm="1">
        <f t="array" ref="J89">_xlfn.SWITCH(I89,"P001","Laptop","P002","Server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9" s="1" cm="1">
        <f t="array" ref="K89">_xlfn.SWITCH(Table1[[#This Row],[Product ID]],"P001",220,"P002",150,"P003",130,"P004",70,"P005",200,"P006",40,"P007",25,"P008",20,"P009",190,"P010",530)</f>
        <v>70</v>
      </c>
      <c r="L89">
        <v>16</v>
      </c>
      <c r="M89" s="1">
        <f>Table1[[#This Row],[Unit Price]]*Table1[[#This Row],[Quantity]]</f>
        <v>1120</v>
      </c>
      <c r="N89" s="2">
        <v>0.03</v>
      </c>
      <c r="O89" s="1">
        <f>Table1[[#This Row],[Gross Value]]*(1-Table1[[#This Row],[Discount]])</f>
        <v>1086.3999999999999</v>
      </c>
      <c r="P89" s="2">
        <v>0.2</v>
      </c>
      <c r="Q89" s="1">
        <f>Table1[[#This Row],[Revenue]]*Table1[[#This Row],[VAT Rate]]</f>
        <v>217.27999999999997</v>
      </c>
      <c r="R89" s="1">
        <f>Table1[[#This Row],[Revenue]]+Table1[[#This Row],[VAT Charged]]</f>
        <v>1303.6799999999998</v>
      </c>
      <c r="S89" s="1" cm="1">
        <f t="array" ref="S89">_xlfn.SWITCH(Table1[[#This Row],[Product ID]],"P001",140,"P002",80,"P003",72,"P004",30,"P005",110,"P006",24,"P007",14,"P008",12,"P009",115,"P010",360)</f>
        <v>30</v>
      </c>
      <c r="T89" s="1" cm="1">
        <f t="array" ref="T89">(_xlfn.SWITCH(Table1[[#This Row],[Product ID]],"P001",140,"P002",80,"P003",72,"P004",30,"P005",110,"P006",24,"P007",14,"P008",12,"P009",115,"P010",360))*Table1[[#This Row],[Quantity]]</f>
        <v>480</v>
      </c>
      <c r="U89" s="1" cm="1">
        <f t="array" ref="U89">_xlfn.SWITCH(Table1[[#This Row],[Product ID]],"P001",15,"P002",0,"P003",8,"P004",8,"P005",0,"P006",7,"P007",7,"P008",6,"P009",45,"P010",60)</f>
        <v>8</v>
      </c>
      <c r="V89" s="1">
        <f>Table1[[#This Row],[Shipping per Unit]]*Table1[[#This Row],[Quantity]]</f>
        <v>128</v>
      </c>
      <c r="W89" s="2">
        <f>IF(Table1[[#This Row],[Total Shipping]]&gt;0.1,0.2,0)</f>
        <v>0.2</v>
      </c>
      <c r="X89" s="4">
        <f>Table1[[#This Row],[Total Shipping]]*Table1[[#This Row],[VAT on Shipping]]</f>
        <v>25.6</v>
      </c>
      <c r="Y89" s="1">
        <f>Table1[[#This Row],[Revenue]]-Table1[[#This Row],[COGS]]</f>
        <v>606.39999999999986</v>
      </c>
      <c r="Z89" s="3">
        <f>(Table1[[#This Row],[Profit]]/Table1[[#This Row],[Revenue]])</f>
        <v>0.55817378497790859</v>
      </c>
      <c r="AA89" s="1">
        <f>Table1[[#This Row],[Profit]]-Table1[[#This Row],[Total Shipping]]</f>
        <v>478.39999999999986</v>
      </c>
      <c r="AB89" s="3">
        <f>Table1[[#This Row],[Operating Profit]]/Table1[[#This Row],[Revenue]]</f>
        <v>0.44035346097201761</v>
      </c>
    </row>
    <row r="90" spans="1:28" x14ac:dyDescent="0.25">
      <c r="A90" t="s">
        <v>122</v>
      </c>
      <c r="B90">
        <v>616</v>
      </c>
      <c r="C90" t="s">
        <v>65</v>
      </c>
      <c r="D90" t="s">
        <v>57</v>
      </c>
      <c r="E90" t="s">
        <v>40</v>
      </c>
      <c r="F90" t="s">
        <v>54</v>
      </c>
      <c r="G90" t="str" cm="1">
        <f t="array" ref="G90">_xlfn.SWITCH(F90,"Acme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90" t="s">
        <v>45</v>
      </c>
      <c r="I90" t="s">
        <v>42</v>
      </c>
      <c r="J90" t="str" cm="1">
        <f t="array" ref="J90">_xlfn.SWITCH(I90,"P001","Laptop","P002","Server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0" s="1" cm="1">
        <f t="array" ref="K90">_xlfn.SWITCH(Table1[[#This Row],[Product ID]],"P001",220,"P002",150,"P003",130,"P004",70,"P005",200,"P006",40,"P007",25,"P008",20,"P009",190,"P010",530)</f>
        <v>40</v>
      </c>
      <c r="L90">
        <v>19</v>
      </c>
      <c r="M90" s="1">
        <f>Table1[[#This Row],[Unit Price]]*Table1[[#This Row],[Quantity]]</f>
        <v>760</v>
      </c>
      <c r="N90" s="2">
        <v>0.03</v>
      </c>
      <c r="O90" s="1">
        <f>Table1[[#This Row],[Gross Value]]*(1-Table1[[#This Row],[Discount]])</f>
        <v>737.19999999999993</v>
      </c>
      <c r="P90" s="2">
        <v>0.2</v>
      </c>
      <c r="Q90" s="1">
        <f>Table1[[#This Row],[Revenue]]*Table1[[#This Row],[VAT Rate]]</f>
        <v>147.44</v>
      </c>
      <c r="R90" s="1">
        <f>Table1[[#This Row],[Revenue]]+Table1[[#This Row],[VAT Charged]]</f>
        <v>884.63999999999987</v>
      </c>
      <c r="S90" s="1" cm="1">
        <f t="array" ref="S90">_xlfn.SWITCH(Table1[[#This Row],[Product ID]],"P001",140,"P002",80,"P003",72,"P004",30,"P005",110,"P006",24,"P007",14,"P008",12,"P009",115,"P010",360)</f>
        <v>24</v>
      </c>
      <c r="T90" s="1" cm="1">
        <f t="array" ref="T90">(_xlfn.SWITCH(Table1[[#This Row],[Product ID]],"P001",140,"P002",80,"P003",72,"P004",30,"P005",110,"P006",24,"P007",14,"P008",12,"P009",115,"P010",360))*Table1[[#This Row],[Quantity]]</f>
        <v>456</v>
      </c>
      <c r="U90" s="1" cm="1">
        <f t="array" ref="U90">_xlfn.SWITCH(Table1[[#This Row],[Product ID]],"P001",15,"P002",0,"P003",8,"P004",8,"P005",0,"P006",7,"P007",7,"P008",6,"P009",45,"P010",60)</f>
        <v>7</v>
      </c>
      <c r="V90" s="1">
        <f>Table1[[#This Row],[Shipping per Unit]]*Table1[[#This Row],[Quantity]]</f>
        <v>133</v>
      </c>
      <c r="W90" s="2">
        <f>IF(Table1[[#This Row],[Total Shipping]]&gt;0.1,0.2,0)</f>
        <v>0.2</v>
      </c>
      <c r="X90" s="4">
        <f>Table1[[#This Row],[Total Shipping]]*Table1[[#This Row],[VAT on Shipping]]</f>
        <v>26.6</v>
      </c>
      <c r="Y90" s="1">
        <f>Table1[[#This Row],[Revenue]]-Table1[[#This Row],[COGS]]</f>
        <v>281.19999999999993</v>
      </c>
      <c r="Z90" s="3">
        <f>(Table1[[#This Row],[Profit]]/Table1[[#This Row],[Revenue]])</f>
        <v>0.38144329896907209</v>
      </c>
      <c r="AA90" s="1">
        <f>Table1[[#This Row],[Profit]]-Table1[[#This Row],[Total Shipping]]</f>
        <v>148.19999999999993</v>
      </c>
      <c r="AB90" s="3">
        <f>Table1[[#This Row],[Operating Profit]]/Table1[[#This Row],[Revenue]]</f>
        <v>0.20103092783505147</v>
      </c>
    </row>
    <row r="91" spans="1:28" x14ac:dyDescent="0.25">
      <c r="A91" t="s">
        <v>122</v>
      </c>
      <c r="B91">
        <v>631</v>
      </c>
      <c r="C91" t="s">
        <v>62</v>
      </c>
      <c r="D91" t="s">
        <v>63</v>
      </c>
      <c r="E91" t="s">
        <v>49</v>
      </c>
      <c r="F91" t="s">
        <v>59</v>
      </c>
      <c r="G91" t="str" cm="1">
        <f t="array" ref="G91">_xlfn.SWITCH(F91,"Acme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91" t="s">
        <v>45</v>
      </c>
      <c r="I91" t="s">
        <v>55</v>
      </c>
      <c r="J91" t="str" cm="1">
        <f t="array" ref="J91">_xlfn.SWITCH(I91,"P001","Laptop","P002","Server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1" s="1" cm="1">
        <f t="array" ref="K91">_xlfn.SWITCH(Table1[[#This Row],[Product ID]],"P001",220,"P002",150,"P003",130,"P004",70,"P005",200,"P006",40,"P007",25,"P008",20,"P009",190,"P010",530)</f>
        <v>70</v>
      </c>
      <c r="L91">
        <v>8</v>
      </c>
      <c r="M91" s="1">
        <f>Table1[[#This Row],[Unit Price]]*Table1[[#This Row],[Quantity]]</f>
        <v>560</v>
      </c>
      <c r="N91" s="2">
        <v>0.02</v>
      </c>
      <c r="O91" s="1">
        <f>Table1[[#This Row],[Gross Value]]*(1-Table1[[#This Row],[Discount]])</f>
        <v>548.79999999999995</v>
      </c>
      <c r="P91" s="2">
        <v>0.2</v>
      </c>
      <c r="Q91" s="1">
        <f>Table1[[#This Row],[Revenue]]*Table1[[#This Row],[VAT Rate]]</f>
        <v>109.75999999999999</v>
      </c>
      <c r="R91" s="1">
        <f>Table1[[#This Row],[Revenue]]+Table1[[#This Row],[VAT Charged]]</f>
        <v>658.56</v>
      </c>
      <c r="S91" s="1" cm="1">
        <f t="array" ref="S91">_xlfn.SWITCH(Table1[[#This Row],[Product ID]],"P001",140,"P002",80,"P003",72,"P004",30,"P005",110,"P006",24,"P007",14,"P008",12,"P009",115,"P010",360)</f>
        <v>30</v>
      </c>
      <c r="T91" s="1" cm="1">
        <f t="array" ref="T91">(_xlfn.SWITCH(Table1[[#This Row],[Product ID]],"P001",140,"P002",80,"P003",72,"P004",30,"P005",110,"P006",24,"P007",14,"P008",12,"P009",115,"P010",360))*Table1[[#This Row],[Quantity]]</f>
        <v>240</v>
      </c>
      <c r="U91" s="1" cm="1">
        <f t="array" ref="U91">_xlfn.SWITCH(Table1[[#This Row],[Product ID]],"P001",15,"P002",0,"P003",8,"P004",8,"P005",0,"P006",7,"P007",7,"P008",6,"P009",45,"P010",60)</f>
        <v>8</v>
      </c>
      <c r="V91" s="1">
        <f>Table1[[#This Row],[Shipping per Unit]]*Table1[[#This Row],[Quantity]]</f>
        <v>64</v>
      </c>
      <c r="W91" s="2">
        <f>IF(Table1[[#This Row],[Total Shipping]]&gt;0.1,0.2,0)</f>
        <v>0.2</v>
      </c>
      <c r="X91" s="4">
        <f>Table1[[#This Row],[Total Shipping]]*Table1[[#This Row],[VAT on Shipping]]</f>
        <v>12.8</v>
      </c>
      <c r="Y91" s="1">
        <f>Table1[[#This Row],[Revenue]]-Table1[[#This Row],[COGS]]</f>
        <v>308.79999999999995</v>
      </c>
      <c r="Z91" s="3">
        <f>(Table1[[#This Row],[Profit]]/Table1[[#This Row],[Revenue]])</f>
        <v>0.56268221574344024</v>
      </c>
      <c r="AA91" s="1">
        <f>Table1[[#This Row],[Profit]]-Table1[[#This Row],[Total Shipping]]</f>
        <v>244.79999999999995</v>
      </c>
      <c r="AB91" s="3">
        <f>Table1[[#This Row],[Operating Profit]]/Table1[[#This Row],[Revenue]]</f>
        <v>0.44606413994169092</v>
      </c>
    </row>
    <row r="92" spans="1:28" x14ac:dyDescent="0.25">
      <c r="A92" t="s">
        <v>122</v>
      </c>
      <c r="B92">
        <v>694</v>
      </c>
      <c r="C92" t="s">
        <v>65</v>
      </c>
      <c r="D92" t="s">
        <v>36</v>
      </c>
      <c r="E92" t="s">
        <v>40</v>
      </c>
      <c r="F92" t="s">
        <v>37</v>
      </c>
      <c r="G92" t="str" cm="1">
        <f t="array" ref="G92">_xlfn.SWITCH(F92,"Acme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2" t="s">
        <v>69</v>
      </c>
      <c r="I92" t="s">
        <v>55</v>
      </c>
      <c r="J92" t="str" cm="1">
        <f t="array" ref="J92">_xlfn.SWITCH(I92,"P001","Laptop","P002","Server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2" s="1" cm="1">
        <f t="array" ref="K92">_xlfn.SWITCH(Table1[[#This Row],[Product ID]],"P001",220,"P002",150,"P003",130,"P004",70,"P005",200,"P006",40,"P007",25,"P008",20,"P009",190,"P010",530)</f>
        <v>70</v>
      </c>
      <c r="L92">
        <v>10</v>
      </c>
      <c r="M92" s="1">
        <f>Table1[[#This Row],[Unit Price]]*Table1[[#This Row],[Quantity]]</f>
        <v>700</v>
      </c>
      <c r="N92" s="2">
        <v>0.01</v>
      </c>
      <c r="O92" s="1">
        <f>Table1[[#This Row],[Gross Value]]*(1-Table1[[#This Row],[Discount]])</f>
        <v>693</v>
      </c>
      <c r="P92" s="2">
        <v>0.2</v>
      </c>
      <c r="Q92" s="1">
        <f>Table1[[#This Row],[Revenue]]*Table1[[#This Row],[VAT Rate]]</f>
        <v>138.6</v>
      </c>
      <c r="R92" s="1">
        <f>Table1[[#This Row],[Revenue]]+Table1[[#This Row],[VAT Charged]]</f>
        <v>831.6</v>
      </c>
      <c r="S92" s="1" cm="1">
        <f t="array" ref="S92">_xlfn.SWITCH(Table1[[#This Row],[Product ID]],"P001",140,"P002",80,"P003",72,"P004",30,"P005",110,"P006",24,"P007",14,"P008",12,"P009",115,"P010",360)</f>
        <v>30</v>
      </c>
      <c r="T92" s="1" cm="1">
        <f t="array" ref="T92">(_xlfn.SWITCH(Table1[[#This Row],[Product ID]],"P001",140,"P002",80,"P003",72,"P004",30,"P005",110,"P006",24,"P007",14,"P008",12,"P009",115,"P010",360))*Table1[[#This Row],[Quantity]]</f>
        <v>300</v>
      </c>
      <c r="U92" s="1" cm="1">
        <f t="array" ref="U92">_xlfn.SWITCH(Table1[[#This Row],[Product ID]],"P001",15,"P002",0,"P003",8,"P004",8,"P005",0,"P006",7,"P007",7,"P008",6,"P009",45,"P010",60)</f>
        <v>8</v>
      </c>
      <c r="V92" s="1">
        <f>Table1[[#This Row],[Shipping per Unit]]*Table1[[#This Row],[Quantity]]</f>
        <v>80</v>
      </c>
      <c r="W92" s="2">
        <f>IF(Table1[[#This Row],[Total Shipping]]&gt;0.1,0.2,0)</f>
        <v>0.2</v>
      </c>
      <c r="X92" s="4">
        <f>Table1[[#This Row],[Total Shipping]]*Table1[[#This Row],[VAT on Shipping]]</f>
        <v>16</v>
      </c>
      <c r="Y92" s="1">
        <f>Table1[[#This Row],[Revenue]]-Table1[[#This Row],[COGS]]</f>
        <v>393</v>
      </c>
      <c r="Z92" s="3">
        <f>(Table1[[#This Row],[Profit]]/Table1[[#This Row],[Revenue]])</f>
        <v>0.5670995670995671</v>
      </c>
      <c r="AA92" s="1">
        <f>Table1[[#This Row],[Profit]]-Table1[[#This Row],[Total Shipping]]</f>
        <v>313</v>
      </c>
      <c r="AB92" s="3">
        <f>Table1[[#This Row],[Operating Profit]]/Table1[[#This Row],[Revenue]]</f>
        <v>0.45165945165945165</v>
      </c>
    </row>
    <row r="93" spans="1:28" x14ac:dyDescent="0.25">
      <c r="A93" t="s">
        <v>122</v>
      </c>
      <c r="B93">
        <v>759</v>
      </c>
      <c r="C93" t="s">
        <v>35</v>
      </c>
      <c r="D93" t="s">
        <v>67</v>
      </c>
      <c r="E93" t="s">
        <v>40</v>
      </c>
      <c r="F93" t="s">
        <v>54</v>
      </c>
      <c r="G93" t="str" cm="1">
        <f t="array" ref="G93">_xlfn.SWITCH(F93,"Acme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93" t="s">
        <v>51</v>
      </c>
      <c r="I93" t="s">
        <v>55</v>
      </c>
      <c r="J93" t="str" cm="1">
        <f t="array" ref="J93">_xlfn.SWITCH(I93,"P001","Laptop","P002","Server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3" s="1" cm="1">
        <f t="array" ref="K93">_xlfn.SWITCH(Table1[[#This Row],[Product ID]],"P001",220,"P002",150,"P003",130,"P004",70,"P005",200,"P006",40,"P007",25,"P008",20,"P009",190,"P010",530)</f>
        <v>70</v>
      </c>
      <c r="L93">
        <v>18</v>
      </c>
      <c r="M93" s="1">
        <f>Table1[[#This Row],[Unit Price]]*Table1[[#This Row],[Quantity]]</f>
        <v>1260</v>
      </c>
      <c r="N93" s="2">
        <v>7.0000000000000007E-2</v>
      </c>
      <c r="O93" s="1">
        <f>Table1[[#This Row],[Gross Value]]*(1-Table1[[#This Row],[Discount]])</f>
        <v>1171.8</v>
      </c>
      <c r="P93" s="2">
        <v>0.2</v>
      </c>
      <c r="Q93" s="1">
        <f>Table1[[#This Row],[Revenue]]*Table1[[#This Row],[VAT Rate]]</f>
        <v>234.36</v>
      </c>
      <c r="R93" s="1">
        <f>Table1[[#This Row],[Revenue]]+Table1[[#This Row],[VAT Charged]]</f>
        <v>1406.1599999999999</v>
      </c>
      <c r="S93" s="1" cm="1">
        <f t="array" ref="S93">_xlfn.SWITCH(Table1[[#This Row],[Product ID]],"P001",140,"P002",80,"P003",72,"P004",30,"P005",110,"P006",24,"P007",14,"P008",12,"P009",115,"P010",360)</f>
        <v>30</v>
      </c>
      <c r="T93" s="1" cm="1">
        <f t="array" ref="T93">(_xlfn.SWITCH(Table1[[#This Row],[Product ID]],"P001",140,"P002",80,"P003",72,"P004",30,"P005",110,"P006",24,"P007",14,"P008",12,"P009",115,"P010",360))*Table1[[#This Row],[Quantity]]</f>
        <v>540</v>
      </c>
      <c r="U93" s="1" cm="1">
        <f t="array" ref="U93">_xlfn.SWITCH(Table1[[#This Row],[Product ID]],"P001",15,"P002",0,"P003",8,"P004",8,"P005",0,"P006",7,"P007",7,"P008",6,"P009",45,"P010",60)</f>
        <v>8</v>
      </c>
      <c r="V93" s="1">
        <f>Table1[[#This Row],[Shipping per Unit]]*Table1[[#This Row],[Quantity]]</f>
        <v>144</v>
      </c>
      <c r="W93" s="2">
        <f>IF(Table1[[#This Row],[Total Shipping]]&gt;0.1,0.2,0)</f>
        <v>0.2</v>
      </c>
      <c r="X93" s="4">
        <f>Table1[[#This Row],[Total Shipping]]*Table1[[#This Row],[VAT on Shipping]]</f>
        <v>28.8</v>
      </c>
      <c r="Y93" s="1">
        <f>Table1[[#This Row],[Revenue]]-Table1[[#This Row],[COGS]]</f>
        <v>631.79999999999995</v>
      </c>
      <c r="Z93" s="3">
        <f>(Table1[[#This Row],[Profit]]/Table1[[#This Row],[Revenue]])</f>
        <v>0.53917050691244239</v>
      </c>
      <c r="AA93" s="1">
        <f>Table1[[#This Row],[Profit]]-Table1[[#This Row],[Total Shipping]]</f>
        <v>487.79999999999995</v>
      </c>
      <c r="AB93" s="3">
        <f>Table1[[#This Row],[Operating Profit]]/Table1[[#This Row],[Revenue]]</f>
        <v>0.41628264208909366</v>
      </c>
    </row>
    <row r="94" spans="1:28" x14ac:dyDescent="0.25">
      <c r="A94" t="s">
        <v>123</v>
      </c>
      <c r="B94">
        <v>569</v>
      </c>
      <c r="C94" t="s">
        <v>38</v>
      </c>
      <c r="D94" t="s">
        <v>48</v>
      </c>
      <c r="E94" t="s">
        <v>49</v>
      </c>
      <c r="F94" t="s">
        <v>86</v>
      </c>
      <c r="G94" t="str" cm="1">
        <f t="array" ref="G94">_xlfn.SWITCH(F94,"Acme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4" t="s">
        <v>69</v>
      </c>
      <c r="I94" t="s">
        <v>91</v>
      </c>
      <c r="J94" t="str" cm="1">
        <f t="array" ref="J94">_xlfn.SWITCH(I94,"P001","Laptop","P002","Server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94" s="1" cm="1">
        <f t="array" ref="K94">_xlfn.SWITCH(Table1[[#This Row],[Product ID]],"P001",220,"P002",150,"P003",130,"P004",70,"P005",200,"P006",40,"P007",25,"P008",20,"P009",190,"P010",530)</f>
        <v>190</v>
      </c>
      <c r="L94">
        <v>12</v>
      </c>
      <c r="M94" s="1">
        <f>Table1[[#This Row],[Unit Price]]*Table1[[#This Row],[Quantity]]</f>
        <v>2280</v>
      </c>
      <c r="N94" s="2">
        <v>0.02</v>
      </c>
      <c r="O94" s="1">
        <f>Table1[[#This Row],[Gross Value]]*(1-Table1[[#This Row],[Discount]])</f>
        <v>2234.4</v>
      </c>
      <c r="P94" s="2">
        <v>0.2</v>
      </c>
      <c r="Q94" s="1">
        <f>Table1[[#This Row],[Revenue]]*Table1[[#This Row],[VAT Rate]]</f>
        <v>446.88000000000005</v>
      </c>
      <c r="R94" s="1">
        <f>Table1[[#This Row],[Revenue]]+Table1[[#This Row],[VAT Charged]]</f>
        <v>2681.28</v>
      </c>
      <c r="S94" s="1" cm="1">
        <f t="array" ref="S94">_xlfn.SWITCH(Table1[[#This Row],[Product ID]],"P001",140,"P002",80,"P003",72,"P004",30,"P005",110,"P006",24,"P007",14,"P008",12,"P009",115,"P010",360)</f>
        <v>115</v>
      </c>
      <c r="T94" s="1" cm="1">
        <f t="array" ref="T94">(_xlfn.SWITCH(Table1[[#This Row],[Product ID]],"P001",140,"P002",80,"P003",72,"P004",30,"P005",110,"P006",24,"P007",14,"P008",12,"P009",115,"P010",360))*Table1[[#This Row],[Quantity]]</f>
        <v>1380</v>
      </c>
      <c r="U94" s="1" cm="1">
        <f t="array" ref="U94">_xlfn.SWITCH(Table1[[#This Row],[Product ID]],"P001",15,"P002",0,"P003",8,"P004",8,"P005",0,"P006",7,"P007",7,"P008",6,"P009",45,"P010",60)</f>
        <v>45</v>
      </c>
      <c r="V94" s="1">
        <f>Table1[[#This Row],[Shipping per Unit]]*Table1[[#This Row],[Quantity]]</f>
        <v>540</v>
      </c>
      <c r="W94" s="2">
        <f>IF(Table1[[#This Row],[Total Shipping]]&gt;0.1,0.2,0)</f>
        <v>0.2</v>
      </c>
      <c r="X94" s="4">
        <f>Table1[[#This Row],[Total Shipping]]*Table1[[#This Row],[VAT on Shipping]]</f>
        <v>108</v>
      </c>
      <c r="Y94" s="1">
        <f>Table1[[#This Row],[Revenue]]-Table1[[#This Row],[COGS]]</f>
        <v>854.40000000000009</v>
      </c>
      <c r="Z94" s="3">
        <f>(Table1[[#This Row],[Profit]]/Table1[[#This Row],[Revenue]])</f>
        <v>0.38238453276047263</v>
      </c>
      <c r="AA94" s="1">
        <f>Table1[[#This Row],[Profit]]-Table1[[#This Row],[Total Shipping]]</f>
        <v>314.40000000000009</v>
      </c>
      <c r="AB94" s="3">
        <f>Table1[[#This Row],[Operating Profit]]/Table1[[#This Row],[Revenue]]</f>
        <v>0.14070891514500541</v>
      </c>
    </row>
    <row r="95" spans="1:28" x14ac:dyDescent="0.25">
      <c r="A95" t="s">
        <v>123</v>
      </c>
      <c r="B95">
        <v>871</v>
      </c>
      <c r="C95" t="s">
        <v>38</v>
      </c>
      <c r="D95" t="s">
        <v>72</v>
      </c>
      <c r="E95" t="s">
        <v>31</v>
      </c>
      <c r="F95" t="s">
        <v>90</v>
      </c>
      <c r="G95" t="str" cm="1">
        <f t="array" ref="G95">_xlfn.SWITCH(F95,"Acme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95" t="s">
        <v>45</v>
      </c>
      <c r="I95" t="s">
        <v>60</v>
      </c>
      <c r="J95" t="str" cm="1">
        <f t="array" ref="J95">_xlfn.SWITCH(I95,"P001","Laptop","P002","Server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95" s="1" cm="1">
        <f t="array" ref="K95">_xlfn.SWITCH(Table1[[#This Row],[Product ID]],"P001",220,"P002",150,"P003",130,"P004",70,"P005",200,"P006",40,"P007",25,"P008",20,"P009",190,"P010",530)</f>
        <v>25</v>
      </c>
      <c r="L95">
        <v>16</v>
      </c>
      <c r="M95" s="1">
        <f>Table1[[#This Row],[Unit Price]]*Table1[[#This Row],[Quantity]]</f>
        <v>400</v>
      </c>
      <c r="N95" s="2">
        <v>0.05</v>
      </c>
      <c r="O95" s="1">
        <f>Table1[[#This Row],[Gross Value]]*(1-Table1[[#This Row],[Discount]])</f>
        <v>380</v>
      </c>
      <c r="P95" s="2">
        <v>0.2</v>
      </c>
      <c r="Q95" s="1">
        <f>Table1[[#This Row],[Revenue]]*Table1[[#This Row],[VAT Rate]]</f>
        <v>76</v>
      </c>
      <c r="R95" s="1">
        <f>Table1[[#This Row],[Revenue]]+Table1[[#This Row],[VAT Charged]]</f>
        <v>456</v>
      </c>
      <c r="S95" s="1" cm="1">
        <f t="array" ref="S95">_xlfn.SWITCH(Table1[[#This Row],[Product ID]],"P001",140,"P002",80,"P003",72,"P004",30,"P005",110,"P006",24,"P007",14,"P008",12,"P009",115,"P010",360)</f>
        <v>14</v>
      </c>
      <c r="T95" s="1" cm="1">
        <f t="array" ref="T95">(_xlfn.SWITCH(Table1[[#This Row],[Product ID]],"P001",140,"P002",80,"P003",72,"P004",30,"P005",110,"P006",24,"P007",14,"P008",12,"P009",115,"P010",360))*Table1[[#This Row],[Quantity]]</f>
        <v>224</v>
      </c>
      <c r="U95" s="1" cm="1">
        <f t="array" ref="U95">_xlfn.SWITCH(Table1[[#This Row],[Product ID]],"P001",15,"P002",0,"P003",8,"P004",8,"P005",0,"P006",7,"P007",7,"P008",6,"P009",45,"P010",60)</f>
        <v>7</v>
      </c>
      <c r="V95" s="1">
        <f>Table1[[#This Row],[Shipping per Unit]]*Table1[[#This Row],[Quantity]]</f>
        <v>112</v>
      </c>
      <c r="W95" s="2">
        <f>IF(Table1[[#This Row],[Total Shipping]]&gt;0.1,0.2,0)</f>
        <v>0.2</v>
      </c>
      <c r="X95" s="4">
        <f>Table1[[#This Row],[Total Shipping]]*Table1[[#This Row],[VAT on Shipping]]</f>
        <v>22.400000000000002</v>
      </c>
      <c r="Y95" s="1">
        <f>Table1[[#This Row],[Revenue]]-Table1[[#This Row],[COGS]]</f>
        <v>156</v>
      </c>
      <c r="Z95" s="3">
        <f>(Table1[[#This Row],[Profit]]/Table1[[#This Row],[Revenue]])</f>
        <v>0.41052631578947368</v>
      </c>
      <c r="AA95" s="1">
        <f>Table1[[#This Row],[Profit]]-Table1[[#This Row],[Total Shipping]]</f>
        <v>44</v>
      </c>
      <c r="AB95" s="3">
        <f>Table1[[#This Row],[Operating Profit]]/Table1[[#This Row],[Revenue]]</f>
        <v>0.11578947368421053</v>
      </c>
    </row>
    <row r="96" spans="1:28" x14ac:dyDescent="0.25">
      <c r="A96" t="s">
        <v>124</v>
      </c>
      <c r="B96">
        <v>210</v>
      </c>
      <c r="C96" t="s">
        <v>71</v>
      </c>
      <c r="D96" t="s">
        <v>95</v>
      </c>
      <c r="E96" t="s">
        <v>40</v>
      </c>
      <c r="F96" t="s">
        <v>64</v>
      </c>
      <c r="G96" t="str" cm="1">
        <f t="array" ref="G96">_xlfn.SWITCH(F96,"Acme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96" t="s">
        <v>45</v>
      </c>
      <c r="I96" t="s">
        <v>68</v>
      </c>
      <c r="J96" t="str" cm="1">
        <f t="array" ref="J96">_xlfn.SWITCH(I96,"P001","Laptop","P002","Server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6" s="1" cm="1">
        <f t="array" ref="K96">_xlfn.SWITCH(Table1[[#This Row],[Product ID]],"P001",220,"P002",150,"P003",130,"P004",70,"P005",200,"P006",40,"P007",25,"P008",20,"P009",190,"P010",530)</f>
        <v>220</v>
      </c>
      <c r="L96">
        <v>15</v>
      </c>
      <c r="M96" s="1">
        <f>Table1[[#This Row],[Unit Price]]*Table1[[#This Row],[Quantity]]</f>
        <v>3300</v>
      </c>
      <c r="N96" s="2">
        <v>0.02</v>
      </c>
      <c r="O96" s="1">
        <f>Table1[[#This Row],[Gross Value]]*(1-Table1[[#This Row],[Discount]])</f>
        <v>3234</v>
      </c>
      <c r="P96" s="2">
        <v>0.2</v>
      </c>
      <c r="Q96" s="1">
        <f>Table1[[#This Row],[Revenue]]*Table1[[#This Row],[VAT Rate]]</f>
        <v>646.80000000000007</v>
      </c>
      <c r="R96" s="1">
        <f>Table1[[#This Row],[Revenue]]+Table1[[#This Row],[VAT Charged]]</f>
        <v>3880.8</v>
      </c>
      <c r="S96" s="1" cm="1">
        <f t="array" ref="S96">_xlfn.SWITCH(Table1[[#This Row],[Product ID]],"P001",140,"P002",80,"P003",72,"P004",30,"P005",110,"P006",24,"P007",14,"P008",12,"P009",115,"P010",360)</f>
        <v>140</v>
      </c>
      <c r="T96" s="1" cm="1">
        <f t="array" ref="T96">(_xlfn.SWITCH(Table1[[#This Row],[Product ID]],"P001",140,"P002",80,"P003",72,"P004",30,"P005",110,"P006",24,"P007",14,"P008",12,"P009",115,"P010",360))*Table1[[#This Row],[Quantity]]</f>
        <v>2100</v>
      </c>
      <c r="U96" s="1" cm="1">
        <f t="array" ref="U96">_xlfn.SWITCH(Table1[[#This Row],[Product ID]],"P001",15,"P002",0,"P003",8,"P004",8,"P005",0,"P006",7,"P007",7,"P008",6,"P009",45,"P010",60)</f>
        <v>15</v>
      </c>
      <c r="V96" s="1">
        <f>Table1[[#This Row],[Shipping per Unit]]*Table1[[#This Row],[Quantity]]</f>
        <v>225</v>
      </c>
      <c r="W96" s="2">
        <f>IF(Table1[[#This Row],[Total Shipping]]&gt;0.1,0.2,0)</f>
        <v>0.2</v>
      </c>
      <c r="X96" s="4">
        <f>Table1[[#This Row],[Total Shipping]]*Table1[[#This Row],[VAT on Shipping]]</f>
        <v>45</v>
      </c>
      <c r="Y96" s="1">
        <f>Table1[[#This Row],[Revenue]]-Table1[[#This Row],[COGS]]</f>
        <v>1134</v>
      </c>
      <c r="Z96" s="3">
        <f>(Table1[[#This Row],[Profit]]/Table1[[#This Row],[Revenue]])</f>
        <v>0.35064935064935066</v>
      </c>
      <c r="AA96" s="1">
        <f>Table1[[#This Row],[Profit]]-Table1[[#This Row],[Total Shipping]]</f>
        <v>909</v>
      </c>
      <c r="AB96" s="3">
        <f>Table1[[#This Row],[Operating Profit]]/Table1[[#This Row],[Revenue]]</f>
        <v>0.28107606679035252</v>
      </c>
    </row>
    <row r="97" spans="1:28" x14ac:dyDescent="0.25">
      <c r="A97" t="s">
        <v>124</v>
      </c>
      <c r="B97">
        <v>271</v>
      </c>
      <c r="C97" t="s">
        <v>29</v>
      </c>
      <c r="D97" t="s">
        <v>63</v>
      </c>
      <c r="E97" t="s">
        <v>49</v>
      </c>
      <c r="F97" t="s">
        <v>84</v>
      </c>
      <c r="G97" t="str" cm="1">
        <f t="array" ref="G97">_xlfn.SWITCH(F97,"Acme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97" t="s">
        <v>33</v>
      </c>
      <c r="I97" t="s">
        <v>60</v>
      </c>
      <c r="J97" t="str" cm="1">
        <f t="array" ref="J97">_xlfn.SWITCH(I97,"P001","Laptop","P002","Server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97" s="1" cm="1">
        <f t="array" ref="K97">_xlfn.SWITCH(Table1[[#This Row],[Product ID]],"P001",220,"P002",150,"P003",130,"P004",70,"P005",200,"P006",40,"P007",25,"P008",20,"P009",190,"P010",530)</f>
        <v>25</v>
      </c>
      <c r="L97">
        <v>2</v>
      </c>
      <c r="M97" s="1">
        <f>Table1[[#This Row],[Unit Price]]*Table1[[#This Row],[Quantity]]</f>
        <v>50</v>
      </c>
      <c r="N97" s="2">
        <v>0.09</v>
      </c>
      <c r="O97" s="1">
        <f>Table1[[#This Row],[Gross Value]]*(1-Table1[[#This Row],[Discount]])</f>
        <v>45.5</v>
      </c>
      <c r="P97" s="2">
        <v>0.2</v>
      </c>
      <c r="Q97" s="1">
        <f>Table1[[#This Row],[Revenue]]*Table1[[#This Row],[VAT Rate]]</f>
        <v>9.1</v>
      </c>
      <c r="R97" s="1">
        <f>Table1[[#This Row],[Revenue]]+Table1[[#This Row],[VAT Charged]]</f>
        <v>54.6</v>
      </c>
      <c r="S97" s="1" cm="1">
        <f t="array" ref="S97">_xlfn.SWITCH(Table1[[#This Row],[Product ID]],"P001",140,"P002",80,"P003",72,"P004",30,"P005",110,"P006",24,"P007",14,"P008",12,"P009",115,"P010",360)</f>
        <v>14</v>
      </c>
      <c r="T97" s="1" cm="1">
        <f t="array" ref="T97">(_xlfn.SWITCH(Table1[[#This Row],[Product ID]],"P001",140,"P002",80,"P003",72,"P004",30,"P005",110,"P006",24,"P007",14,"P008",12,"P009",115,"P010",360))*Table1[[#This Row],[Quantity]]</f>
        <v>28</v>
      </c>
      <c r="U97" s="1" cm="1">
        <f t="array" ref="U97">_xlfn.SWITCH(Table1[[#This Row],[Product ID]],"P001",15,"P002",0,"P003",8,"P004",8,"P005",0,"P006",7,"P007",7,"P008",6,"P009",45,"P010",60)</f>
        <v>7</v>
      </c>
      <c r="V97" s="1">
        <f>Table1[[#This Row],[Shipping per Unit]]*Table1[[#This Row],[Quantity]]</f>
        <v>14</v>
      </c>
      <c r="W97" s="2">
        <f>IF(Table1[[#This Row],[Total Shipping]]&gt;0.1,0.2,0)</f>
        <v>0.2</v>
      </c>
      <c r="X97" s="4">
        <f>Table1[[#This Row],[Total Shipping]]*Table1[[#This Row],[VAT on Shipping]]</f>
        <v>2.8000000000000003</v>
      </c>
      <c r="Y97" s="1">
        <f>Table1[[#This Row],[Revenue]]-Table1[[#This Row],[COGS]]</f>
        <v>17.5</v>
      </c>
      <c r="Z97" s="3">
        <f>(Table1[[#This Row],[Profit]]/Table1[[#This Row],[Revenue]])</f>
        <v>0.38461538461538464</v>
      </c>
      <c r="AA97" s="1">
        <f>Table1[[#This Row],[Profit]]-Table1[[#This Row],[Total Shipping]]</f>
        <v>3.5</v>
      </c>
      <c r="AB97" s="3">
        <f>Table1[[#This Row],[Operating Profit]]/Table1[[#This Row],[Revenue]]</f>
        <v>7.6923076923076927E-2</v>
      </c>
    </row>
    <row r="98" spans="1:28" x14ac:dyDescent="0.25">
      <c r="A98" t="s">
        <v>125</v>
      </c>
      <c r="B98">
        <v>308</v>
      </c>
      <c r="C98" t="s">
        <v>38</v>
      </c>
      <c r="D98" t="s">
        <v>72</v>
      </c>
      <c r="E98" t="s">
        <v>31</v>
      </c>
      <c r="F98" t="s">
        <v>66</v>
      </c>
      <c r="G98" t="str" cm="1">
        <f t="array" ref="G98">_xlfn.SWITCH(F98,"Acme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98" t="s">
        <v>58</v>
      </c>
      <c r="I98" t="s">
        <v>55</v>
      </c>
      <c r="J98" t="str" cm="1">
        <f t="array" ref="J98">_xlfn.SWITCH(I98,"P001","Laptop","P002","Server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8" s="1" cm="1">
        <f t="array" ref="K98">_xlfn.SWITCH(Table1[[#This Row],[Product ID]],"P001",220,"P002",150,"P003",130,"P004",70,"P005",200,"P006",40,"P007",25,"P008",20,"P009",190,"P010",530)</f>
        <v>70</v>
      </c>
      <c r="L98">
        <v>3</v>
      </c>
      <c r="M98" s="1">
        <f>Table1[[#This Row],[Unit Price]]*Table1[[#This Row],[Quantity]]</f>
        <v>210</v>
      </c>
      <c r="N98" s="2">
        <v>0.06</v>
      </c>
      <c r="O98" s="1">
        <f>Table1[[#This Row],[Gross Value]]*(1-Table1[[#This Row],[Discount]])</f>
        <v>197.39999999999998</v>
      </c>
      <c r="P98" s="2">
        <v>0.2</v>
      </c>
      <c r="Q98" s="1">
        <f>Table1[[#This Row],[Revenue]]*Table1[[#This Row],[VAT Rate]]</f>
        <v>39.479999999999997</v>
      </c>
      <c r="R98" s="1">
        <f>Table1[[#This Row],[Revenue]]+Table1[[#This Row],[VAT Charged]]</f>
        <v>236.87999999999997</v>
      </c>
      <c r="S98" s="1" cm="1">
        <f t="array" ref="S98">_xlfn.SWITCH(Table1[[#This Row],[Product ID]],"P001",140,"P002",80,"P003",72,"P004",30,"P005",110,"P006",24,"P007",14,"P008",12,"P009",115,"P010",360)</f>
        <v>30</v>
      </c>
      <c r="T98" s="1" cm="1">
        <f t="array" ref="T98">(_xlfn.SWITCH(Table1[[#This Row],[Product ID]],"P001",140,"P002",80,"P003",72,"P004",30,"P005",110,"P006",24,"P007",14,"P008",12,"P009",115,"P010",360))*Table1[[#This Row],[Quantity]]</f>
        <v>90</v>
      </c>
      <c r="U98" s="1" cm="1">
        <f t="array" ref="U98">_xlfn.SWITCH(Table1[[#This Row],[Product ID]],"P001",15,"P002",0,"P003",8,"P004",8,"P005",0,"P006",7,"P007",7,"P008",6,"P009",45,"P010",60)</f>
        <v>8</v>
      </c>
      <c r="V98" s="1">
        <f>Table1[[#This Row],[Shipping per Unit]]*Table1[[#This Row],[Quantity]]</f>
        <v>24</v>
      </c>
      <c r="W98" s="2">
        <f>IF(Table1[[#This Row],[Total Shipping]]&gt;0.1,0.2,0)</f>
        <v>0.2</v>
      </c>
      <c r="X98" s="4">
        <f>Table1[[#This Row],[Total Shipping]]*Table1[[#This Row],[VAT on Shipping]]</f>
        <v>4.8000000000000007</v>
      </c>
      <c r="Y98" s="1">
        <f>Table1[[#This Row],[Revenue]]-Table1[[#This Row],[COGS]]</f>
        <v>107.39999999999998</v>
      </c>
      <c r="Z98" s="3">
        <f>(Table1[[#This Row],[Profit]]/Table1[[#This Row],[Revenue]])</f>
        <v>0.54407294832826747</v>
      </c>
      <c r="AA98" s="1">
        <f>Table1[[#This Row],[Profit]]-Table1[[#This Row],[Total Shipping]]</f>
        <v>83.399999999999977</v>
      </c>
      <c r="AB98" s="3">
        <f>Table1[[#This Row],[Operating Profit]]/Table1[[#This Row],[Revenue]]</f>
        <v>0.42249240121580539</v>
      </c>
    </row>
    <row r="99" spans="1:28" x14ac:dyDescent="0.25">
      <c r="A99" t="s">
        <v>125</v>
      </c>
      <c r="B99">
        <v>472</v>
      </c>
      <c r="C99" t="s">
        <v>29</v>
      </c>
      <c r="D99" t="s">
        <v>48</v>
      </c>
      <c r="E99" t="s">
        <v>40</v>
      </c>
      <c r="F99" t="s">
        <v>98</v>
      </c>
      <c r="G99" t="str" cm="1">
        <f t="array" ref="G99">_xlfn.SWITCH(F99,"Acme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99" t="s">
        <v>45</v>
      </c>
      <c r="I99" t="s">
        <v>46</v>
      </c>
      <c r="J99" t="str" cm="1">
        <f t="array" ref="J99">_xlfn.SWITCH(I99,"P001","Laptop","P002","Server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9" s="1" cm="1">
        <f t="array" ref="K99">_xlfn.SWITCH(Table1[[#This Row],[Product ID]],"P001",220,"P002",150,"P003",130,"P004",70,"P005",200,"P006",40,"P007",25,"P008",20,"P009",190,"P010",530)</f>
        <v>530</v>
      </c>
      <c r="L99">
        <v>2</v>
      </c>
      <c r="M99" s="1">
        <f>Table1[[#This Row],[Unit Price]]*Table1[[#This Row],[Quantity]]</f>
        <v>1060</v>
      </c>
      <c r="N99" s="2">
        <v>0.1</v>
      </c>
      <c r="O99" s="1">
        <f>Table1[[#This Row],[Gross Value]]*(1-Table1[[#This Row],[Discount]])</f>
        <v>954</v>
      </c>
      <c r="P99" s="2">
        <v>0.2</v>
      </c>
      <c r="Q99" s="1">
        <f>Table1[[#This Row],[Revenue]]*Table1[[#This Row],[VAT Rate]]</f>
        <v>190.8</v>
      </c>
      <c r="R99" s="1">
        <f>Table1[[#This Row],[Revenue]]+Table1[[#This Row],[VAT Charged]]</f>
        <v>1144.8</v>
      </c>
      <c r="S99" s="1" cm="1">
        <f t="array" ref="S99">_xlfn.SWITCH(Table1[[#This Row],[Product ID]],"P001",140,"P002",80,"P003",72,"P004",30,"P005",110,"P006",24,"P007",14,"P008",12,"P009",115,"P010",360)</f>
        <v>360</v>
      </c>
      <c r="T99" s="1" cm="1">
        <f t="array" ref="T99">(_xlfn.SWITCH(Table1[[#This Row],[Product ID]],"P001",140,"P002",80,"P003",72,"P004",30,"P005",110,"P006",24,"P007",14,"P008",12,"P009",115,"P010",360))*Table1[[#This Row],[Quantity]]</f>
        <v>720</v>
      </c>
      <c r="U99" s="1" cm="1">
        <f t="array" ref="U99">_xlfn.SWITCH(Table1[[#This Row],[Product ID]],"P001",15,"P002",0,"P003",8,"P004",8,"P005",0,"P006",7,"P007",7,"P008",6,"P009",45,"P010",60)</f>
        <v>60</v>
      </c>
      <c r="V99" s="1">
        <f>Table1[[#This Row],[Shipping per Unit]]*Table1[[#This Row],[Quantity]]</f>
        <v>120</v>
      </c>
      <c r="W99" s="2">
        <f>IF(Table1[[#This Row],[Total Shipping]]&gt;0.1,0.2,0)</f>
        <v>0.2</v>
      </c>
      <c r="X99" s="4">
        <f>Table1[[#This Row],[Total Shipping]]*Table1[[#This Row],[VAT on Shipping]]</f>
        <v>24</v>
      </c>
      <c r="Y99" s="1">
        <f>Table1[[#This Row],[Revenue]]-Table1[[#This Row],[COGS]]</f>
        <v>234</v>
      </c>
      <c r="Z99" s="3">
        <f>(Table1[[#This Row],[Profit]]/Table1[[#This Row],[Revenue]])</f>
        <v>0.24528301886792453</v>
      </c>
      <c r="AA99" s="1">
        <f>Table1[[#This Row],[Profit]]-Table1[[#This Row],[Total Shipping]]</f>
        <v>114</v>
      </c>
      <c r="AB99" s="3">
        <f>Table1[[#This Row],[Operating Profit]]/Table1[[#This Row],[Revenue]]</f>
        <v>0.11949685534591195</v>
      </c>
    </row>
    <row r="100" spans="1:28" x14ac:dyDescent="0.25">
      <c r="A100" t="s">
        <v>125</v>
      </c>
      <c r="B100">
        <v>572</v>
      </c>
      <c r="C100" t="s">
        <v>83</v>
      </c>
      <c r="D100" t="s">
        <v>48</v>
      </c>
      <c r="E100" t="s">
        <v>31</v>
      </c>
      <c r="F100" t="s">
        <v>126</v>
      </c>
      <c r="G100" t="str" cm="1">
        <f t="array" ref="G100">_xlfn.SWITCH(F100,"Acme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100" t="s">
        <v>33</v>
      </c>
      <c r="I100" t="s">
        <v>46</v>
      </c>
      <c r="J100" t="str" cm="1">
        <f t="array" ref="J100">_xlfn.SWITCH(I100,"P001","Laptop","P002","Server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00" s="1" cm="1">
        <f t="array" ref="K100">_xlfn.SWITCH(Table1[[#This Row],[Product ID]],"P001",220,"P002",150,"P003",130,"P004",70,"P005",200,"P006",40,"P007",25,"P008",20,"P009",190,"P010",530)</f>
        <v>530</v>
      </c>
      <c r="L100">
        <v>14</v>
      </c>
      <c r="M100" s="1">
        <f>Table1[[#This Row],[Unit Price]]*Table1[[#This Row],[Quantity]]</f>
        <v>7420</v>
      </c>
      <c r="N100" s="2">
        <v>0.05</v>
      </c>
      <c r="O100" s="1">
        <f>Table1[[#This Row],[Gross Value]]*(1-Table1[[#This Row],[Discount]])</f>
        <v>7049</v>
      </c>
      <c r="P100" s="2">
        <v>0.2</v>
      </c>
      <c r="Q100" s="1">
        <f>Table1[[#This Row],[Revenue]]*Table1[[#This Row],[VAT Rate]]</f>
        <v>1409.8000000000002</v>
      </c>
      <c r="R100" s="1">
        <f>Table1[[#This Row],[Revenue]]+Table1[[#This Row],[VAT Charged]]</f>
        <v>8458.7999999999993</v>
      </c>
      <c r="S100" s="1" cm="1">
        <f t="array" ref="S100">_xlfn.SWITCH(Table1[[#This Row],[Product ID]],"P001",140,"P002",80,"P003",72,"P004",30,"P005",110,"P006",24,"P007",14,"P008",12,"P009",115,"P010",360)</f>
        <v>360</v>
      </c>
      <c r="T100" s="1" cm="1">
        <f t="array" ref="T100">(_xlfn.SWITCH(Table1[[#This Row],[Product ID]],"P001",140,"P002",80,"P003",72,"P004",30,"P005",110,"P006",24,"P007",14,"P008",12,"P009",115,"P010",360))*Table1[[#This Row],[Quantity]]</f>
        <v>5040</v>
      </c>
      <c r="U100" s="1" cm="1">
        <f t="array" ref="U100">_xlfn.SWITCH(Table1[[#This Row],[Product ID]],"P001",15,"P002",0,"P003",8,"P004",8,"P005",0,"P006",7,"P007",7,"P008",6,"P009",45,"P010",60)</f>
        <v>60</v>
      </c>
      <c r="V100" s="1">
        <f>Table1[[#This Row],[Shipping per Unit]]*Table1[[#This Row],[Quantity]]</f>
        <v>840</v>
      </c>
      <c r="W100" s="2">
        <f>IF(Table1[[#This Row],[Total Shipping]]&gt;0.1,0.2,0)</f>
        <v>0.2</v>
      </c>
      <c r="X100" s="4">
        <f>Table1[[#This Row],[Total Shipping]]*Table1[[#This Row],[VAT on Shipping]]</f>
        <v>168</v>
      </c>
      <c r="Y100" s="1">
        <f>Table1[[#This Row],[Revenue]]-Table1[[#This Row],[COGS]]</f>
        <v>2009</v>
      </c>
      <c r="Z100" s="3">
        <f>(Table1[[#This Row],[Profit]]/Table1[[#This Row],[Revenue]])</f>
        <v>0.28500496524329694</v>
      </c>
      <c r="AA100" s="1">
        <f>Table1[[#This Row],[Profit]]-Table1[[#This Row],[Total Shipping]]</f>
        <v>1169</v>
      </c>
      <c r="AB100" s="3">
        <f>Table1[[#This Row],[Operating Profit]]/Table1[[#This Row],[Revenue]]</f>
        <v>0.16583912611717974</v>
      </c>
    </row>
    <row r="101" spans="1:28" x14ac:dyDescent="0.25">
      <c r="A101" t="s">
        <v>125</v>
      </c>
      <c r="B101">
        <v>655</v>
      </c>
      <c r="C101" t="s">
        <v>83</v>
      </c>
      <c r="D101" t="s">
        <v>63</v>
      </c>
      <c r="E101" t="s">
        <v>49</v>
      </c>
      <c r="F101" t="s">
        <v>87</v>
      </c>
      <c r="G101" t="str" cm="1">
        <f t="array" ref="G101">_xlfn.SWITCH(F101,"Acme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101" t="s">
        <v>33</v>
      </c>
      <c r="I101" t="s">
        <v>52</v>
      </c>
      <c r="J101" t="str" cm="1">
        <f t="array" ref="J101">_xlfn.SWITCH(I101,"P001","Laptop","P002","Server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01" s="1" cm="1">
        <f t="array" ref="K101">_xlfn.SWITCH(Table1[[#This Row],[Product ID]],"P001",220,"P002",150,"P003",130,"P004",70,"P005",200,"P006",40,"P007",25,"P008",20,"P009",190,"P010",530)</f>
        <v>130</v>
      </c>
      <c r="L101">
        <v>17</v>
      </c>
      <c r="M101" s="1">
        <f>Table1[[#This Row],[Unit Price]]*Table1[[#This Row],[Quantity]]</f>
        <v>2210</v>
      </c>
      <c r="N101" s="2">
        <v>0.1</v>
      </c>
      <c r="O101" s="1">
        <f>Table1[[#This Row],[Gross Value]]*(1-Table1[[#This Row],[Discount]])</f>
        <v>1989</v>
      </c>
      <c r="P101" s="2">
        <v>0.2</v>
      </c>
      <c r="Q101" s="1">
        <f>Table1[[#This Row],[Revenue]]*Table1[[#This Row],[VAT Rate]]</f>
        <v>397.8</v>
      </c>
      <c r="R101" s="1">
        <f>Table1[[#This Row],[Revenue]]+Table1[[#This Row],[VAT Charged]]</f>
        <v>2386.8000000000002</v>
      </c>
      <c r="S101" s="1" cm="1">
        <f t="array" ref="S101">_xlfn.SWITCH(Table1[[#This Row],[Product ID]],"P001",140,"P002",80,"P003",72,"P004",30,"P005",110,"P006",24,"P007",14,"P008",12,"P009",115,"P010",360)</f>
        <v>72</v>
      </c>
      <c r="T101" s="1" cm="1">
        <f t="array" ref="T101">(_xlfn.SWITCH(Table1[[#This Row],[Product ID]],"P001",140,"P002",80,"P003",72,"P004",30,"P005",110,"P006",24,"P007",14,"P008",12,"P009",115,"P010",360))*Table1[[#This Row],[Quantity]]</f>
        <v>1224</v>
      </c>
      <c r="U101" s="1" cm="1">
        <f t="array" ref="U101">_xlfn.SWITCH(Table1[[#This Row],[Product ID]],"P001",15,"P002",0,"P003",8,"P004",8,"P005",0,"P006",7,"P007",7,"P008",6,"P009",45,"P010",60)</f>
        <v>8</v>
      </c>
      <c r="V101" s="1">
        <f>Table1[[#This Row],[Shipping per Unit]]*Table1[[#This Row],[Quantity]]</f>
        <v>136</v>
      </c>
      <c r="W101" s="2">
        <f>IF(Table1[[#This Row],[Total Shipping]]&gt;0.1,0.2,0)</f>
        <v>0.2</v>
      </c>
      <c r="X101" s="4">
        <f>Table1[[#This Row],[Total Shipping]]*Table1[[#This Row],[VAT on Shipping]]</f>
        <v>27.200000000000003</v>
      </c>
      <c r="Y101" s="1">
        <f>Table1[[#This Row],[Revenue]]-Table1[[#This Row],[COGS]]</f>
        <v>765</v>
      </c>
      <c r="Z101" s="3">
        <f>(Table1[[#This Row],[Profit]]/Table1[[#This Row],[Revenue]])</f>
        <v>0.38461538461538464</v>
      </c>
      <c r="AA101" s="1">
        <f>Table1[[#This Row],[Profit]]-Table1[[#This Row],[Total Shipping]]</f>
        <v>629</v>
      </c>
      <c r="AB101" s="3">
        <f>Table1[[#This Row],[Operating Profit]]/Table1[[#This Row],[Revenue]]</f>
        <v>0.31623931623931623</v>
      </c>
    </row>
    <row r="102" spans="1:28" x14ac:dyDescent="0.25">
      <c r="A102" t="s">
        <v>125</v>
      </c>
      <c r="B102">
        <v>689</v>
      </c>
      <c r="C102" t="s">
        <v>29</v>
      </c>
      <c r="D102" t="s">
        <v>39</v>
      </c>
      <c r="E102" t="s">
        <v>40</v>
      </c>
      <c r="F102" t="s">
        <v>84</v>
      </c>
      <c r="G102" t="str" cm="1">
        <f t="array" ref="G102">_xlfn.SWITCH(F102,"Acme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102" t="s">
        <v>69</v>
      </c>
      <c r="I102" t="s">
        <v>70</v>
      </c>
      <c r="J102" t="str" cm="1">
        <f t="array" ref="J102">_xlfn.SWITCH(I102,"P001","Laptop","P002","Server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02" s="1" cm="1">
        <f t="array" ref="K102">_xlfn.SWITCH(Table1[[#This Row],[Product ID]],"P001",220,"P002",150,"P003",130,"P004",70,"P005",200,"P006",40,"P007",25,"P008",20,"P009",190,"P010",530)</f>
        <v>150</v>
      </c>
      <c r="L102">
        <v>13</v>
      </c>
      <c r="M102" s="1">
        <f>Table1[[#This Row],[Unit Price]]*Table1[[#This Row],[Quantity]]</f>
        <v>1950</v>
      </c>
      <c r="N102" s="2">
        <v>0.1</v>
      </c>
      <c r="O102" s="1">
        <f>Table1[[#This Row],[Gross Value]]*(1-Table1[[#This Row],[Discount]])</f>
        <v>1755</v>
      </c>
      <c r="P102" s="2">
        <v>0.2</v>
      </c>
      <c r="Q102" s="1">
        <f>Table1[[#This Row],[Revenue]]*Table1[[#This Row],[VAT Rate]]</f>
        <v>351</v>
      </c>
      <c r="R102" s="1">
        <f>Table1[[#This Row],[Revenue]]+Table1[[#This Row],[VAT Charged]]</f>
        <v>2106</v>
      </c>
      <c r="S102" s="1" cm="1">
        <f t="array" ref="S102">_xlfn.SWITCH(Table1[[#This Row],[Product ID]],"P001",140,"P002",80,"P003",72,"P004",30,"P005",110,"P006",24,"P007",14,"P008",12,"P009",115,"P010",360)</f>
        <v>80</v>
      </c>
      <c r="T102" s="1" cm="1">
        <f t="array" ref="T102">(_xlfn.SWITCH(Table1[[#This Row],[Product ID]],"P001",140,"P002",80,"P003",72,"P004",30,"P005",110,"P006",24,"P007",14,"P008",12,"P009",115,"P010",360))*Table1[[#This Row],[Quantity]]</f>
        <v>1040</v>
      </c>
      <c r="U102" s="1" cm="1">
        <f t="array" ref="U102">_xlfn.SWITCH(Table1[[#This Row],[Product ID]],"P001",15,"P002",0,"P003",8,"P004",8,"P005",0,"P006",7,"P007",7,"P008",6,"P009",45,"P010",60)</f>
        <v>0</v>
      </c>
      <c r="V102" s="1">
        <f>Table1[[#This Row],[Shipping per Unit]]*Table1[[#This Row],[Quantity]]</f>
        <v>0</v>
      </c>
      <c r="W102" s="2">
        <f>IF(Table1[[#This Row],[Total Shipping]]&gt;0.1,0.2,0)</f>
        <v>0</v>
      </c>
      <c r="X102" s="4">
        <f>Table1[[#This Row],[Total Shipping]]*Table1[[#This Row],[VAT on Shipping]]</f>
        <v>0</v>
      </c>
      <c r="Y102" s="1">
        <f>Table1[[#This Row],[Revenue]]-Table1[[#This Row],[COGS]]</f>
        <v>715</v>
      </c>
      <c r="Z102" s="3">
        <f>(Table1[[#This Row],[Profit]]/Table1[[#This Row],[Revenue]])</f>
        <v>0.40740740740740738</v>
      </c>
      <c r="AA102" s="1">
        <f>Table1[[#This Row],[Profit]]-Table1[[#This Row],[Total Shipping]]</f>
        <v>715</v>
      </c>
      <c r="AB102" s="3">
        <f>Table1[[#This Row],[Operating Profit]]/Table1[[#This Row],[Revenue]]</f>
        <v>0.40740740740740738</v>
      </c>
    </row>
    <row r="103" spans="1:28" x14ac:dyDescent="0.25">
      <c r="A103" t="s">
        <v>127</v>
      </c>
      <c r="B103">
        <v>103</v>
      </c>
      <c r="C103" t="s">
        <v>71</v>
      </c>
      <c r="D103" t="s">
        <v>57</v>
      </c>
      <c r="E103" t="s">
        <v>40</v>
      </c>
      <c r="F103" t="s">
        <v>64</v>
      </c>
      <c r="G103" t="str" cm="1">
        <f t="array" ref="G103">_xlfn.SWITCH(F103,"Acme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03" t="s">
        <v>33</v>
      </c>
      <c r="I103" t="s">
        <v>55</v>
      </c>
      <c r="J103" t="str" cm="1">
        <f t="array" ref="J103">_xlfn.SWITCH(I103,"P001","Laptop","P002","Server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03" s="1" cm="1">
        <f t="array" ref="K103">_xlfn.SWITCH(Table1[[#This Row],[Product ID]],"P001",220,"P002",150,"P003",130,"P004",70,"P005",200,"P006",40,"P007",25,"P008",20,"P009",190,"P010",530)</f>
        <v>70</v>
      </c>
      <c r="L103">
        <v>4</v>
      </c>
      <c r="M103" s="1">
        <f>Table1[[#This Row],[Unit Price]]*Table1[[#This Row],[Quantity]]</f>
        <v>280</v>
      </c>
      <c r="N103" s="2">
        <v>0.03</v>
      </c>
      <c r="O103" s="1">
        <f>Table1[[#This Row],[Gross Value]]*(1-Table1[[#This Row],[Discount]])</f>
        <v>271.59999999999997</v>
      </c>
      <c r="P103" s="2">
        <v>0.2</v>
      </c>
      <c r="Q103" s="1">
        <f>Table1[[#This Row],[Revenue]]*Table1[[#This Row],[VAT Rate]]</f>
        <v>54.319999999999993</v>
      </c>
      <c r="R103" s="1">
        <f>Table1[[#This Row],[Revenue]]+Table1[[#This Row],[VAT Charged]]</f>
        <v>325.91999999999996</v>
      </c>
      <c r="S103" s="1" cm="1">
        <f t="array" ref="S103">_xlfn.SWITCH(Table1[[#This Row],[Product ID]],"P001",140,"P002",80,"P003",72,"P004",30,"P005",110,"P006",24,"P007",14,"P008",12,"P009",115,"P010",360)</f>
        <v>30</v>
      </c>
      <c r="T103" s="1" cm="1">
        <f t="array" ref="T103">(_xlfn.SWITCH(Table1[[#This Row],[Product ID]],"P001",140,"P002",80,"P003",72,"P004",30,"P005",110,"P006",24,"P007",14,"P008",12,"P009",115,"P010",360))*Table1[[#This Row],[Quantity]]</f>
        <v>120</v>
      </c>
      <c r="U103" s="1" cm="1">
        <f t="array" ref="U103">_xlfn.SWITCH(Table1[[#This Row],[Product ID]],"P001",15,"P002",0,"P003",8,"P004",8,"P005",0,"P006",7,"P007",7,"P008",6,"P009",45,"P010",60)</f>
        <v>8</v>
      </c>
      <c r="V103" s="1">
        <f>Table1[[#This Row],[Shipping per Unit]]*Table1[[#This Row],[Quantity]]</f>
        <v>32</v>
      </c>
      <c r="W103" s="2">
        <f>IF(Table1[[#This Row],[Total Shipping]]&gt;0.1,0.2,0)</f>
        <v>0.2</v>
      </c>
      <c r="X103" s="4">
        <f>Table1[[#This Row],[Total Shipping]]*Table1[[#This Row],[VAT on Shipping]]</f>
        <v>6.4</v>
      </c>
      <c r="Y103" s="1">
        <f>Table1[[#This Row],[Revenue]]-Table1[[#This Row],[COGS]]</f>
        <v>151.59999999999997</v>
      </c>
      <c r="Z103" s="3">
        <f>(Table1[[#This Row],[Profit]]/Table1[[#This Row],[Revenue]])</f>
        <v>0.55817378497790859</v>
      </c>
      <c r="AA103" s="1">
        <f>Table1[[#This Row],[Profit]]-Table1[[#This Row],[Total Shipping]]</f>
        <v>119.59999999999997</v>
      </c>
      <c r="AB103" s="3">
        <f>Table1[[#This Row],[Operating Profit]]/Table1[[#This Row],[Revenue]]</f>
        <v>0.44035346097201761</v>
      </c>
    </row>
    <row r="104" spans="1:28" x14ac:dyDescent="0.25">
      <c r="A104" t="s">
        <v>127</v>
      </c>
      <c r="B104">
        <v>128</v>
      </c>
      <c r="C104" t="s">
        <v>71</v>
      </c>
      <c r="D104" t="s">
        <v>30</v>
      </c>
      <c r="E104" t="s">
        <v>49</v>
      </c>
      <c r="F104" t="s">
        <v>78</v>
      </c>
      <c r="G104" t="str" cm="1">
        <f t="array" ref="G104">_xlfn.SWITCH(F104,"Acme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104" t="s">
        <v>45</v>
      </c>
      <c r="I104" t="s">
        <v>42</v>
      </c>
      <c r="J104" t="str" cm="1">
        <f t="array" ref="J104">_xlfn.SWITCH(I104,"P001","Laptop","P002","Server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04" s="1" cm="1">
        <f t="array" ref="K104">_xlfn.SWITCH(Table1[[#This Row],[Product ID]],"P001",220,"P002",150,"P003",130,"P004",70,"P005",200,"P006",40,"P007",25,"P008",20,"P009",190,"P010",530)</f>
        <v>40</v>
      </c>
      <c r="L104">
        <v>5</v>
      </c>
      <c r="M104" s="1">
        <f>Table1[[#This Row],[Unit Price]]*Table1[[#This Row],[Quantity]]</f>
        <v>200</v>
      </c>
      <c r="N104" s="2">
        <v>0.1</v>
      </c>
      <c r="O104" s="1">
        <f>Table1[[#This Row],[Gross Value]]*(1-Table1[[#This Row],[Discount]])</f>
        <v>180</v>
      </c>
      <c r="P104" s="2">
        <v>0.2</v>
      </c>
      <c r="Q104" s="1">
        <f>Table1[[#This Row],[Revenue]]*Table1[[#This Row],[VAT Rate]]</f>
        <v>36</v>
      </c>
      <c r="R104" s="1">
        <f>Table1[[#This Row],[Revenue]]+Table1[[#This Row],[VAT Charged]]</f>
        <v>216</v>
      </c>
      <c r="S104" s="1" cm="1">
        <f t="array" ref="S104">_xlfn.SWITCH(Table1[[#This Row],[Product ID]],"P001",140,"P002",80,"P003",72,"P004",30,"P005",110,"P006",24,"P007",14,"P008",12,"P009",115,"P010",360)</f>
        <v>24</v>
      </c>
      <c r="T104" s="1" cm="1">
        <f t="array" ref="T104">(_xlfn.SWITCH(Table1[[#This Row],[Product ID]],"P001",140,"P002",80,"P003",72,"P004",30,"P005",110,"P006",24,"P007",14,"P008",12,"P009",115,"P010",360))*Table1[[#This Row],[Quantity]]</f>
        <v>120</v>
      </c>
      <c r="U104" s="1" cm="1">
        <f t="array" ref="U104">_xlfn.SWITCH(Table1[[#This Row],[Product ID]],"P001",15,"P002",0,"P003",8,"P004",8,"P005",0,"P006",7,"P007",7,"P008",6,"P009",45,"P010",60)</f>
        <v>7</v>
      </c>
      <c r="V104" s="1">
        <f>Table1[[#This Row],[Shipping per Unit]]*Table1[[#This Row],[Quantity]]</f>
        <v>35</v>
      </c>
      <c r="W104" s="2">
        <f>IF(Table1[[#This Row],[Total Shipping]]&gt;0.1,0.2,0)</f>
        <v>0.2</v>
      </c>
      <c r="X104" s="4">
        <f>Table1[[#This Row],[Total Shipping]]*Table1[[#This Row],[VAT on Shipping]]</f>
        <v>7</v>
      </c>
      <c r="Y104" s="1">
        <f>Table1[[#This Row],[Revenue]]-Table1[[#This Row],[COGS]]</f>
        <v>60</v>
      </c>
      <c r="Z104" s="3">
        <f>(Table1[[#This Row],[Profit]]/Table1[[#This Row],[Revenue]])</f>
        <v>0.33333333333333331</v>
      </c>
      <c r="AA104" s="1">
        <f>Table1[[#This Row],[Profit]]-Table1[[#This Row],[Total Shipping]]</f>
        <v>25</v>
      </c>
      <c r="AB104" s="3">
        <f>Table1[[#This Row],[Operating Profit]]/Table1[[#This Row],[Revenue]]</f>
        <v>0.1388888888888889</v>
      </c>
    </row>
    <row r="105" spans="1:28" x14ac:dyDescent="0.25">
      <c r="A105" t="s">
        <v>127</v>
      </c>
      <c r="B105">
        <v>191</v>
      </c>
      <c r="C105" t="s">
        <v>62</v>
      </c>
      <c r="D105" t="s">
        <v>36</v>
      </c>
      <c r="E105" t="s">
        <v>31</v>
      </c>
      <c r="F105" t="s">
        <v>54</v>
      </c>
      <c r="G105" t="str" cm="1">
        <f t="array" ref="G105">_xlfn.SWITCH(F105,"Acme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105" t="s">
        <v>45</v>
      </c>
      <c r="I105" t="s">
        <v>52</v>
      </c>
      <c r="J105" t="str" cm="1">
        <f t="array" ref="J105">_xlfn.SWITCH(I105,"P001","Laptop","P002","Server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05" s="1" cm="1">
        <f t="array" ref="K105">_xlfn.SWITCH(Table1[[#This Row],[Product ID]],"P001",220,"P002",150,"P003",130,"P004",70,"P005",200,"P006",40,"P007",25,"P008",20,"P009",190,"P010",530)</f>
        <v>130</v>
      </c>
      <c r="L105">
        <v>14</v>
      </c>
      <c r="M105" s="1">
        <f>Table1[[#This Row],[Unit Price]]*Table1[[#This Row],[Quantity]]</f>
        <v>1820</v>
      </c>
      <c r="N105" s="2">
        <v>0.12</v>
      </c>
      <c r="O105" s="1">
        <f>Table1[[#This Row],[Gross Value]]*(1-Table1[[#This Row],[Discount]])</f>
        <v>1601.6</v>
      </c>
      <c r="P105" s="2">
        <v>0.2</v>
      </c>
      <c r="Q105" s="1">
        <f>Table1[[#This Row],[Revenue]]*Table1[[#This Row],[VAT Rate]]</f>
        <v>320.32</v>
      </c>
      <c r="R105" s="1">
        <f>Table1[[#This Row],[Revenue]]+Table1[[#This Row],[VAT Charged]]</f>
        <v>1921.9199999999998</v>
      </c>
      <c r="S105" s="1" cm="1">
        <f t="array" ref="S105">_xlfn.SWITCH(Table1[[#This Row],[Product ID]],"P001",140,"P002",80,"P003",72,"P004",30,"P005",110,"P006",24,"P007",14,"P008",12,"P009",115,"P010",360)</f>
        <v>72</v>
      </c>
      <c r="T105" s="1" cm="1">
        <f t="array" ref="T105">(_xlfn.SWITCH(Table1[[#This Row],[Product ID]],"P001",140,"P002",80,"P003",72,"P004",30,"P005",110,"P006",24,"P007",14,"P008",12,"P009",115,"P010",360))*Table1[[#This Row],[Quantity]]</f>
        <v>1008</v>
      </c>
      <c r="U105" s="1" cm="1">
        <f t="array" ref="U105">_xlfn.SWITCH(Table1[[#This Row],[Product ID]],"P001",15,"P002",0,"P003",8,"P004",8,"P005",0,"P006",7,"P007",7,"P008",6,"P009",45,"P010",60)</f>
        <v>8</v>
      </c>
      <c r="V105" s="1">
        <f>Table1[[#This Row],[Shipping per Unit]]*Table1[[#This Row],[Quantity]]</f>
        <v>112</v>
      </c>
      <c r="W105" s="2">
        <f>IF(Table1[[#This Row],[Total Shipping]]&gt;0.1,0.2,0)</f>
        <v>0.2</v>
      </c>
      <c r="X105" s="4">
        <f>Table1[[#This Row],[Total Shipping]]*Table1[[#This Row],[VAT on Shipping]]</f>
        <v>22.400000000000002</v>
      </c>
      <c r="Y105" s="1">
        <f>Table1[[#This Row],[Revenue]]-Table1[[#This Row],[COGS]]</f>
        <v>593.59999999999991</v>
      </c>
      <c r="Z105" s="3">
        <f>(Table1[[#This Row],[Profit]]/Table1[[#This Row],[Revenue]])</f>
        <v>0.37062937062937057</v>
      </c>
      <c r="AA105" s="1">
        <f>Table1[[#This Row],[Profit]]-Table1[[#This Row],[Total Shipping]]</f>
        <v>481.59999999999991</v>
      </c>
      <c r="AB105" s="3">
        <f>Table1[[#This Row],[Operating Profit]]/Table1[[#This Row],[Revenue]]</f>
        <v>0.30069930069930068</v>
      </c>
    </row>
    <row r="106" spans="1:28" x14ac:dyDescent="0.25">
      <c r="A106" t="s">
        <v>127</v>
      </c>
      <c r="B106">
        <v>645</v>
      </c>
      <c r="C106" t="s">
        <v>62</v>
      </c>
      <c r="D106" t="s">
        <v>63</v>
      </c>
      <c r="E106" t="s">
        <v>31</v>
      </c>
      <c r="F106" t="s">
        <v>41</v>
      </c>
      <c r="G106" t="str" cm="1">
        <f t="array" ref="G106">_xlfn.SWITCH(F106,"Acme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106" t="s">
        <v>58</v>
      </c>
      <c r="I106" t="s">
        <v>91</v>
      </c>
      <c r="J106" t="str" cm="1">
        <f t="array" ref="J106">_xlfn.SWITCH(I106,"P001","Laptop","P002","Server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106" s="1" cm="1">
        <f t="array" ref="K106">_xlfn.SWITCH(Table1[[#This Row],[Product ID]],"P001",220,"P002",150,"P003",130,"P004",70,"P005",200,"P006",40,"P007",25,"P008",20,"P009",190,"P010",530)</f>
        <v>190</v>
      </c>
      <c r="L106">
        <v>14</v>
      </c>
      <c r="M106" s="1">
        <f>Table1[[#This Row],[Unit Price]]*Table1[[#This Row],[Quantity]]</f>
        <v>2660</v>
      </c>
      <c r="N106" s="2">
        <v>0.1</v>
      </c>
      <c r="O106" s="1">
        <f>Table1[[#This Row],[Gross Value]]*(1-Table1[[#This Row],[Discount]])</f>
        <v>2394</v>
      </c>
      <c r="P106" s="2">
        <v>0.2</v>
      </c>
      <c r="Q106" s="1">
        <f>Table1[[#This Row],[Revenue]]*Table1[[#This Row],[VAT Rate]]</f>
        <v>478.8</v>
      </c>
      <c r="R106" s="1">
        <f>Table1[[#This Row],[Revenue]]+Table1[[#This Row],[VAT Charged]]</f>
        <v>2872.8</v>
      </c>
      <c r="S106" s="1" cm="1">
        <f t="array" ref="S106">_xlfn.SWITCH(Table1[[#This Row],[Product ID]],"P001",140,"P002",80,"P003",72,"P004",30,"P005",110,"P006",24,"P007",14,"P008",12,"P009",115,"P010",360)</f>
        <v>115</v>
      </c>
      <c r="T106" s="1" cm="1">
        <f t="array" ref="T106">(_xlfn.SWITCH(Table1[[#This Row],[Product ID]],"P001",140,"P002",80,"P003",72,"P004",30,"P005",110,"P006",24,"P007",14,"P008",12,"P009",115,"P010",360))*Table1[[#This Row],[Quantity]]</f>
        <v>1610</v>
      </c>
      <c r="U106" s="1" cm="1">
        <f t="array" ref="U106">_xlfn.SWITCH(Table1[[#This Row],[Product ID]],"P001",15,"P002",0,"P003",8,"P004",8,"P005",0,"P006",7,"P007",7,"P008",6,"P009",45,"P010",60)</f>
        <v>45</v>
      </c>
      <c r="V106" s="1">
        <f>Table1[[#This Row],[Shipping per Unit]]*Table1[[#This Row],[Quantity]]</f>
        <v>630</v>
      </c>
      <c r="W106" s="2">
        <f>IF(Table1[[#This Row],[Total Shipping]]&gt;0.1,0.2,0)</f>
        <v>0.2</v>
      </c>
      <c r="X106" s="4">
        <f>Table1[[#This Row],[Total Shipping]]*Table1[[#This Row],[VAT on Shipping]]</f>
        <v>126</v>
      </c>
      <c r="Y106" s="1">
        <f>Table1[[#This Row],[Revenue]]-Table1[[#This Row],[COGS]]</f>
        <v>784</v>
      </c>
      <c r="Z106" s="3">
        <f>(Table1[[#This Row],[Profit]]/Table1[[#This Row],[Revenue]])</f>
        <v>0.32748538011695905</v>
      </c>
      <c r="AA106" s="1">
        <f>Table1[[#This Row],[Profit]]-Table1[[#This Row],[Total Shipping]]</f>
        <v>154</v>
      </c>
      <c r="AB106" s="3">
        <f>Table1[[#This Row],[Operating Profit]]/Table1[[#This Row],[Revenue]]</f>
        <v>6.4327485380116955E-2</v>
      </c>
    </row>
    <row r="107" spans="1:28" x14ac:dyDescent="0.25">
      <c r="A107" t="s">
        <v>127</v>
      </c>
      <c r="B107">
        <v>743</v>
      </c>
      <c r="C107" t="s">
        <v>38</v>
      </c>
      <c r="D107" t="s">
        <v>36</v>
      </c>
      <c r="E107" t="s">
        <v>40</v>
      </c>
      <c r="F107" t="s">
        <v>76</v>
      </c>
      <c r="G107" t="str" cm="1">
        <f t="array" ref="G107">_xlfn.SWITCH(F107,"Acme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107" t="s">
        <v>45</v>
      </c>
      <c r="I107" t="s">
        <v>60</v>
      </c>
      <c r="J107" t="str" cm="1">
        <f t="array" ref="J107">_xlfn.SWITCH(I107,"P001","Laptop","P002","Server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107" s="1" cm="1">
        <f t="array" ref="K107">_xlfn.SWITCH(Table1[[#This Row],[Product ID]],"P001",220,"P002",150,"P003",130,"P004",70,"P005",200,"P006",40,"P007",25,"P008",20,"P009",190,"P010",530)</f>
        <v>25</v>
      </c>
      <c r="L107">
        <v>5</v>
      </c>
      <c r="M107" s="1">
        <f>Table1[[#This Row],[Unit Price]]*Table1[[#This Row],[Quantity]]</f>
        <v>125</v>
      </c>
      <c r="N107" s="2">
        <v>0.06</v>
      </c>
      <c r="O107" s="1">
        <f>Table1[[#This Row],[Gross Value]]*(1-Table1[[#This Row],[Discount]])</f>
        <v>117.5</v>
      </c>
      <c r="P107" s="2">
        <v>0.2</v>
      </c>
      <c r="Q107" s="1">
        <f>Table1[[#This Row],[Revenue]]*Table1[[#This Row],[VAT Rate]]</f>
        <v>23.5</v>
      </c>
      <c r="R107" s="1">
        <f>Table1[[#This Row],[Revenue]]+Table1[[#This Row],[VAT Charged]]</f>
        <v>141</v>
      </c>
      <c r="S107" s="1" cm="1">
        <f t="array" ref="S107">_xlfn.SWITCH(Table1[[#This Row],[Product ID]],"P001",140,"P002",80,"P003",72,"P004",30,"P005",110,"P006",24,"P007",14,"P008",12,"P009",115,"P010",360)</f>
        <v>14</v>
      </c>
      <c r="T107" s="1" cm="1">
        <f t="array" ref="T107">(_xlfn.SWITCH(Table1[[#This Row],[Product ID]],"P001",140,"P002",80,"P003",72,"P004",30,"P005",110,"P006",24,"P007",14,"P008",12,"P009",115,"P010",360))*Table1[[#This Row],[Quantity]]</f>
        <v>70</v>
      </c>
      <c r="U107" s="1" cm="1">
        <f t="array" ref="U107">_xlfn.SWITCH(Table1[[#This Row],[Product ID]],"P001",15,"P002",0,"P003",8,"P004",8,"P005",0,"P006",7,"P007",7,"P008",6,"P009",45,"P010",60)</f>
        <v>7</v>
      </c>
      <c r="V107" s="1">
        <f>Table1[[#This Row],[Shipping per Unit]]*Table1[[#This Row],[Quantity]]</f>
        <v>35</v>
      </c>
      <c r="W107" s="2">
        <f>IF(Table1[[#This Row],[Total Shipping]]&gt;0.1,0.2,0)</f>
        <v>0.2</v>
      </c>
      <c r="X107" s="4">
        <f>Table1[[#This Row],[Total Shipping]]*Table1[[#This Row],[VAT on Shipping]]</f>
        <v>7</v>
      </c>
      <c r="Y107" s="1">
        <f>Table1[[#This Row],[Revenue]]-Table1[[#This Row],[COGS]]</f>
        <v>47.5</v>
      </c>
      <c r="Z107" s="3">
        <f>(Table1[[#This Row],[Profit]]/Table1[[#This Row],[Revenue]])</f>
        <v>0.40425531914893614</v>
      </c>
      <c r="AA107" s="1">
        <f>Table1[[#This Row],[Profit]]-Table1[[#This Row],[Total Shipping]]</f>
        <v>12.5</v>
      </c>
      <c r="AB107" s="3">
        <f>Table1[[#This Row],[Operating Profit]]/Table1[[#This Row],[Revenue]]</f>
        <v>0.10638297872340426</v>
      </c>
    </row>
    <row r="108" spans="1:28" x14ac:dyDescent="0.25">
      <c r="A108" t="s">
        <v>128</v>
      </c>
      <c r="B108">
        <v>205</v>
      </c>
      <c r="C108" t="s">
        <v>56</v>
      </c>
      <c r="D108" t="s">
        <v>67</v>
      </c>
      <c r="E108" t="s">
        <v>49</v>
      </c>
      <c r="F108" t="s">
        <v>79</v>
      </c>
      <c r="G108" t="str" cm="1">
        <f t="array" ref="G108">_xlfn.SWITCH(F108,"Acme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108" t="s">
        <v>33</v>
      </c>
      <c r="I108" t="s">
        <v>70</v>
      </c>
      <c r="J108" t="str" cm="1">
        <f t="array" ref="J108">_xlfn.SWITCH(I108,"P001","Laptop","P002","Server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08" s="1" cm="1">
        <f t="array" ref="K108">_xlfn.SWITCH(Table1[[#This Row],[Product ID]],"P001",220,"P002",150,"P003",130,"P004",70,"P005",200,"P006",40,"P007",25,"P008",20,"P009",190,"P010",530)</f>
        <v>150</v>
      </c>
      <c r="L108">
        <v>15</v>
      </c>
      <c r="M108" s="1">
        <f>Table1[[#This Row],[Unit Price]]*Table1[[#This Row],[Quantity]]</f>
        <v>2250</v>
      </c>
      <c r="N108" s="2">
        <v>0.06</v>
      </c>
      <c r="O108" s="1">
        <f>Table1[[#This Row],[Gross Value]]*(1-Table1[[#This Row],[Discount]])</f>
        <v>2115</v>
      </c>
      <c r="P108" s="2">
        <v>0.2</v>
      </c>
      <c r="Q108" s="1">
        <f>Table1[[#This Row],[Revenue]]*Table1[[#This Row],[VAT Rate]]</f>
        <v>423</v>
      </c>
      <c r="R108" s="1">
        <f>Table1[[#This Row],[Revenue]]+Table1[[#This Row],[VAT Charged]]</f>
        <v>2538</v>
      </c>
      <c r="S108" s="1" cm="1">
        <f t="array" ref="S108">_xlfn.SWITCH(Table1[[#This Row],[Product ID]],"P001",140,"P002",80,"P003",72,"P004",30,"P005",110,"P006",24,"P007",14,"P008",12,"P009",115,"P010",360)</f>
        <v>80</v>
      </c>
      <c r="T108" s="1" cm="1">
        <f t="array" ref="T108">(_xlfn.SWITCH(Table1[[#This Row],[Product ID]],"P001",140,"P002",80,"P003",72,"P004",30,"P005",110,"P006",24,"P007",14,"P008",12,"P009",115,"P010",360))*Table1[[#This Row],[Quantity]]</f>
        <v>1200</v>
      </c>
      <c r="U108" s="1" cm="1">
        <f t="array" ref="U108">_xlfn.SWITCH(Table1[[#This Row],[Product ID]],"P001",15,"P002",0,"P003",8,"P004",8,"P005",0,"P006",7,"P007",7,"P008",6,"P009",45,"P010",60)</f>
        <v>0</v>
      </c>
      <c r="V108" s="1">
        <f>Table1[[#This Row],[Shipping per Unit]]*Table1[[#This Row],[Quantity]]</f>
        <v>0</v>
      </c>
      <c r="W108" s="2">
        <f>IF(Table1[[#This Row],[Total Shipping]]&gt;0.1,0.2,0)</f>
        <v>0</v>
      </c>
      <c r="X108" s="4">
        <f>Table1[[#This Row],[Total Shipping]]*Table1[[#This Row],[VAT on Shipping]]</f>
        <v>0</v>
      </c>
      <c r="Y108" s="1">
        <f>Table1[[#This Row],[Revenue]]-Table1[[#This Row],[COGS]]</f>
        <v>915</v>
      </c>
      <c r="Z108" s="3">
        <f>(Table1[[#This Row],[Profit]]/Table1[[#This Row],[Revenue]])</f>
        <v>0.43262411347517732</v>
      </c>
      <c r="AA108" s="1">
        <f>Table1[[#This Row],[Profit]]-Table1[[#This Row],[Total Shipping]]</f>
        <v>915</v>
      </c>
      <c r="AB108" s="3">
        <f>Table1[[#This Row],[Operating Profit]]/Table1[[#This Row],[Revenue]]</f>
        <v>0.43262411347517732</v>
      </c>
    </row>
    <row r="109" spans="1:28" x14ac:dyDescent="0.25">
      <c r="A109" t="s">
        <v>128</v>
      </c>
      <c r="B109">
        <v>920</v>
      </c>
      <c r="C109" t="s">
        <v>71</v>
      </c>
      <c r="D109" t="s">
        <v>39</v>
      </c>
      <c r="E109" t="s">
        <v>40</v>
      </c>
      <c r="F109" t="s">
        <v>103</v>
      </c>
      <c r="G109" t="str" cm="1">
        <f t="array" ref="G109">_xlfn.SWITCH(F109,"Acme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109" t="s">
        <v>58</v>
      </c>
      <c r="I109" t="s">
        <v>91</v>
      </c>
      <c r="J109" t="str" cm="1">
        <f t="array" ref="J109">_xlfn.SWITCH(I109,"P001","Laptop","P002","Server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109" s="1" cm="1">
        <f t="array" ref="K109">_xlfn.SWITCH(Table1[[#This Row],[Product ID]],"P001",220,"P002",150,"P003",130,"P004",70,"P005",200,"P006",40,"P007",25,"P008",20,"P009",190,"P010",530)</f>
        <v>190</v>
      </c>
      <c r="L109">
        <v>5</v>
      </c>
      <c r="M109" s="1">
        <f>Table1[[#This Row],[Unit Price]]*Table1[[#This Row],[Quantity]]</f>
        <v>950</v>
      </c>
      <c r="N109" s="2">
        <v>0.05</v>
      </c>
      <c r="O109" s="1">
        <f>Table1[[#This Row],[Gross Value]]*(1-Table1[[#This Row],[Discount]])</f>
        <v>902.5</v>
      </c>
      <c r="P109" s="2">
        <v>0.2</v>
      </c>
      <c r="Q109" s="1">
        <f>Table1[[#This Row],[Revenue]]*Table1[[#This Row],[VAT Rate]]</f>
        <v>180.5</v>
      </c>
      <c r="R109" s="1">
        <f>Table1[[#This Row],[Revenue]]+Table1[[#This Row],[VAT Charged]]</f>
        <v>1083</v>
      </c>
      <c r="S109" s="1" cm="1">
        <f t="array" ref="S109">_xlfn.SWITCH(Table1[[#This Row],[Product ID]],"P001",140,"P002",80,"P003",72,"P004",30,"P005",110,"P006",24,"P007",14,"P008",12,"P009",115,"P010",360)</f>
        <v>115</v>
      </c>
      <c r="T109" s="1" cm="1">
        <f t="array" ref="T109">(_xlfn.SWITCH(Table1[[#This Row],[Product ID]],"P001",140,"P002",80,"P003",72,"P004",30,"P005",110,"P006",24,"P007",14,"P008",12,"P009",115,"P010",360))*Table1[[#This Row],[Quantity]]</f>
        <v>575</v>
      </c>
      <c r="U109" s="1" cm="1">
        <f t="array" ref="U109">_xlfn.SWITCH(Table1[[#This Row],[Product ID]],"P001",15,"P002",0,"P003",8,"P004",8,"P005",0,"P006",7,"P007",7,"P008",6,"P009",45,"P010",60)</f>
        <v>45</v>
      </c>
      <c r="V109" s="1">
        <f>Table1[[#This Row],[Shipping per Unit]]*Table1[[#This Row],[Quantity]]</f>
        <v>225</v>
      </c>
      <c r="W109" s="2">
        <f>IF(Table1[[#This Row],[Total Shipping]]&gt;0.1,0.2,0)</f>
        <v>0.2</v>
      </c>
      <c r="X109" s="4">
        <f>Table1[[#This Row],[Total Shipping]]*Table1[[#This Row],[VAT on Shipping]]</f>
        <v>45</v>
      </c>
      <c r="Y109" s="1">
        <f>Table1[[#This Row],[Revenue]]-Table1[[#This Row],[COGS]]</f>
        <v>327.5</v>
      </c>
      <c r="Z109" s="3">
        <f>(Table1[[#This Row],[Profit]]/Table1[[#This Row],[Revenue]])</f>
        <v>0.36288088642659277</v>
      </c>
      <c r="AA109" s="1">
        <f>Table1[[#This Row],[Profit]]-Table1[[#This Row],[Total Shipping]]</f>
        <v>102.5</v>
      </c>
      <c r="AB109" s="3">
        <f>Table1[[#This Row],[Operating Profit]]/Table1[[#This Row],[Revenue]]</f>
        <v>0.11357340720221606</v>
      </c>
    </row>
    <row r="110" spans="1:28" x14ac:dyDescent="0.25">
      <c r="A110" t="s">
        <v>128</v>
      </c>
      <c r="B110">
        <v>954</v>
      </c>
      <c r="C110" t="s">
        <v>71</v>
      </c>
      <c r="D110" t="s">
        <v>72</v>
      </c>
      <c r="E110" t="s">
        <v>49</v>
      </c>
      <c r="F110" t="s">
        <v>90</v>
      </c>
      <c r="G110" t="str" cm="1">
        <f t="array" ref="G110">_xlfn.SWITCH(F110,"Acme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110" t="s">
        <v>45</v>
      </c>
      <c r="I110" t="s">
        <v>60</v>
      </c>
      <c r="J110" t="str" cm="1">
        <f t="array" ref="J110">_xlfn.SWITCH(I110,"P001","Laptop","P002","Server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110" s="1" cm="1">
        <f t="array" ref="K110">_xlfn.SWITCH(Table1[[#This Row],[Product ID]],"P001",220,"P002",150,"P003",130,"P004",70,"P005",200,"P006",40,"P007",25,"P008",20,"P009",190,"P010",530)</f>
        <v>25</v>
      </c>
      <c r="L110">
        <v>10</v>
      </c>
      <c r="M110" s="1">
        <f>Table1[[#This Row],[Unit Price]]*Table1[[#This Row],[Quantity]]</f>
        <v>250</v>
      </c>
      <c r="N110" s="2">
        <v>0.02</v>
      </c>
      <c r="O110" s="1">
        <f>Table1[[#This Row],[Gross Value]]*(1-Table1[[#This Row],[Discount]])</f>
        <v>245</v>
      </c>
      <c r="P110" s="2">
        <v>0.2</v>
      </c>
      <c r="Q110" s="1">
        <f>Table1[[#This Row],[Revenue]]*Table1[[#This Row],[VAT Rate]]</f>
        <v>49</v>
      </c>
      <c r="R110" s="1">
        <f>Table1[[#This Row],[Revenue]]+Table1[[#This Row],[VAT Charged]]</f>
        <v>294</v>
      </c>
      <c r="S110" s="1" cm="1">
        <f t="array" ref="S110">_xlfn.SWITCH(Table1[[#This Row],[Product ID]],"P001",140,"P002",80,"P003",72,"P004",30,"P005",110,"P006",24,"P007",14,"P008",12,"P009",115,"P010",360)</f>
        <v>14</v>
      </c>
      <c r="T110" s="1" cm="1">
        <f t="array" ref="T110">(_xlfn.SWITCH(Table1[[#This Row],[Product ID]],"P001",140,"P002",80,"P003",72,"P004",30,"P005",110,"P006",24,"P007",14,"P008",12,"P009",115,"P010",360))*Table1[[#This Row],[Quantity]]</f>
        <v>140</v>
      </c>
      <c r="U110" s="1" cm="1">
        <f t="array" ref="U110">_xlfn.SWITCH(Table1[[#This Row],[Product ID]],"P001",15,"P002",0,"P003",8,"P004",8,"P005",0,"P006",7,"P007",7,"P008",6,"P009",45,"P010",60)</f>
        <v>7</v>
      </c>
      <c r="V110" s="1">
        <f>Table1[[#This Row],[Shipping per Unit]]*Table1[[#This Row],[Quantity]]</f>
        <v>70</v>
      </c>
      <c r="W110" s="2">
        <f>IF(Table1[[#This Row],[Total Shipping]]&gt;0.1,0.2,0)</f>
        <v>0.2</v>
      </c>
      <c r="X110" s="4">
        <f>Table1[[#This Row],[Total Shipping]]*Table1[[#This Row],[VAT on Shipping]]</f>
        <v>14</v>
      </c>
      <c r="Y110" s="1">
        <f>Table1[[#This Row],[Revenue]]-Table1[[#This Row],[COGS]]</f>
        <v>105</v>
      </c>
      <c r="Z110" s="3">
        <f>(Table1[[#This Row],[Profit]]/Table1[[#This Row],[Revenue]])</f>
        <v>0.42857142857142855</v>
      </c>
      <c r="AA110" s="1">
        <f>Table1[[#This Row],[Profit]]-Table1[[#This Row],[Total Shipping]]</f>
        <v>35</v>
      </c>
      <c r="AB110" s="3">
        <f>Table1[[#This Row],[Operating Profit]]/Table1[[#This Row],[Revenue]]</f>
        <v>0.14285714285714285</v>
      </c>
    </row>
    <row r="111" spans="1:28" x14ac:dyDescent="0.25">
      <c r="A111" t="s">
        <v>129</v>
      </c>
      <c r="B111">
        <v>688</v>
      </c>
      <c r="C111" t="s">
        <v>83</v>
      </c>
      <c r="D111" t="s">
        <v>48</v>
      </c>
      <c r="E111" t="s">
        <v>31</v>
      </c>
      <c r="F111" t="s">
        <v>113</v>
      </c>
      <c r="G111" t="str" cm="1">
        <f t="array" ref="G111">_xlfn.SWITCH(F111,"Acme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111" t="s">
        <v>45</v>
      </c>
      <c r="I111" t="s">
        <v>52</v>
      </c>
      <c r="J111" t="str" cm="1">
        <f t="array" ref="J111">_xlfn.SWITCH(I111,"P001","Laptop","P002","Server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11" s="1" cm="1">
        <f t="array" ref="K111">_xlfn.SWITCH(Table1[[#This Row],[Product ID]],"P001",220,"P002",150,"P003",130,"P004",70,"P005",200,"P006",40,"P007",25,"P008",20,"P009",190,"P010",530)</f>
        <v>130</v>
      </c>
      <c r="L111">
        <v>20</v>
      </c>
      <c r="M111" s="1">
        <f>Table1[[#This Row],[Unit Price]]*Table1[[#This Row],[Quantity]]</f>
        <v>2600</v>
      </c>
      <c r="N111" s="2">
        <v>0.08</v>
      </c>
      <c r="O111" s="1">
        <f>Table1[[#This Row],[Gross Value]]*(1-Table1[[#This Row],[Discount]])</f>
        <v>2392</v>
      </c>
      <c r="P111" s="2">
        <v>0.2</v>
      </c>
      <c r="Q111" s="1">
        <f>Table1[[#This Row],[Revenue]]*Table1[[#This Row],[VAT Rate]]</f>
        <v>478.40000000000003</v>
      </c>
      <c r="R111" s="1">
        <f>Table1[[#This Row],[Revenue]]+Table1[[#This Row],[VAT Charged]]</f>
        <v>2870.4</v>
      </c>
      <c r="S111" s="1" cm="1">
        <f t="array" ref="S111">_xlfn.SWITCH(Table1[[#This Row],[Product ID]],"P001",140,"P002",80,"P003",72,"P004",30,"P005",110,"P006",24,"P007",14,"P008",12,"P009",115,"P010",360)</f>
        <v>72</v>
      </c>
      <c r="T111" s="1" cm="1">
        <f t="array" ref="T111">(_xlfn.SWITCH(Table1[[#This Row],[Product ID]],"P001",140,"P002",80,"P003",72,"P004",30,"P005",110,"P006",24,"P007",14,"P008",12,"P009",115,"P010",360))*Table1[[#This Row],[Quantity]]</f>
        <v>1440</v>
      </c>
      <c r="U111" s="1" cm="1">
        <f t="array" ref="U111">_xlfn.SWITCH(Table1[[#This Row],[Product ID]],"P001",15,"P002",0,"P003",8,"P004",8,"P005",0,"P006",7,"P007",7,"P008",6,"P009",45,"P010",60)</f>
        <v>8</v>
      </c>
      <c r="V111" s="1">
        <f>Table1[[#This Row],[Shipping per Unit]]*Table1[[#This Row],[Quantity]]</f>
        <v>160</v>
      </c>
      <c r="W111" s="2">
        <f>IF(Table1[[#This Row],[Total Shipping]]&gt;0.1,0.2,0)</f>
        <v>0.2</v>
      </c>
      <c r="X111" s="4">
        <f>Table1[[#This Row],[Total Shipping]]*Table1[[#This Row],[VAT on Shipping]]</f>
        <v>32</v>
      </c>
      <c r="Y111" s="1">
        <f>Table1[[#This Row],[Revenue]]-Table1[[#This Row],[COGS]]</f>
        <v>952</v>
      </c>
      <c r="Z111" s="3">
        <f>(Table1[[#This Row],[Profit]]/Table1[[#This Row],[Revenue]])</f>
        <v>0.39799331103678931</v>
      </c>
      <c r="AA111" s="1">
        <f>Table1[[#This Row],[Profit]]-Table1[[#This Row],[Total Shipping]]</f>
        <v>792</v>
      </c>
      <c r="AB111" s="3">
        <f>Table1[[#This Row],[Operating Profit]]/Table1[[#This Row],[Revenue]]</f>
        <v>0.33110367892976589</v>
      </c>
    </row>
    <row r="112" spans="1:28" x14ac:dyDescent="0.25">
      <c r="A112" t="s">
        <v>130</v>
      </c>
      <c r="B112">
        <v>13</v>
      </c>
      <c r="C112" t="s">
        <v>35</v>
      </c>
      <c r="D112" t="s">
        <v>30</v>
      </c>
      <c r="E112" t="s">
        <v>40</v>
      </c>
      <c r="F112" t="s">
        <v>126</v>
      </c>
      <c r="G112" t="str" cm="1">
        <f t="array" ref="G112">_xlfn.SWITCH(F112,"Acme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112" t="s">
        <v>51</v>
      </c>
      <c r="I112" t="s">
        <v>55</v>
      </c>
      <c r="J112" t="str" cm="1">
        <f t="array" ref="J112">_xlfn.SWITCH(I112,"P001","Laptop","P002","Server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12" s="1" cm="1">
        <f t="array" ref="K112">_xlfn.SWITCH(Table1[[#This Row],[Product ID]],"P001",220,"P002",150,"P003",130,"P004",70,"P005",200,"P006",40,"P007",25,"P008",20,"P009",190,"P010",530)</f>
        <v>70</v>
      </c>
      <c r="L112">
        <v>14</v>
      </c>
      <c r="M112" s="1">
        <f>Table1[[#This Row],[Unit Price]]*Table1[[#This Row],[Quantity]]</f>
        <v>980</v>
      </c>
      <c r="N112" s="2">
        <v>0.03</v>
      </c>
      <c r="O112" s="1">
        <f>Table1[[#This Row],[Gross Value]]*(1-Table1[[#This Row],[Discount]])</f>
        <v>950.6</v>
      </c>
      <c r="P112" s="2">
        <v>0.2</v>
      </c>
      <c r="Q112" s="1">
        <f>Table1[[#This Row],[Revenue]]*Table1[[#This Row],[VAT Rate]]</f>
        <v>190.12</v>
      </c>
      <c r="R112" s="1">
        <f>Table1[[#This Row],[Revenue]]+Table1[[#This Row],[VAT Charged]]</f>
        <v>1140.72</v>
      </c>
      <c r="S112" s="1" cm="1">
        <f t="array" ref="S112">_xlfn.SWITCH(Table1[[#This Row],[Product ID]],"P001",140,"P002",80,"P003",72,"P004",30,"P005",110,"P006",24,"P007",14,"P008",12,"P009",115,"P010",360)</f>
        <v>30</v>
      </c>
      <c r="T112" s="1" cm="1">
        <f t="array" ref="T112">(_xlfn.SWITCH(Table1[[#This Row],[Product ID]],"P001",140,"P002",80,"P003",72,"P004",30,"P005",110,"P006",24,"P007",14,"P008",12,"P009",115,"P010",360))*Table1[[#This Row],[Quantity]]</f>
        <v>420</v>
      </c>
      <c r="U112" s="1" cm="1">
        <f t="array" ref="U112">_xlfn.SWITCH(Table1[[#This Row],[Product ID]],"P001",15,"P002",0,"P003",8,"P004",8,"P005",0,"P006",7,"P007",7,"P008",6,"P009",45,"P010",60)</f>
        <v>8</v>
      </c>
      <c r="V112" s="1">
        <f>Table1[[#This Row],[Shipping per Unit]]*Table1[[#This Row],[Quantity]]</f>
        <v>112</v>
      </c>
      <c r="W112" s="2">
        <f>IF(Table1[[#This Row],[Total Shipping]]&gt;0.1,0.2,0)</f>
        <v>0.2</v>
      </c>
      <c r="X112" s="4">
        <f>Table1[[#This Row],[Total Shipping]]*Table1[[#This Row],[VAT on Shipping]]</f>
        <v>22.400000000000002</v>
      </c>
      <c r="Y112" s="1">
        <f>Table1[[#This Row],[Revenue]]-Table1[[#This Row],[COGS]]</f>
        <v>530.6</v>
      </c>
      <c r="Z112" s="3">
        <f>(Table1[[#This Row],[Profit]]/Table1[[#This Row],[Revenue]])</f>
        <v>0.5581737849779087</v>
      </c>
      <c r="AA112" s="1">
        <f>Table1[[#This Row],[Profit]]-Table1[[#This Row],[Total Shipping]]</f>
        <v>418.6</v>
      </c>
      <c r="AB112" s="3">
        <f>Table1[[#This Row],[Operating Profit]]/Table1[[#This Row],[Revenue]]</f>
        <v>0.44035346097201766</v>
      </c>
    </row>
    <row r="113" spans="1:28" x14ac:dyDescent="0.25">
      <c r="A113" t="s">
        <v>130</v>
      </c>
      <c r="B113">
        <v>374</v>
      </c>
      <c r="C113" t="s">
        <v>83</v>
      </c>
      <c r="D113" t="s">
        <v>95</v>
      </c>
      <c r="E113" t="s">
        <v>31</v>
      </c>
      <c r="F113" t="s">
        <v>119</v>
      </c>
      <c r="G113" t="str" cm="1">
        <f t="array" ref="G113">_xlfn.SWITCH(F113,"Acme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113" t="s">
        <v>33</v>
      </c>
      <c r="I113" t="s">
        <v>55</v>
      </c>
      <c r="J113" t="str" cm="1">
        <f t="array" ref="J113">_xlfn.SWITCH(I113,"P001","Laptop","P002","Server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13" s="1" cm="1">
        <f t="array" ref="K113">_xlfn.SWITCH(Table1[[#This Row],[Product ID]],"P001",220,"P002",150,"P003",130,"P004",70,"P005",200,"P006",40,"P007",25,"P008",20,"P009",190,"P010",530)</f>
        <v>70</v>
      </c>
      <c r="L113">
        <v>2</v>
      </c>
      <c r="M113" s="1">
        <f>Table1[[#This Row],[Unit Price]]*Table1[[#This Row],[Quantity]]</f>
        <v>140</v>
      </c>
      <c r="N113" s="2">
        <v>0.03</v>
      </c>
      <c r="O113" s="1">
        <f>Table1[[#This Row],[Gross Value]]*(1-Table1[[#This Row],[Discount]])</f>
        <v>135.79999999999998</v>
      </c>
      <c r="P113" s="2">
        <v>0.2</v>
      </c>
      <c r="Q113" s="1">
        <f>Table1[[#This Row],[Revenue]]*Table1[[#This Row],[VAT Rate]]</f>
        <v>27.159999999999997</v>
      </c>
      <c r="R113" s="1">
        <f>Table1[[#This Row],[Revenue]]+Table1[[#This Row],[VAT Charged]]</f>
        <v>162.95999999999998</v>
      </c>
      <c r="S113" s="1" cm="1">
        <f t="array" ref="S113">_xlfn.SWITCH(Table1[[#This Row],[Product ID]],"P001",140,"P002",80,"P003",72,"P004",30,"P005",110,"P006",24,"P007",14,"P008",12,"P009",115,"P010",360)</f>
        <v>30</v>
      </c>
      <c r="T113" s="1" cm="1">
        <f t="array" ref="T113">(_xlfn.SWITCH(Table1[[#This Row],[Product ID]],"P001",140,"P002",80,"P003",72,"P004",30,"P005",110,"P006",24,"P007",14,"P008",12,"P009",115,"P010",360))*Table1[[#This Row],[Quantity]]</f>
        <v>60</v>
      </c>
      <c r="U113" s="1" cm="1">
        <f t="array" ref="U113">_xlfn.SWITCH(Table1[[#This Row],[Product ID]],"P001",15,"P002",0,"P003",8,"P004",8,"P005",0,"P006",7,"P007",7,"P008",6,"P009",45,"P010",60)</f>
        <v>8</v>
      </c>
      <c r="V113" s="1">
        <f>Table1[[#This Row],[Shipping per Unit]]*Table1[[#This Row],[Quantity]]</f>
        <v>16</v>
      </c>
      <c r="W113" s="2">
        <f>IF(Table1[[#This Row],[Total Shipping]]&gt;0.1,0.2,0)</f>
        <v>0.2</v>
      </c>
      <c r="X113" s="4">
        <f>Table1[[#This Row],[Total Shipping]]*Table1[[#This Row],[VAT on Shipping]]</f>
        <v>3.2</v>
      </c>
      <c r="Y113" s="1">
        <f>Table1[[#This Row],[Revenue]]-Table1[[#This Row],[COGS]]</f>
        <v>75.799999999999983</v>
      </c>
      <c r="Z113" s="3">
        <f>(Table1[[#This Row],[Profit]]/Table1[[#This Row],[Revenue]])</f>
        <v>0.55817378497790859</v>
      </c>
      <c r="AA113" s="1">
        <f>Table1[[#This Row],[Profit]]-Table1[[#This Row],[Total Shipping]]</f>
        <v>59.799999999999983</v>
      </c>
      <c r="AB113" s="3">
        <f>Table1[[#This Row],[Operating Profit]]/Table1[[#This Row],[Revenue]]</f>
        <v>0.44035346097201761</v>
      </c>
    </row>
    <row r="114" spans="1:28" x14ac:dyDescent="0.25">
      <c r="A114" t="s">
        <v>130</v>
      </c>
      <c r="B114">
        <v>581</v>
      </c>
      <c r="C114" t="s">
        <v>71</v>
      </c>
      <c r="D114" t="s">
        <v>39</v>
      </c>
      <c r="E114" t="s">
        <v>49</v>
      </c>
      <c r="F114" t="s">
        <v>50</v>
      </c>
      <c r="G114" t="str" cm="1">
        <f t="array" ref="G114">_xlfn.SWITCH(F114,"Acme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114" t="s">
        <v>33</v>
      </c>
      <c r="I114" t="s">
        <v>34</v>
      </c>
      <c r="J114" t="str" cm="1">
        <f t="array" ref="J114">_xlfn.SWITCH(I114,"P001","Laptop","P002","Server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14" s="1" cm="1">
        <f t="array" ref="K114">_xlfn.SWITCH(Table1[[#This Row],[Product ID]],"P001",220,"P002",150,"P003",130,"P004",70,"P005",200,"P006",40,"P007",25,"P008",20,"P009",190,"P010",530)</f>
        <v>20</v>
      </c>
      <c r="L114">
        <v>2</v>
      </c>
      <c r="M114" s="1">
        <f>Table1[[#This Row],[Unit Price]]*Table1[[#This Row],[Quantity]]</f>
        <v>40</v>
      </c>
      <c r="N114" s="2">
        <v>0.09</v>
      </c>
      <c r="O114" s="1">
        <f>Table1[[#This Row],[Gross Value]]*(1-Table1[[#This Row],[Discount]])</f>
        <v>36.4</v>
      </c>
      <c r="P114" s="2">
        <v>0.2</v>
      </c>
      <c r="Q114" s="1">
        <f>Table1[[#This Row],[Revenue]]*Table1[[#This Row],[VAT Rate]]</f>
        <v>7.28</v>
      </c>
      <c r="R114" s="1">
        <f>Table1[[#This Row],[Revenue]]+Table1[[#This Row],[VAT Charged]]</f>
        <v>43.68</v>
      </c>
      <c r="S114" s="1" cm="1">
        <f t="array" ref="S114">_xlfn.SWITCH(Table1[[#This Row],[Product ID]],"P001",140,"P002",80,"P003",72,"P004",30,"P005",110,"P006",24,"P007",14,"P008",12,"P009",115,"P010",360)</f>
        <v>12</v>
      </c>
      <c r="T114" s="1" cm="1">
        <f t="array" ref="T114">(_xlfn.SWITCH(Table1[[#This Row],[Product ID]],"P001",140,"P002",80,"P003",72,"P004",30,"P005",110,"P006",24,"P007",14,"P008",12,"P009",115,"P010",360))*Table1[[#This Row],[Quantity]]</f>
        <v>24</v>
      </c>
      <c r="U114" s="1" cm="1">
        <f t="array" ref="U114">_xlfn.SWITCH(Table1[[#This Row],[Product ID]],"P001",15,"P002",0,"P003",8,"P004",8,"P005",0,"P006",7,"P007",7,"P008",6,"P009",45,"P010",60)</f>
        <v>6</v>
      </c>
      <c r="V114" s="1">
        <f>Table1[[#This Row],[Shipping per Unit]]*Table1[[#This Row],[Quantity]]</f>
        <v>12</v>
      </c>
      <c r="W114" s="2">
        <f>IF(Table1[[#This Row],[Total Shipping]]&gt;0.1,0.2,0)</f>
        <v>0.2</v>
      </c>
      <c r="X114" s="4">
        <f>Table1[[#This Row],[Total Shipping]]*Table1[[#This Row],[VAT on Shipping]]</f>
        <v>2.4000000000000004</v>
      </c>
      <c r="Y114" s="1">
        <f>Table1[[#This Row],[Revenue]]-Table1[[#This Row],[COGS]]</f>
        <v>12.399999999999999</v>
      </c>
      <c r="Z114" s="3">
        <f>(Table1[[#This Row],[Profit]]/Table1[[#This Row],[Revenue]])</f>
        <v>0.34065934065934061</v>
      </c>
      <c r="AA114" s="1">
        <f>Table1[[#This Row],[Profit]]-Table1[[#This Row],[Total Shipping]]</f>
        <v>0.39999999999999858</v>
      </c>
      <c r="AB114" s="3">
        <f>Table1[[#This Row],[Operating Profit]]/Table1[[#This Row],[Revenue]]</f>
        <v>1.098901098901095E-2</v>
      </c>
    </row>
    <row r="115" spans="1:28" x14ac:dyDescent="0.25">
      <c r="A115" t="s">
        <v>130</v>
      </c>
      <c r="B115">
        <v>628</v>
      </c>
      <c r="C115" t="s">
        <v>65</v>
      </c>
      <c r="D115" t="s">
        <v>30</v>
      </c>
      <c r="E115" t="s">
        <v>31</v>
      </c>
      <c r="F115" t="s">
        <v>76</v>
      </c>
      <c r="G115" t="str" cm="1">
        <f t="array" ref="G115">_xlfn.SWITCH(F115,"Acme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115" t="s">
        <v>58</v>
      </c>
      <c r="I115" t="s">
        <v>60</v>
      </c>
      <c r="J115" t="str" cm="1">
        <f t="array" ref="J115">_xlfn.SWITCH(I115,"P001","Laptop","P002","Server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115" s="1" cm="1">
        <f t="array" ref="K115">_xlfn.SWITCH(Table1[[#This Row],[Product ID]],"P001",220,"P002",150,"P003",130,"P004",70,"P005",200,"P006",40,"P007",25,"P008",20,"P009",190,"P010",530)</f>
        <v>25</v>
      </c>
      <c r="L115">
        <v>15</v>
      </c>
      <c r="M115" s="1">
        <f>Table1[[#This Row],[Unit Price]]*Table1[[#This Row],[Quantity]]</f>
        <v>375</v>
      </c>
      <c r="N115" s="2">
        <v>0.05</v>
      </c>
      <c r="O115" s="1">
        <f>Table1[[#This Row],[Gross Value]]*(1-Table1[[#This Row],[Discount]])</f>
        <v>356.25</v>
      </c>
      <c r="P115" s="2">
        <v>0.2</v>
      </c>
      <c r="Q115" s="1">
        <f>Table1[[#This Row],[Revenue]]*Table1[[#This Row],[VAT Rate]]</f>
        <v>71.25</v>
      </c>
      <c r="R115" s="1">
        <f>Table1[[#This Row],[Revenue]]+Table1[[#This Row],[VAT Charged]]</f>
        <v>427.5</v>
      </c>
      <c r="S115" s="1" cm="1">
        <f t="array" ref="S115">_xlfn.SWITCH(Table1[[#This Row],[Product ID]],"P001",140,"P002",80,"P003",72,"P004",30,"P005",110,"P006",24,"P007",14,"P008",12,"P009",115,"P010",360)</f>
        <v>14</v>
      </c>
      <c r="T115" s="1" cm="1">
        <f t="array" ref="T115">(_xlfn.SWITCH(Table1[[#This Row],[Product ID]],"P001",140,"P002",80,"P003",72,"P004",30,"P005",110,"P006",24,"P007",14,"P008",12,"P009",115,"P010",360))*Table1[[#This Row],[Quantity]]</f>
        <v>210</v>
      </c>
      <c r="U115" s="1" cm="1">
        <f t="array" ref="U115">_xlfn.SWITCH(Table1[[#This Row],[Product ID]],"P001",15,"P002",0,"P003",8,"P004",8,"P005",0,"P006",7,"P007",7,"P008",6,"P009",45,"P010",60)</f>
        <v>7</v>
      </c>
      <c r="V115" s="1">
        <f>Table1[[#This Row],[Shipping per Unit]]*Table1[[#This Row],[Quantity]]</f>
        <v>105</v>
      </c>
      <c r="W115" s="2">
        <f>IF(Table1[[#This Row],[Total Shipping]]&gt;0.1,0.2,0)</f>
        <v>0.2</v>
      </c>
      <c r="X115" s="4">
        <f>Table1[[#This Row],[Total Shipping]]*Table1[[#This Row],[VAT on Shipping]]</f>
        <v>21</v>
      </c>
      <c r="Y115" s="1">
        <f>Table1[[#This Row],[Revenue]]-Table1[[#This Row],[COGS]]</f>
        <v>146.25</v>
      </c>
      <c r="Z115" s="3">
        <f>(Table1[[#This Row],[Profit]]/Table1[[#This Row],[Revenue]])</f>
        <v>0.41052631578947368</v>
      </c>
      <c r="AA115" s="1">
        <f>Table1[[#This Row],[Profit]]-Table1[[#This Row],[Total Shipping]]</f>
        <v>41.25</v>
      </c>
      <c r="AB115" s="3">
        <f>Table1[[#This Row],[Operating Profit]]/Table1[[#This Row],[Revenue]]</f>
        <v>0.11578947368421053</v>
      </c>
    </row>
    <row r="116" spans="1:28" x14ac:dyDescent="0.25">
      <c r="A116" t="s">
        <v>130</v>
      </c>
      <c r="B116">
        <v>958</v>
      </c>
      <c r="C116" t="s">
        <v>83</v>
      </c>
      <c r="D116" t="s">
        <v>72</v>
      </c>
      <c r="E116" t="s">
        <v>31</v>
      </c>
      <c r="F116" t="s">
        <v>74</v>
      </c>
      <c r="G116" t="str" cm="1">
        <f t="array" ref="G116">_xlfn.SWITCH(F116,"Acme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116" t="s">
        <v>45</v>
      </c>
      <c r="I116" t="s">
        <v>42</v>
      </c>
      <c r="J116" t="str" cm="1">
        <f t="array" ref="J116">_xlfn.SWITCH(I116,"P001","Laptop","P002","Server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16" s="1" cm="1">
        <f t="array" ref="K116">_xlfn.SWITCH(Table1[[#This Row],[Product ID]],"P001",220,"P002",150,"P003",130,"P004",70,"P005",200,"P006",40,"P007",25,"P008",20,"P009",190,"P010",530)</f>
        <v>40</v>
      </c>
      <c r="L116">
        <v>20</v>
      </c>
      <c r="M116" s="1">
        <f>Table1[[#This Row],[Unit Price]]*Table1[[#This Row],[Quantity]]</f>
        <v>800</v>
      </c>
      <c r="N116" s="2">
        <v>0.05</v>
      </c>
      <c r="O116" s="1">
        <f>Table1[[#This Row],[Gross Value]]*(1-Table1[[#This Row],[Discount]])</f>
        <v>760</v>
      </c>
      <c r="P116" s="2">
        <v>0.2</v>
      </c>
      <c r="Q116" s="1">
        <f>Table1[[#This Row],[Revenue]]*Table1[[#This Row],[VAT Rate]]</f>
        <v>152</v>
      </c>
      <c r="R116" s="1">
        <f>Table1[[#This Row],[Revenue]]+Table1[[#This Row],[VAT Charged]]</f>
        <v>912</v>
      </c>
      <c r="S116" s="1" cm="1">
        <f t="array" ref="S116">_xlfn.SWITCH(Table1[[#This Row],[Product ID]],"P001",140,"P002",80,"P003",72,"P004",30,"P005",110,"P006",24,"P007",14,"P008",12,"P009",115,"P010",360)</f>
        <v>24</v>
      </c>
      <c r="T116" s="1" cm="1">
        <f t="array" ref="T116">(_xlfn.SWITCH(Table1[[#This Row],[Product ID]],"P001",140,"P002",80,"P003",72,"P004",30,"P005",110,"P006",24,"P007",14,"P008",12,"P009",115,"P010",360))*Table1[[#This Row],[Quantity]]</f>
        <v>480</v>
      </c>
      <c r="U116" s="1" cm="1">
        <f t="array" ref="U116">_xlfn.SWITCH(Table1[[#This Row],[Product ID]],"P001",15,"P002",0,"P003",8,"P004",8,"P005",0,"P006",7,"P007",7,"P008",6,"P009",45,"P010",60)</f>
        <v>7</v>
      </c>
      <c r="V116" s="1">
        <f>Table1[[#This Row],[Shipping per Unit]]*Table1[[#This Row],[Quantity]]</f>
        <v>140</v>
      </c>
      <c r="W116" s="2">
        <f>IF(Table1[[#This Row],[Total Shipping]]&gt;0.1,0.2,0)</f>
        <v>0.2</v>
      </c>
      <c r="X116" s="4">
        <f>Table1[[#This Row],[Total Shipping]]*Table1[[#This Row],[VAT on Shipping]]</f>
        <v>28</v>
      </c>
      <c r="Y116" s="1">
        <f>Table1[[#This Row],[Revenue]]-Table1[[#This Row],[COGS]]</f>
        <v>280</v>
      </c>
      <c r="Z116" s="3">
        <f>(Table1[[#This Row],[Profit]]/Table1[[#This Row],[Revenue]])</f>
        <v>0.36842105263157893</v>
      </c>
      <c r="AA116" s="1">
        <f>Table1[[#This Row],[Profit]]-Table1[[#This Row],[Total Shipping]]</f>
        <v>140</v>
      </c>
      <c r="AB116" s="3">
        <f>Table1[[#This Row],[Operating Profit]]/Table1[[#This Row],[Revenue]]</f>
        <v>0.18421052631578946</v>
      </c>
    </row>
    <row r="117" spans="1:28" x14ac:dyDescent="0.25">
      <c r="A117" t="s">
        <v>131</v>
      </c>
      <c r="B117">
        <v>172</v>
      </c>
      <c r="C117" t="s">
        <v>62</v>
      </c>
      <c r="D117" t="s">
        <v>30</v>
      </c>
      <c r="E117" t="s">
        <v>40</v>
      </c>
      <c r="F117" t="s">
        <v>76</v>
      </c>
      <c r="G117" t="str" cm="1">
        <f t="array" ref="G117">_xlfn.SWITCH(F117,"Acme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117" t="s">
        <v>45</v>
      </c>
      <c r="I117" t="s">
        <v>34</v>
      </c>
      <c r="J117" t="str" cm="1">
        <f t="array" ref="J117">_xlfn.SWITCH(I117,"P001","Laptop","P002","Server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17" s="1" cm="1">
        <f t="array" ref="K117">_xlfn.SWITCH(Table1[[#This Row],[Product ID]],"P001",220,"P002",150,"P003",130,"P004",70,"P005",200,"P006",40,"P007",25,"P008",20,"P009",190,"P010",530)</f>
        <v>20</v>
      </c>
      <c r="L117">
        <v>7</v>
      </c>
      <c r="M117" s="1">
        <f>Table1[[#This Row],[Unit Price]]*Table1[[#This Row],[Quantity]]</f>
        <v>140</v>
      </c>
      <c r="N117" s="2">
        <v>7.0000000000000007E-2</v>
      </c>
      <c r="O117" s="1">
        <f>Table1[[#This Row],[Gross Value]]*(1-Table1[[#This Row],[Discount]])</f>
        <v>130.19999999999999</v>
      </c>
      <c r="P117" s="2">
        <v>0.2</v>
      </c>
      <c r="Q117" s="1">
        <f>Table1[[#This Row],[Revenue]]*Table1[[#This Row],[VAT Rate]]</f>
        <v>26.04</v>
      </c>
      <c r="R117" s="1">
        <f>Table1[[#This Row],[Revenue]]+Table1[[#This Row],[VAT Charged]]</f>
        <v>156.23999999999998</v>
      </c>
      <c r="S117" s="1" cm="1">
        <f t="array" ref="S117">_xlfn.SWITCH(Table1[[#This Row],[Product ID]],"P001",140,"P002",80,"P003",72,"P004",30,"P005",110,"P006",24,"P007",14,"P008",12,"P009",115,"P010",360)</f>
        <v>12</v>
      </c>
      <c r="T117" s="1" cm="1">
        <f t="array" ref="T117">(_xlfn.SWITCH(Table1[[#This Row],[Product ID]],"P001",140,"P002",80,"P003",72,"P004",30,"P005",110,"P006",24,"P007",14,"P008",12,"P009",115,"P010",360))*Table1[[#This Row],[Quantity]]</f>
        <v>84</v>
      </c>
      <c r="U117" s="1" cm="1">
        <f t="array" ref="U117">_xlfn.SWITCH(Table1[[#This Row],[Product ID]],"P001",15,"P002",0,"P003",8,"P004",8,"P005",0,"P006",7,"P007",7,"P008",6,"P009",45,"P010",60)</f>
        <v>6</v>
      </c>
      <c r="V117" s="1">
        <f>Table1[[#This Row],[Shipping per Unit]]*Table1[[#This Row],[Quantity]]</f>
        <v>42</v>
      </c>
      <c r="W117" s="2">
        <f>IF(Table1[[#This Row],[Total Shipping]]&gt;0.1,0.2,0)</f>
        <v>0.2</v>
      </c>
      <c r="X117" s="4">
        <f>Table1[[#This Row],[Total Shipping]]*Table1[[#This Row],[VAT on Shipping]]</f>
        <v>8.4</v>
      </c>
      <c r="Y117" s="1">
        <f>Table1[[#This Row],[Revenue]]-Table1[[#This Row],[COGS]]</f>
        <v>46.199999999999989</v>
      </c>
      <c r="Z117" s="3">
        <f>(Table1[[#This Row],[Profit]]/Table1[[#This Row],[Revenue]])</f>
        <v>0.35483870967741932</v>
      </c>
      <c r="AA117" s="1">
        <f>Table1[[#This Row],[Profit]]-Table1[[#This Row],[Total Shipping]]</f>
        <v>4.1999999999999886</v>
      </c>
      <c r="AB117" s="3">
        <f>Table1[[#This Row],[Operating Profit]]/Table1[[#This Row],[Revenue]]</f>
        <v>3.2258064516128948E-2</v>
      </c>
    </row>
    <row r="118" spans="1:28" x14ac:dyDescent="0.25">
      <c r="A118" t="s">
        <v>131</v>
      </c>
      <c r="B118">
        <v>381</v>
      </c>
      <c r="C118" t="s">
        <v>83</v>
      </c>
      <c r="D118" t="s">
        <v>72</v>
      </c>
      <c r="E118" t="s">
        <v>40</v>
      </c>
      <c r="F118" t="s">
        <v>64</v>
      </c>
      <c r="G118" t="str" cm="1">
        <f t="array" ref="G118">_xlfn.SWITCH(F118,"Acme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18" t="s">
        <v>104</v>
      </c>
      <c r="I118" t="s">
        <v>60</v>
      </c>
      <c r="J118" t="str" cm="1">
        <f t="array" ref="J118">_xlfn.SWITCH(I118,"P001","Laptop","P002","Server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118" s="1" cm="1">
        <f t="array" ref="K118">_xlfn.SWITCH(Table1[[#This Row],[Product ID]],"P001",220,"P002",150,"P003",130,"P004",70,"P005",200,"P006",40,"P007",25,"P008",20,"P009",190,"P010",530)</f>
        <v>25</v>
      </c>
      <c r="L118">
        <v>7</v>
      </c>
      <c r="M118" s="1">
        <f>Table1[[#This Row],[Unit Price]]*Table1[[#This Row],[Quantity]]</f>
        <v>175</v>
      </c>
      <c r="N118" s="2">
        <v>0.03</v>
      </c>
      <c r="O118" s="1">
        <f>Table1[[#This Row],[Gross Value]]*(1-Table1[[#This Row],[Discount]])</f>
        <v>169.75</v>
      </c>
      <c r="P118" s="2">
        <v>0.2</v>
      </c>
      <c r="Q118" s="1">
        <f>Table1[[#This Row],[Revenue]]*Table1[[#This Row],[VAT Rate]]</f>
        <v>33.950000000000003</v>
      </c>
      <c r="R118" s="1">
        <f>Table1[[#This Row],[Revenue]]+Table1[[#This Row],[VAT Charged]]</f>
        <v>203.7</v>
      </c>
      <c r="S118" s="1" cm="1">
        <f t="array" ref="S118">_xlfn.SWITCH(Table1[[#This Row],[Product ID]],"P001",140,"P002",80,"P003",72,"P004",30,"P005",110,"P006",24,"P007",14,"P008",12,"P009",115,"P010",360)</f>
        <v>14</v>
      </c>
      <c r="T118" s="1" cm="1">
        <f t="array" ref="T118">(_xlfn.SWITCH(Table1[[#This Row],[Product ID]],"P001",140,"P002",80,"P003",72,"P004",30,"P005",110,"P006",24,"P007",14,"P008",12,"P009",115,"P010",360))*Table1[[#This Row],[Quantity]]</f>
        <v>98</v>
      </c>
      <c r="U118" s="1" cm="1">
        <f t="array" ref="U118">_xlfn.SWITCH(Table1[[#This Row],[Product ID]],"P001",15,"P002",0,"P003",8,"P004",8,"P005",0,"P006",7,"P007",7,"P008",6,"P009",45,"P010",60)</f>
        <v>7</v>
      </c>
      <c r="V118" s="1">
        <f>Table1[[#This Row],[Shipping per Unit]]*Table1[[#This Row],[Quantity]]</f>
        <v>49</v>
      </c>
      <c r="W118" s="2">
        <f>IF(Table1[[#This Row],[Total Shipping]]&gt;0.1,0.2,0)</f>
        <v>0.2</v>
      </c>
      <c r="X118" s="4">
        <f>Table1[[#This Row],[Total Shipping]]*Table1[[#This Row],[VAT on Shipping]]</f>
        <v>9.8000000000000007</v>
      </c>
      <c r="Y118" s="1">
        <f>Table1[[#This Row],[Revenue]]-Table1[[#This Row],[COGS]]</f>
        <v>71.75</v>
      </c>
      <c r="Z118" s="3">
        <f>(Table1[[#This Row],[Profit]]/Table1[[#This Row],[Revenue]])</f>
        <v>0.42268041237113402</v>
      </c>
      <c r="AA118" s="1">
        <f>Table1[[#This Row],[Profit]]-Table1[[#This Row],[Total Shipping]]</f>
        <v>22.75</v>
      </c>
      <c r="AB118" s="3">
        <f>Table1[[#This Row],[Operating Profit]]/Table1[[#This Row],[Revenue]]</f>
        <v>0.13402061855670103</v>
      </c>
    </row>
    <row r="119" spans="1:28" x14ac:dyDescent="0.25">
      <c r="A119" t="s">
        <v>131</v>
      </c>
      <c r="B119">
        <v>535</v>
      </c>
      <c r="C119" t="s">
        <v>62</v>
      </c>
      <c r="D119" t="s">
        <v>48</v>
      </c>
      <c r="E119" t="s">
        <v>31</v>
      </c>
      <c r="F119" t="s">
        <v>86</v>
      </c>
      <c r="G119" t="str" cm="1">
        <f t="array" ref="G119">_xlfn.SWITCH(F119,"Acme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119" t="s">
        <v>33</v>
      </c>
      <c r="I119" t="s">
        <v>60</v>
      </c>
      <c r="J119" t="str" cm="1">
        <f t="array" ref="J119">_xlfn.SWITCH(I119,"P001","Laptop","P002","Server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119" s="1" cm="1">
        <f t="array" ref="K119">_xlfn.SWITCH(Table1[[#This Row],[Product ID]],"P001",220,"P002",150,"P003",130,"P004",70,"P005",200,"P006",40,"P007",25,"P008",20,"P009",190,"P010",530)</f>
        <v>25</v>
      </c>
      <c r="L119">
        <v>4</v>
      </c>
      <c r="M119" s="1">
        <f>Table1[[#This Row],[Unit Price]]*Table1[[#This Row],[Quantity]]</f>
        <v>100</v>
      </c>
      <c r="N119" s="2">
        <v>0.05</v>
      </c>
      <c r="O119" s="1">
        <f>Table1[[#This Row],[Gross Value]]*(1-Table1[[#This Row],[Discount]])</f>
        <v>95</v>
      </c>
      <c r="P119" s="2">
        <v>0.2</v>
      </c>
      <c r="Q119" s="1">
        <f>Table1[[#This Row],[Revenue]]*Table1[[#This Row],[VAT Rate]]</f>
        <v>19</v>
      </c>
      <c r="R119" s="1">
        <f>Table1[[#This Row],[Revenue]]+Table1[[#This Row],[VAT Charged]]</f>
        <v>114</v>
      </c>
      <c r="S119" s="1" cm="1">
        <f t="array" ref="S119">_xlfn.SWITCH(Table1[[#This Row],[Product ID]],"P001",140,"P002",80,"P003",72,"P004",30,"P005",110,"P006",24,"P007",14,"P008",12,"P009",115,"P010",360)</f>
        <v>14</v>
      </c>
      <c r="T119" s="1" cm="1">
        <f t="array" ref="T119">(_xlfn.SWITCH(Table1[[#This Row],[Product ID]],"P001",140,"P002",80,"P003",72,"P004",30,"P005",110,"P006",24,"P007",14,"P008",12,"P009",115,"P010",360))*Table1[[#This Row],[Quantity]]</f>
        <v>56</v>
      </c>
      <c r="U119" s="1" cm="1">
        <f t="array" ref="U119">_xlfn.SWITCH(Table1[[#This Row],[Product ID]],"P001",15,"P002",0,"P003",8,"P004",8,"P005",0,"P006",7,"P007",7,"P008",6,"P009",45,"P010",60)</f>
        <v>7</v>
      </c>
      <c r="V119" s="1">
        <f>Table1[[#This Row],[Shipping per Unit]]*Table1[[#This Row],[Quantity]]</f>
        <v>28</v>
      </c>
      <c r="W119" s="2">
        <f>IF(Table1[[#This Row],[Total Shipping]]&gt;0.1,0.2,0)</f>
        <v>0.2</v>
      </c>
      <c r="X119" s="4">
        <f>Table1[[#This Row],[Total Shipping]]*Table1[[#This Row],[VAT on Shipping]]</f>
        <v>5.6000000000000005</v>
      </c>
      <c r="Y119" s="1">
        <f>Table1[[#This Row],[Revenue]]-Table1[[#This Row],[COGS]]</f>
        <v>39</v>
      </c>
      <c r="Z119" s="3">
        <f>(Table1[[#This Row],[Profit]]/Table1[[#This Row],[Revenue]])</f>
        <v>0.41052631578947368</v>
      </c>
      <c r="AA119" s="1">
        <f>Table1[[#This Row],[Profit]]-Table1[[#This Row],[Total Shipping]]</f>
        <v>11</v>
      </c>
      <c r="AB119" s="3">
        <f>Table1[[#This Row],[Operating Profit]]/Table1[[#This Row],[Revenue]]</f>
        <v>0.11578947368421053</v>
      </c>
    </row>
    <row r="120" spans="1:28" x14ac:dyDescent="0.25">
      <c r="A120" t="s">
        <v>131</v>
      </c>
      <c r="B120">
        <v>589</v>
      </c>
      <c r="C120" t="s">
        <v>83</v>
      </c>
      <c r="D120" t="s">
        <v>48</v>
      </c>
      <c r="E120" t="s">
        <v>49</v>
      </c>
      <c r="F120" t="s">
        <v>32</v>
      </c>
      <c r="G120" t="str" cm="1">
        <f t="array" ref="G120">_xlfn.SWITCH(F120,"Acme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120" t="s">
        <v>58</v>
      </c>
      <c r="I120" t="s">
        <v>52</v>
      </c>
      <c r="J120" t="str" cm="1">
        <f t="array" ref="J120">_xlfn.SWITCH(I120,"P001","Laptop","P002","Server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20" s="1" cm="1">
        <f t="array" ref="K120">_xlfn.SWITCH(Table1[[#This Row],[Product ID]],"P001",220,"P002",150,"P003",130,"P004",70,"P005",200,"P006",40,"P007",25,"P008",20,"P009",190,"P010",530)</f>
        <v>130</v>
      </c>
      <c r="L120">
        <v>12</v>
      </c>
      <c r="M120" s="1">
        <f>Table1[[#This Row],[Unit Price]]*Table1[[#This Row],[Quantity]]</f>
        <v>1560</v>
      </c>
      <c r="N120" s="2">
        <v>7.0000000000000007E-2</v>
      </c>
      <c r="O120" s="1">
        <f>Table1[[#This Row],[Gross Value]]*(1-Table1[[#This Row],[Discount]])</f>
        <v>1450.8</v>
      </c>
      <c r="P120" s="2">
        <v>0.2</v>
      </c>
      <c r="Q120" s="1">
        <f>Table1[[#This Row],[Revenue]]*Table1[[#This Row],[VAT Rate]]</f>
        <v>290.16000000000003</v>
      </c>
      <c r="R120" s="1">
        <f>Table1[[#This Row],[Revenue]]+Table1[[#This Row],[VAT Charged]]</f>
        <v>1740.96</v>
      </c>
      <c r="S120" s="1" cm="1">
        <f t="array" ref="S120">_xlfn.SWITCH(Table1[[#This Row],[Product ID]],"P001",140,"P002",80,"P003",72,"P004",30,"P005",110,"P006",24,"P007",14,"P008",12,"P009",115,"P010",360)</f>
        <v>72</v>
      </c>
      <c r="T120" s="1" cm="1">
        <f t="array" ref="T120">(_xlfn.SWITCH(Table1[[#This Row],[Product ID]],"P001",140,"P002",80,"P003",72,"P004",30,"P005",110,"P006",24,"P007",14,"P008",12,"P009",115,"P010",360))*Table1[[#This Row],[Quantity]]</f>
        <v>864</v>
      </c>
      <c r="U120" s="1" cm="1">
        <f t="array" ref="U120">_xlfn.SWITCH(Table1[[#This Row],[Product ID]],"P001",15,"P002",0,"P003",8,"P004",8,"P005",0,"P006",7,"P007",7,"P008",6,"P009",45,"P010",60)</f>
        <v>8</v>
      </c>
      <c r="V120" s="1">
        <f>Table1[[#This Row],[Shipping per Unit]]*Table1[[#This Row],[Quantity]]</f>
        <v>96</v>
      </c>
      <c r="W120" s="2">
        <f>IF(Table1[[#This Row],[Total Shipping]]&gt;0.1,0.2,0)</f>
        <v>0.2</v>
      </c>
      <c r="X120" s="4">
        <f>Table1[[#This Row],[Total Shipping]]*Table1[[#This Row],[VAT on Shipping]]</f>
        <v>19.200000000000003</v>
      </c>
      <c r="Y120" s="1">
        <f>Table1[[#This Row],[Revenue]]-Table1[[#This Row],[COGS]]</f>
        <v>586.79999999999995</v>
      </c>
      <c r="Z120" s="3">
        <f>(Table1[[#This Row],[Profit]]/Table1[[#This Row],[Revenue]])</f>
        <v>0.40446650124069478</v>
      </c>
      <c r="AA120" s="1">
        <f>Table1[[#This Row],[Profit]]-Table1[[#This Row],[Total Shipping]]</f>
        <v>490.79999999999995</v>
      </c>
      <c r="AB120" s="3">
        <f>Table1[[#This Row],[Operating Profit]]/Table1[[#This Row],[Revenue]]</f>
        <v>0.33829611248966085</v>
      </c>
    </row>
    <row r="121" spans="1:28" x14ac:dyDescent="0.25">
      <c r="A121" t="s">
        <v>131</v>
      </c>
      <c r="B121">
        <v>803</v>
      </c>
      <c r="C121" t="s">
        <v>35</v>
      </c>
      <c r="D121" t="s">
        <v>57</v>
      </c>
      <c r="E121" t="s">
        <v>40</v>
      </c>
      <c r="F121" t="s">
        <v>76</v>
      </c>
      <c r="G121" t="str" cm="1">
        <f t="array" ref="G121">_xlfn.SWITCH(F121,"Acme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121" t="s">
        <v>45</v>
      </c>
      <c r="I121" t="s">
        <v>34</v>
      </c>
      <c r="J121" t="str" cm="1">
        <f t="array" ref="J121">_xlfn.SWITCH(I121,"P001","Laptop","P002","Server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21" s="1" cm="1">
        <f t="array" ref="K121">_xlfn.SWITCH(Table1[[#This Row],[Product ID]],"P001",220,"P002",150,"P003",130,"P004",70,"P005",200,"P006",40,"P007",25,"P008",20,"P009",190,"P010",530)</f>
        <v>20</v>
      </c>
      <c r="L121">
        <v>5</v>
      </c>
      <c r="M121" s="1">
        <f>Table1[[#This Row],[Unit Price]]*Table1[[#This Row],[Quantity]]</f>
        <v>100</v>
      </c>
      <c r="N121" s="2">
        <v>0.05</v>
      </c>
      <c r="O121" s="1">
        <f>Table1[[#This Row],[Gross Value]]*(1-Table1[[#This Row],[Discount]])</f>
        <v>95</v>
      </c>
      <c r="P121" s="2">
        <v>0.2</v>
      </c>
      <c r="Q121" s="1">
        <f>Table1[[#This Row],[Revenue]]*Table1[[#This Row],[VAT Rate]]</f>
        <v>19</v>
      </c>
      <c r="R121" s="1">
        <f>Table1[[#This Row],[Revenue]]+Table1[[#This Row],[VAT Charged]]</f>
        <v>114</v>
      </c>
      <c r="S121" s="1" cm="1">
        <f t="array" ref="S121">_xlfn.SWITCH(Table1[[#This Row],[Product ID]],"P001",140,"P002",80,"P003",72,"P004",30,"P005",110,"P006",24,"P007",14,"P008",12,"P009",115,"P010",360)</f>
        <v>12</v>
      </c>
      <c r="T121" s="1" cm="1">
        <f t="array" ref="T121">(_xlfn.SWITCH(Table1[[#This Row],[Product ID]],"P001",140,"P002",80,"P003",72,"P004",30,"P005",110,"P006",24,"P007",14,"P008",12,"P009",115,"P010",360))*Table1[[#This Row],[Quantity]]</f>
        <v>60</v>
      </c>
      <c r="U121" s="1" cm="1">
        <f t="array" ref="U121">_xlfn.SWITCH(Table1[[#This Row],[Product ID]],"P001",15,"P002",0,"P003",8,"P004",8,"P005",0,"P006",7,"P007",7,"P008",6,"P009",45,"P010",60)</f>
        <v>6</v>
      </c>
      <c r="V121" s="1">
        <f>Table1[[#This Row],[Shipping per Unit]]*Table1[[#This Row],[Quantity]]</f>
        <v>30</v>
      </c>
      <c r="W121" s="2">
        <f>IF(Table1[[#This Row],[Total Shipping]]&gt;0.1,0.2,0)</f>
        <v>0.2</v>
      </c>
      <c r="X121" s="4">
        <f>Table1[[#This Row],[Total Shipping]]*Table1[[#This Row],[VAT on Shipping]]</f>
        <v>6</v>
      </c>
      <c r="Y121" s="1">
        <f>Table1[[#This Row],[Revenue]]-Table1[[#This Row],[COGS]]</f>
        <v>35</v>
      </c>
      <c r="Z121" s="3">
        <f>(Table1[[#This Row],[Profit]]/Table1[[#This Row],[Revenue]])</f>
        <v>0.36842105263157893</v>
      </c>
      <c r="AA121" s="1">
        <f>Table1[[#This Row],[Profit]]-Table1[[#This Row],[Total Shipping]]</f>
        <v>5</v>
      </c>
      <c r="AB121" s="3">
        <f>Table1[[#This Row],[Operating Profit]]/Table1[[#This Row],[Revenue]]</f>
        <v>5.2631578947368418E-2</v>
      </c>
    </row>
    <row r="122" spans="1:28" x14ac:dyDescent="0.25">
      <c r="A122" t="s">
        <v>132</v>
      </c>
      <c r="B122">
        <v>734</v>
      </c>
      <c r="C122" t="s">
        <v>83</v>
      </c>
      <c r="D122" t="s">
        <v>53</v>
      </c>
      <c r="E122" t="s">
        <v>31</v>
      </c>
      <c r="F122" t="s">
        <v>66</v>
      </c>
      <c r="G122" t="str" cm="1">
        <f t="array" ref="G122">_xlfn.SWITCH(F122,"Acme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122" t="s">
        <v>51</v>
      </c>
      <c r="I122" t="s">
        <v>70</v>
      </c>
      <c r="J122" t="str" cm="1">
        <f t="array" ref="J122">_xlfn.SWITCH(I122,"P001","Laptop","P002","Server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22" s="1" cm="1">
        <f t="array" ref="K122">_xlfn.SWITCH(Table1[[#This Row],[Product ID]],"P001",220,"P002",150,"P003",130,"P004",70,"P005",200,"P006",40,"P007",25,"P008",20,"P009",190,"P010",530)</f>
        <v>150</v>
      </c>
      <c r="L122">
        <v>17</v>
      </c>
      <c r="M122" s="1">
        <f>Table1[[#This Row],[Unit Price]]*Table1[[#This Row],[Quantity]]</f>
        <v>2550</v>
      </c>
      <c r="N122" s="2">
        <v>0.05</v>
      </c>
      <c r="O122" s="1">
        <f>Table1[[#This Row],[Gross Value]]*(1-Table1[[#This Row],[Discount]])</f>
        <v>2422.5</v>
      </c>
      <c r="P122" s="2">
        <v>0.2</v>
      </c>
      <c r="Q122" s="1">
        <f>Table1[[#This Row],[Revenue]]*Table1[[#This Row],[VAT Rate]]</f>
        <v>484.5</v>
      </c>
      <c r="R122" s="1">
        <f>Table1[[#This Row],[Revenue]]+Table1[[#This Row],[VAT Charged]]</f>
        <v>2907</v>
      </c>
      <c r="S122" s="1" cm="1">
        <f t="array" ref="S122">_xlfn.SWITCH(Table1[[#This Row],[Product ID]],"P001",140,"P002",80,"P003",72,"P004",30,"P005",110,"P006",24,"P007",14,"P008",12,"P009",115,"P010",360)</f>
        <v>80</v>
      </c>
      <c r="T122" s="1" cm="1">
        <f t="array" ref="T122">(_xlfn.SWITCH(Table1[[#This Row],[Product ID]],"P001",140,"P002",80,"P003",72,"P004",30,"P005",110,"P006",24,"P007",14,"P008",12,"P009",115,"P010",360))*Table1[[#This Row],[Quantity]]</f>
        <v>1360</v>
      </c>
      <c r="U122" s="1" cm="1">
        <f t="array" ref="U122">_xlfn.SWITCH(Table1[[#This Row],[Product ID]],"P001",15,"P002",0,"P003",8,"P004",8,"P005",0,"P006",7,"P007",7,"P008",6,"P009",45,"P010",60)</f>
        <v>0</v>
      </c>
      <c r="V122" s="1">
        <f>Table1[[#This Row],[Shipping per Unit]]*Table1[[#This Row],[Quantity]]</f>
        <v>0</v>
      </c>
      <c r="W122" s="2">
        <f>IF(Table1[[#This Row],[Total Shipping]]&gt;0.1,0.2,0)</f>
        <v>0</v>
      </c>
      <c r="X122" s="4">
        <f>Table1[[#This Row],[Total Shipping]]*Table1[[#This Row],[VAT on Shipping]]</f>
        <v>0</v>
      </c>
      <c r="Y122" s="1">
        <f>Table1[[#This Row],[Revenue]]-Table1[[#This Row],[COGS]]</f>
        <v>1062.5</v>
      </c>
      <c r="Z122" s="3">
        <f>(Table1[[#This Row],[Profit]]/Table1[[#This Row],[Revenue]])</f>
        <v>0.43859649122807015</v>
      </c>
      <c r="AA122" s="1">
        <f>Table1[[#This Row],[Profit]]-Table1[[#This Row],[Total Shipping]]</f>
        <v>1062.5</v>
      </c>
      <c r="AB122" s="3">
        <f>Table1[[#This Row],[Operating Profit]]/Table1[[#This Row],[Revenue]]</f>
        <v>0.43859649122807015</v>
      </c>
    </row>
    <row r="123" spans="1:28" x14ac:dyDescent="0.25">
      <c r="A123" t="s">
        <v>132</v>
      </c>
      <c r="B123">
        <v>774</v>
      </c>
      <c r="C123" t="s">
        <v>38</v>
      </c>
      <c r="D123" t="s">
        <v>48</v>
      </c>
      <c r="E123" t="s">
        <v>31</v>
      </c>
      <c r="F123" t="s">
        <v>32</v>
      </c>
      <c r="G123" t="str" cm="1">
        <f t="array" ref="G123">_xlfn.SWITCH(F123,"Acme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123" t="s">
        <v>45</v>
      </c>
      <c r="I123" t="s">
        <v>68</v>
      </c>
      <c r="J123" t="str" cm="1">
        <f t="array" ref="J123">_xlfn.SWITCH(I123,"P001","Laptop","P002","Server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23" s="1" cm="1">
        <f t="array" ref="K123">_xlfn.SWITCH(Table1[[#This Row],[Product ID]],"P001",220,"P002",150,"P003",130,"P004",70,"P005",200,"P006",40,"P007",25,"P008",20,"P009",190,"P010",530)</f>
        <v>220</v>
      </c>
      <c r="L123">
        <v>1</v>
      </c>
      <c r="M123" s="1">
        <f>Table1[[#This Row],[Unit Price]]*Table1[[#This Row],[Quantity]]</f>
        <v>220</v>
      </c>
      <c r="N123" s="2">
        <v>0.06</v>
      </c>
      <c r="O123" s="1">
        <f>Table1[[#This Row],[Gross Value]]*(1-Table1[[#This Row],[Discount]])</f>
        <v>206.79999999999998</v>
      </c>
      <c r="P123" s="2">
        <v>0.2</v>
      </c>
      <c r="Q123" s="1">
        <f>Table1[[#This Row],[Revenue]]*Table1[[#This Row],[VAT Rate]]</f>
        <v>41.36</v>
      </c>
      <c r="R123" s="1">
        <f>Table1[[#This Row],[Revenue]]+Table1[[#This Row],[VAT Charged]]</f>
        <v>248.15999999999997</v>
      </c>
      <c r="S123" s="1" cm="1">
        <f t="array" ref="S123">_xlfn.SWITCH(Table1[[#This Row],[Product ID]],"P001",140,"P002",80,"P003",72,"P004",30,"P005",110,"P006",24,"P007",14,"P008",12,"P009",115,"P010",360)</f>
        <v>140</v>
      </c>
      <c r="T123" s="1" cm="1">
        <f t="array" ref="T123">(_xlfn.SWITCH(Table1[[#This Row],[Product ID]],"P001",140,"P002",80,"P003",72,"P004",30,"P005",110,"P006",24,"P007",14,"P008",12,"P009",115,"P010",360))*Table1[[#This Row],[Quantity]]</f>
        <v>140</v>
      </c>
      <c r="U123" s="1" cm="1">
        <f t="array" ref="U123">_xlfn.SWITCH(Table1[[#This Row],[Product ID]],"P001",15,"P002",0,"P003",8,"P004",8,"P005",0,"P006",7,"P007",7,"P008",6,"P009",45,"P010",60)</f>
        <v>15</v>
      </c>
      <c r="V123" s="1">
        <f>Table1[[#This Row],[Shipping per Unit]]*Table1[[#This Row],[Quantity]]</f>
        <v>15</v>
      </c>
      <c r="W123" s="2">
        <f>IF(Table1[[#This Row],[Total Shipping]]&gt;0.1,0.2,0)</f>
        <v>0.2</v>
      </c>
      <c r="X123" s="4">
        <f>Table1[[#This Row],[Total Shipping]]*Table1[[#This Row],[VAT on Shipping]]</f>
        <v>3</v>
      </c>
      <c r="Y123" s="1">
        <f>Table1[[#This Row],[Revenue]]-Table1[[#This Row],[COGS]]</f>
        <v>66.799999999999983</v>
      </c>
      <c r="Z123" s="3">
        <f>(Table1[[#This Row],[Profit]]/Table1[[#This Row],[Revenue]])</f>
        <v>0.32301740812379104</v>
      </c>
      <c r="AA123" s="1">
        <f>Table1[[#This Row],[Profit]]-Table1[[#This Row],[Total Shipping]]</f>
        <v>51.799999999999983</v>
      </c>
      <c r="AB123" s="3">
        <f>Table1[[#This Row],[Operating Profit]]/Table1[[#This Row],[Revenue]]</f>
        <v>0.25048355899419722</v>
      </c>
    </row>
    <row r="124" spans="1:28" x14ac:dyDescent="0.25">
      <c r="A124" t="s">
        <v>133</v>
      </c>
      <c r="B124">
        <v>475</v>
      </c>
      <c r="C124" t="s">
        <v>65</v>
      </c>
      <c r="D124" t="s">
        <v>39</v>
      </c>
      <c r="E124" t="s">
        <v>40</v>
      </c>
      <c r="F124" t="s">
        <v>84</v>
      </c>
      <c r="G124" t="str" cm="1">
        <f t="array" ref="G124">_xlfn.SWITCH(F124,"Acme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124" t="s">
        <v>45</v>
      </c>
      <c r="I124" t="s">
        <v>91</v>
      </c>
      <c r="J124" t="str" cm="1">
        <f t="array" ref="J124">_xlfn.SWITCH(I124,"P001","Laptop","P002","Server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124" s="1" cm="1">
        <f t="array" ref="K124">_xlfn.SWITCH(Table1[[#This Row],[Product ID]],"P001",220,"P002",150,"P003",130,"P004",70,"P005",200,"P006",40,"P007",25,"P008",20,"P009",190,"P010",530)</f>
        <v>190</v>
      </c>
      <c r="L124">
        <v>7</v>
      </c>
      <c r="M124" s="1">
        <f>Table1[[#This Row],[Unit Price]]*Table1[[#This Row],[Quantity]]</f>
        <v>1330</v>
      </c>
      <c r="N124" s="2">
        <v>0.03</v>
      </c>
      <c r="O124" s="1">
        <f>Table1[[#This Row],[Gross Value]]*(1-Table1[[#This Row],[Discount]])</f>
        <v>1290.0999999999999</v>
      </c>
      <c r="P124" s="2">
        <v>0.2</v>
      </c>
      <c r="Q124" s="1">
        <f>Table1[[#This Row],[Revenue]]*Table1[[#This Row],[VAT Rate]]</f>
        <v>258.02</v>
      </c>
      <c r="R124" s="1">
        <f>Table1[[#This Row],[Revenue]]+Table1[[#This Row],[VAT Charged]]</f>
        <v>1548.12</v>
      </c>
      <c r="S124" s="1" cm="1">
        <f t="array" ref="S124">_xlfn.SWITCH(Table1[[#This Row],[Product ID]],"P001",140,"P002",80,"P003",72,"P004",30,"P005",110,"P006",24,"P007",14,"P008",12,"P009",115,"P010",360)</f>
        <v>115</v>
      </c>
      <c r="T124" s="1" cm="1">
        <f t="array" ref="T124">(_xlfn.SWITCH(Table1[[#This Row],[Product ID]],"P001",140,"P002",80,"P003",72,"P004",30,"P005",110,"P006",24,"P007",14,"P008",12,"P009",115,"P010",360))*Table1[[#This Row],[Quantity]]</f>
        <v>805</v>
      </c>
      <c r="U124" s="1" cm="1">
        <f t="array" ref="U124">_xlfn.SWITCH(Table1[[#This Row],[Product ID]],"P001",15,"P002",0,"P003",8,"P004",8,"P005",0,"P006",7,"P007",7,"P008",6,"P009",45,"P010",60)</f>
        <v>45</v>
      </c>
      <c r="V124" s="1">
        <f>Table1[[#This Row],[Shipping per Unit]]*Table1[[#This Row],[Quantity]]</f>
        <v>315</v>
      </c>
      <c r="W124" s="2">
        <f>IF(Table1[[#This Row],[Total Shipping]]&gt;0.1,0.2,0)</f>
        <v>0.2</v>
      </c>
      <c r="X124" s="4">
        <f>Table1[[#This Row],[Total Shipping]]*Table1[[#This Row],[VAT on Shipping]]</f>
        <v>63</v>
      </c>
      <c r="Y124" s="1">
        <f>Table1[[#This Row],[Revenue]]-Table1[[#This Row],[COGS]]</f>
        <v>485.09999999999991</v>
      </c>
      <c r="Z124" s="3">
        <f>(Table1[[#This Row],[Profit]]/Table1[[#This Row],[Revenue]])</f>
        <v>0.37601736299511662</v>
      </c>
      <c r="AA124" s="1">
        <f>Table1[[#This Row],[Profit]]-Table1[[#This Row],[Total Shipping]]</f>
        <v>170.09999999999991</v>
      </c>
      <c r="AB124" s="3">
        <f>Table1[[#This Row],[Operating Profit]]/Table1[[#This Row],[Revenue]]</f>
        <v>0.13185024416711877</v>
      </c>
    </row>
    <row r="125" spans="1:28" x14ac:dyDescent="0.25">
      <c r="A125" t="s">
        <v>134</v>
      </c>
      <c r="B125">
        <v>69</v>
      </c>
      <c r="C125" t="s">
        <v>83</v>
      </c>
      <c r="D125" t="s">
        <v>53</v>
      </c>
      <c r="E125" t="s">
        <v>31</v>
      </c>
      <c r="F125" t="s">
        <v>74</v>
      </c>
      <c r="G125" t="str" cm="1">
        <f t="array" ref="G125">_xlfn.SWITCH(F125,"Acme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125" t="s">
        <v>58</v>
      </c>
      <c r="I125" t="s">
        <v>55</v>
      </c>
      <c r="J125" t="str" cm="1">
        <f t="array" ref="J125">_xlfn.SWITCH(I125,"P001","Laptop","P002","Server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25" s="1" cm="1">
        <f t="array" ref="K125">_xlfn.SWITCH(Table1[[#This Row],[Product ID]],"P001",220,"P002",150,"P003",130,"P004",70,"P005",200,"P006",40,"P007",25,"P008",20,"P009",190,"P010",530)</f>
        <v>70</v>
      </c>
      <c r="L125">
        <v>14</v>
      </c>
      <c r="M125" s="1">
        <f>Table1[[#This Row],[Unit Price]]*Table1[[#This Row],[Quantity]]</f>
        <v>980</v>
      </c>
      <c r="N125" s="2">
        <v>0.1</v>
      </c>
      <c r="O125" s="1">
        <f>Table1[[#This Row],[Gross Value]]*(1-Table1[[#This Row],[Discount]])</f>
        <v>882</v>
      </c>
      <c r="P125" s="2">
        <v>0.2</v>
      </c>
      <c r="Q125" s="1">
        <f>Table1[[#This Row],[Revenue]]*Table1[[#This Row],[VAT Rate]]</f>
        <v>176.4</v>
      </c>
      <c r="R125" s="1">
        <f>Table1[[#This Row],[Revenue]]+Table1[[#This Row],[VAT Charged]]</f>
        <v>1058.4000000000001</v>
      </c>
      <c r="S125" s="1" cm="1">
        <f t="array" ref="S125">_xlfn.SWITCH(Table1[[#This Row],[Product ID]],"P001",140,"P002",80,"P003",72,"P004",30,"P005",110,"P006",24,"P007",14,"P008",12,"P009",115,"P010",360)</f>
        <v>30</v>
      </c>
      <c r="T125" s="1" cm="1">
        <f t="array" ref="T125">(_xlfn.SWITCH(Table1[[#This Row],[Product ID]],"P001",140,"P002",80,"P003",72,"P004",30,"P005",110,"P006",24,"P007",14,"P008",12,"P009",115,"P010",360))*Table1[[#This Row],[Quantity]]</f>
        <v>420</v>
      </c>
      <c r="U125" s="1" cm="1">
        <f t="array" ref="U125">_xlfn.SWITCH(Table1[[#This Row],[Product ID]],"P001",15,"P002",0,"P003",8,"P004",8,"P005",0,"P006",7,"P007",7,"P008",6,"P009",45,"P010",60)</f>
        <v>8</v>
      </c>
      <c r="V125" s="1">
        <f>Table1[[#This Row],[Shipping per Unit]]*Table1[[#This Row],[Quantity]]</f>
        <v>112</v>
      </c>
      <c r="W125" s="2">
        <f>IF(Table1[[#This Row],[Total Shipping]]&gt;0.1,0.2,0)</f>
        <v>0.2</v>
      </c>
      <c r="X125" s="4">
        <f>Table1[[#This Row],[Total Shipping]]*Table1[[#This Row],[VAT on Shipping]]</f>
        <v>22.400000000000002</v>
      </c>
      <c r="Y125" s="1">
        <f>Table1[[#This Row],[Revenue]]-Table1[[#This Row],[COGS]]</f>
        <v>462</v>
      </c>
      <c r="Z125" s="3">
        <f>(Table1[[#This Row],[Profit]]/Table1[[#This Row],[Revenue]])</f>
        <v>0.52380952380952384</v>
      </c>
      <c r="AA125" s="1">
        <f>Table1[[#This Row],[Profit]]-Table1[[#This Row],[Total Shipping]]</f>
        <v>350</v>
      </c>
      <c r="AB125" s="3">
        <f>Table1[[#This Row],[Operating Profit]]/Table1[[#This Row],[Revenue]]</f>
        <v>0.3968253968253968</v>
      </c>
    </row>
    <row r="126" spans="1:28" x14ac:dyDescent="0.25">
      <c r="A126" t="s">
        <v>134</v>
      </c>
      <c r="B126">
        <v>249</v>
      </c>
      <c r="C126" t="s">
        <v>35</v>
      </c>
      <c r="D126" t="s">
        <v>30</v>
      </c>
      <c r="E126" t="s">
        <v>40</v>
      </c>
      <c r="F126" t="s">
        <v>84</v>
      </c>
      <c r="G126" t="str" cm="1">
        <f t="array" ref="G126">_xlfn.SWITCH(F126,"Acme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126" t="s">
        <v>33</v>
      </c>
      <c r="I126" t="s">
        <v>42</v>
      </c>
      <c r="J126" t="str" cm="1">
        <f t="array" ref="J126">_xlfn.SWITCH(I126,"P001","Laptop","P002","Server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26" s="1" cm="1">
        <f t="array" ref="K126">_xlfn.SWITCH(Table1[[#This Row],[Product ID]],"P001",220,"P002",150,"P003",130,"P004",70,"P005",200,"P006",40,"P007",25,"P008",20,"P009",190,"P010",530)</f>
        <v>40</v>
      </c>
      <c r="L126">
        <v>4</v>
      </c>
      <c r="M126" s="1">
        <f>Table1[[#This Row],[Unit Price]]*Table1[[#This Row],[Quantity]]</f>
        <v>160</v>
      </c>
      <c r="N126" s="2">
        <v>0.02</v>
      </c>
      <c r="O126" s="1">
        <f>Table1[[#This Row],[Gross Value]]*(1-Table1[[#This Row],[Discount]])</f>
        <v>156.80000000000001</v>
      </c>
      <c r="P126" s="2">
        <v>0.2</v>
      </c>
      <c r="Q126" s="1">
        <f>Table1[[#This Row],[Revenue]]*Table1[[#This Row],[VAT Rate]]</f>
        <v>31.360000000000003</v>
      </c>
      <c r="R126" s="1">
        <f>Table1[[#This Row],[Revenue]]+Table1[[#This Row],[VAT Charged]]</f>
        <v>188.16000000000003</v>
      </c>
      <c r="S126" s="1" cm="1">
        <f t="array" ref="S126">_xlfn.SWITCH(Table1[[#This Row],[Product ID]],"P001",140,"P002",80,"P003",72,"P004",30,"P005",110,"P006",24,"P007",14,"P008",12,"P009",115,"P010",360)</f>
        <v>24</v>
      </c>
      <c r="T126" s="1" cm="1">
        <f t="array" ref="T126">(_xlfn.SWITCH(Table1[[#This Row],[Product ID]],"P001",140,"P002",80,"P003",72,"P004",30,"P005",110,"P006",24,"P007",14,"P008",12,"P009",115,"P010",360))*Table1[[#This Row],[Quantity]]</f>
        <v>96</v>
      </c>
      <c r="U126" s="1" cm="1">
        <f t="array" ref="U126">_xlfn.SWITCH(Table1[[#This Row],[Product ID]],"P001",15,"P002",0,"P003",8,"P004",8,"P005",0,"P006",7,"P007",7,"P008",6,"P009",45,"P010",60)</f>
        <v>7</v>
      </c>
      <c r="V126" s="1">
        <f>Table1[[#This Row],[Shipping per Unit]]*Table1[[#This Row],[Quantity]]</f>
        <v>28</v>
      </c>
      <c r="W126" s="2">
        <f>IF(Table1[[#This Row],[Total Shipping]]&gt;0.1,0.2,0)</f>
        <v>0.2</v>
      </c>
      <c r="X126" s="4">
        <f>Table1[[#This Row],[Total Shipping]]*Table1[[#This Row],[VAT on Shipping]]</f>
        <v>5.6000000000000005</v>
      </c>
      <c r="Y126" s="1">
        <f>Table1[[#This Row],[Revenue]]-Table1[[#This Row],[COGS]]</f>
        <v>60.800000000000011</v>
      </c>
      <c r="Z126" s="3">
        <f>(Table1[[#This Row],[Profit]]/Table1[[#This Row],[Revenue]])</f>
        <v>0.38775510204081637</v>
      </c>
      <c r="AA126" s="1">
        <f>Table1[[#This Row],[Profit]]-Table1[[#This Row],[Total Shipping]]</f>
        <v>32.800000000000011</v>
      </c>
      <c r="AB126" s="3">
        <f>Table1[[#This Row],[Operating Profit]]/Table1[[#This Row],[Revenue]]</f>
        <v>0.20918367346938782</v>
      </c>
    </row>
    <row r="127" spans="1:28" x14ac:dyDescent="0.25">
      <c r="A127" t="s">
        <v>134</v>
      </c>
      <c r="B127">
        <v>824</v>
      </c>
      <c r="C127" t="s">
        <v>65</v>
      </c>
      <c r="D127" t="s">
        <v>95</v>
      </c>
      <c r="E127" t="s">
        <v>31</v>
      </c>
      <c r="F127" t="s">
        <v>50</v>
      </c>
      <c r="G127" t="str" cm="1">
        <f t="array" ref="G127">_xlfn.SWITCH(F127,"Acme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127" t="s">
        <v>58</v>
      </c>
      <c r="I127" t="s">
        <v>46</v>
      </c>
      <c r="J127" t="str" cm="1">
        <f t="array" ref="J127">_xlfn.SWITCH(I127,"P001","Laptop","P002","Server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27" s="1" cm="1">
        <f t="array" ref="K127">_xlfn.SWITCH(Table1[[#This Row],[Product ID]],"P001",220,"P002",150,"P003",130,"P004",70,"P005",200,"P006",40,"P007",25,"P008",20,"P009",190,"P010",530)</f>
        <v>530</v>
      </c>
      <c r="L127">
        <v>20</v>
      </c>
      <c r="M127" s="1">
        <f>Table1[[#This Row],[Unit Price]]*Table1[[#This Row],[Quantity]]</f>
        <v>10600</v>
      </c>
      <c r="N127" s="2">
        <v>0.08</v>
      </c>
      <c r="O127" s="1">
        <f>Table1[[#This Row],[Gross Value]]*(1-Table1[[#This Row],[Discount]])</f>
        <v>9752</v>
      </c>
      <c r="P127" s="2">
        <v>0.2</v>
      </c>
      <c r="Q127" s="1">
        <f>Table1[[#This Row],[Revenue]]*Table1[[#This Row],[VAT Rate]]</f>
        <v>1950.4</v>
      </c>
      <c r="R127" s="1">
        <f>Table1[[#This Row],[Revenue]]+Table1[[#This Row],[VAT Charged]]</f>
        <v>11702.4</v>
      </c>
      <c r="S127" s="1" cm="1">
        <f t="array" ref="S127">_xlfn.SWITCH(Table1[[#This Row],[Product ID]],"P001",140,"P002",80,"P003",72,"P004",30,"P005",110,"P006",24,"P007",14,"P008",12,"P009",115,"P010",360)</f>
        <v>360</v>
      </c>
      <c r="T127" s="1" cm="1">
        <f t="array" ref="T127">(_xlfn.SWITCH(Table1[[#This Row],[Product ID]],"P001",140,"P002",80,"P003",72,"P004",30,"P005",110,"P006",24,"P007",14,"P008",12,"P009",115,"P010",360))*Table1[[#This Row],[Quantity]]</f>
        <v>7200</v>
      </c>
      <c r="U127" s="1" cm="1">
        <f t="array" ref="U127">_xlfn.SWITCH(Table1[[#This Row],[Product ID]],"P001",15,"P002",0,"P003",8,"P004",8,"P005",0,"P006",7,"P007",7,"P008",6,"P009",45,"P010",60)</f>
        <v>60</v>
      </c>
      <c r="V127" s="1">
        <f>Table1[[#This Row],[Shipping per Unit]]*Table1[[#This Row],[Quantity]]</f>
        <v>1200</v>
      </c>
      <c r="W127" s="2">
        <f>IF(Table1[[#This Row],[Total Shipping]]&gt;0.1,0.2,0)</f>
        <v>0.2</v>
      </c>
      <c r="X127" s="4">
        <f>Table1[[#This Row],[Total Shipping]]*Table1[[#This Row],[VAT on Shipping]]</f>
        <v>240</v>
      </c>
      <c r="Y127" s="1">
        <f>Table1[[#This Row],[Revenue]]-Table1[[#This Row],[COGS]]</f>
        <v>2552</v>
      </c>
      <c r="Z127" s="3">
        <f>(Table1[[#This Row],[Profit]]/Table1[[#This Row],[Revenue]])</f>
        <v>0.2616899097621001</v>
      </c>
      <c r="AA127" s="1">
        <f>Table1[[#This Row],[Profit]]-Table1[[#This Row],[Total Shipping]]</f>
        <v>1352</v>
      </c>
      <c r="AB127" s="3">
        <f>Table1[[#This Row],[Operating Profit]]/Table1[[#This Row],[Revenue]]</f>
        <v>0.13863822805578344</v>
      </c>
    </row>
    <row r="128" spans="1:28" x14ac:dyDescent="0.25">
      <c r="A128" t="s">
        <v>134</v>
      </c>
      <c r="B128">
        <v>837</v>
      </c>
      <c r="C128" t="s">
        <v>56</v>
      </c>
      <c r="D128" t="s">
        <v>53</v>
      </c>
      <c r="E128" t="s">
        <v>31</v>
      </c>
      <c r="F128" t="s">
        <v>54</v>
      </c>
      <c r="G128" t="str" cm="1">
        <f t="array" ref="G128">_xlfn.SWITCH(F128,"Acme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128" t="s">
        <v>45</v>
      </c>
      <c r="I128" t="s">
        <v>75</v>
      </c>
      <c r="J128" t="str" cm="1">
        <f t="array" ref="J128">_xlfn.SWITCH(I128,"P001","Laptop","P002","Server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128" s="1" cm="1">
        <f t="array" ref="K128">_xlfn.SWITCH(Table1[[#This Row],[Product ID]],"P001",220,"P002",150,"P003",130,"P004",70,"P005",200,"P006",40,"P007",25,"P008",20,"P009",190,"P010",530)</f>
        <v>200</v>
      </c>
      <c r="L128">
        <v>8</v>
      </c>
      <c r="M128" s="1">
        <f>Table1[[#This Row],[Unit Price]]*Table1[[#This Row],[Quantity]]</f>
        <v>1600</v>
      </c>
      <c r="N128" s="2">
        <v>7.0000000000000007E-2</v>
      </c>
      <c r="O128" s="1">
        <f>Table1[[#This Row],[Gross Value]]*(1-Table1[[#This Row],[Discount]])</f>
        <v>1488</v>
      </c>
      <c r="P128" s="2">
        <v>0.2</v>
      </c>
      <c r="Q128" s="1">
        <f>Table1[[#This Row],[Revenue]]*Table1[[#This Row],[VAT Rate]]</f>
        <v>297.60000000000002</v>
      </c>
      <c r="R128" s="1">
        <f>Table1[[#This Row],[Revenue]]+Table1[[#This Row],[VAT Charged]]</f>
        <v>1785.6</v>
      </c>
      <c r="S128" s="1" cm="1">
        <f t="array" ref="S128">_xlfn.SWITCH(Table1[[#This Row],[Product ID]],"P001",140,"P002",80,"P003",72,"P004",30,"P005",110,"P006",24,"P007",14,"P008",12,"P009",115,"P010",360)</f>
        <v>110</v>
      </c>
      <c r="T128" s="1" cm="1">
        <f t="array" ref="T128">(_xlfn.SWITCH(Table1[[#This Row],[Product ID]],"P001",140,"P002",80,"P003",72,"P004",30,"P005",110,"P006",24,"P007",14,"P008",12,"P009",115,"P010",360))*Table1[[#This Row],[Quantity]]</f>
        <v>880</v>
      </c>
      <c r="U128" s="1" cm="1">
        <f t="array" ref="U128">_xlfn.SWITCH(Table1[[#This Row],[Product ID]],"P001",15,"P002",0,"P003",8,"P004",8,"P005",0,"P006",7,"P007",7,"P008",6,"P009",45,"P010",60)</f>
        <v>0</v>
      </c>
      <c r="V128" s="1">
        <f>Table1[[#This Row],[Shipping per Unit]]*Table1[[#This Row],[Quantity]]</f>
        <v>0</v>
      </c>
      <c r="W128" s="2">
        <f>IF(Table1[[#This Row],[Total Shipping]]&gt;0.1,0.2,0)</f>
        <v>0</v>
      </c>
      <c r="X128" s="4">
        <f>Table1[[#This Row],[Total Shipping]]*Table1[[#This Row],[VAT on Shipping]]</f>
        <v>0</v>
      </c>
      <c r="Y128" s="1">
        <f>Table1[[#This Row],[Revenue]]-Table1[[#This Row],[COGS]]</f>
        <v>608</v>
      </c>
      <c r="Z128" s="3">
        <f>(Table1[[#This Row],[Profit]]/Table1[[#This Row],[Revenue]])</f>
        <v>0.40860215053763443</v>
      </c>
      <c r="AA128" s="1">
        <f>Table1[[#This Row],[Profit]]-Table1[[#This Row],[Total Shipping]]</f>
        <v>608</v>
      </c>
      <c r="AB128" s="3">
        <f>Table1[[#This Row],[Operating Profit]]/Table1[[#This Row],[Revenue]]</f>
        <v>0.40860215053763443</v>
      </c>
    </row>
    <row r="129" spans="1:28" x14ac:dyDescent="0.25">
      <c r="A129" t="s">
        <v>135</v>
      </c>
      <c r="B129">
        <v>425</v>
      </c>
      <c r="C129" t="s">
        <v>62</v>
      </c>
      <c r="D129" t="s">
        <v>63</v>
      </c>
      <c r="E129" t="s">
        <v>31</v>
      </c>
      <c r="F129" t="s">
        <v>78</v>
      </c>
      <c r="G129" t="str" cm="1">
        <f t="array" ref="G129">_xlfn.SWITCH(F129,"Acme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129" t="s">
        <v>45</v>
      </c>
      <c r="I129" t="s">
        <v>75</v>
      </c>
      <c r="J129" t="str" cm="1">
        <f t="array" ref="J129">_xlfn.SWITCH(I129,"P001","Laptop","P002","Server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129" s="1" cm="1">
        <f t="array" ref="K129">_xlfn.SWITCH(Table1[[#This Row],[Product ID]],"P001",220,"P002",150,"P003",130,"P004",70,"P005",200,"P006",40,"P007",25,"P008",20,"P009",190,"P010",530)</f>
        <v>200</v>
      </c>
      <c r="L129">
        <v>11</v>
      </c>
      <c r="M129" s="1">
        <f>Table1[[#This Row],[Unit Price]]*Table1[[#This Row],[Quantity]]</f>
        <v>2200</v>
      </c>
      <c r="N129" s="2">
        <v>0.04</v>
      </c>
      <c r="O129" s="1">
        <f>Table1[[#This Row],[Gross Value]]*(1-Table1[[#This Row],[Discount]])</f>
        <v>2112</v>
      </c>
      <c r="P129" s="2">
        <v>0.2</v>
      </c>
      <c r="Q129" s="1">
        <f>Table1[[#This Row],[Revenue]]*Table1[[#This Row],[VAT Rate]]</f>
        <v>422.40000000000003</v>
      </c>
      <c r="R129" s="1">
        <f>Table1[[#This Row],[Revenue]]+Table1[[#This Row],[VAT Charged]]</f>
        <v>2534.4</v>
      </c>
      <c r="S129" s="1" cm="1">
        <f t="array" ref="S129">_xlfn.SWITCH(Table1[[#This Row],[Product ID]],"P001",140,"P002",80,"P003",72,"P004",30,"P005",110,"P006",24,"P007",14,"P008",12,"P009",115,"P010",360)</f>
        <v>110</v>
      </c>
      <c r="T129" s="1" cm="1">
        <f t="array" ref="T129">(_xlfn.SWITCH(Table1[[#This Row],[Product ID]],"P001",140,"P002",80,"P003",72,"P004",30,"P005",110,"P006",24,"P007",14,"P008",12,"P009",115,"P010",360))*Table1[[#This Row],[Quantity]]</f>
        <v>1210</v>
      </c>
      <c r="U129" s="1" cm="1">
        <f t="array" ref="U129">_xlfn.SWITCH(Table1[[#This Row],[Product ID]],"P001",15,"P002",0,"P003",8,"P004",8,"P005",0,"P006",7,"P007",7,"P008",6,"P009",45,"P010",60)</f>
        <v>0</v>
      </c>
      <c r="V129" s="1">
        <f>Table1[[#This Row],[Shipping per Unit]]*Table1[[#This Row],[Quantity]]</f>
        <v>0</v>
      </c>
      <c r="W129" s="2">
        <f>IF(Table1[[#This Row],[Total Shipping]]&gt;0.1,0.2,0)</f>
        <v>0</v>
      </c>
      <c r="X129" s="4">
        <f>Table1[[#This Row],[Total Shipping]]*Table1[[#This Row],[VAT on Shipping]]</f>
        <v>0</v>
      </c>
      <c r="Y129" s="1">
        <f>Table1[[#This Row],[Revenue]]-Table1[[#This Row],[COGS]]</f>
        <v>902</v>
      </c>
      <c r="Z129" s="3">
        <f>(Table1[[#This Row],[Profit]]/Table1[[#This Row],[Revenue]])</f>
        <v>0.42708333333333331</v>
      </c>
      <c r="AA129" s="1">
        <f>Table1[[#This Row],[Profit]]-Table1[[#This Row],[Total Shipping]]</f>
        <v>902</v>
      </c>
      <c r="AB129" s="3">
        <f>Table1[[#This Row],[Operating Profit]]/Table1[[#This Row],[Revenue]]</f>
        <v>0.42708333333333331</v>
      </c>
    </row>
    <row r="130" spans="1:28" x14ac:dyDescent="0.25">
      <c r="A130" t="s">
        <v>135</v>
      </c>
      <c r="B130">
        <v>438</v>
      </c>
      <c r="C130" t="s">
        <v>35</v>
      </c>
      <c r="D130" t="s">
        <v>36</v>
      </c>
      <c r="E130" t="s">
        <v>49</v>
      </c>
      <c r="F130" t="s">
        <v>119</v>
      </c>
      <c r="G130" t="str" cm="1">
        <f t="array" ref="G130">_xlfn.SWITCH(F130,"Acme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130" t="s">
        <v>33</v>
      </c>
      <c r="I130" t="s">
        <v>46</v>
      </c>
      <c r="J130" t="str" cm="1">
        <f t="array" ref="J130">_xlfn.SWITCH(I130,"P001","Laptop","P002","Server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30" s="1" cm="1">
        <f t="array" ref="K130">_xlfn.SWITCH(Table1[[#This Row],[Product ID]],"P001",220,"P002",150,"P003",130,"P004",70,"P005",200,"P006",40,"P007",25,"P008",20,"P009",190,"P010",530)</f>
        <v>530</v>
      </c>
      <c r="L130">
        <v>3</v>
      </c>
      <c r="M130" s="1">
        <f>Table1[[#This Row],[Unit Price]]*Table1[[#This Row],[Quantity]]</f>
        <v>1590</v>
      </c>
      <c r="N130" s="2">
        <v>0.1</v>
      </c>
      <c r="O130" s="1">
        <f>Table1[[#This Row],[Gross Value]]*(1-Table1[[#This Row],[Discount]])</f>
        <v>1431</v>
      </c>
      <c r="P130" s="2">
        <v>0.2</v>
      </c>
      <c r="Q130" s="1">
        <f>Table1[[#This Row],[Revenue]]*Table1[[#This Row],[VAT Rate]]</f>
        <v>286.2</v>
      </c>
      <c r="R130" s="1">
        <f>Table1[[#This Row],[Revenue]]+Table1[[#This Row],[VAT Charged]]</f>
        <v>1717.2</v>
      </c>
      <c r="S130" s="1" cm="1">
        <f t="array" ref="S130">_xlfn.SWITCH(Table1[[#This Row],[Product ID]],"P001",140,"P002",80,"P003",72,"P004",30,"P005",110,"P006",24,"P007",14,"P008",12,"P009",115,"P010",360)</f>
        <v>360</v>
      </c>
      <c r="T130" s="1" cm="1">
        <f t="array" ref="T130">(_xlfn.SWITCH(Table1[[#This Row],[Product ID]],"P001",140,"P002",80,"P003",72,"P004",30,"P005",110,"P006",24,"P007",14,"P008",12,"P009",115,"P010",360))*Table1[[#This Row],[Quantity]]</f>
        <v>1080</v>
      </c>
      <c r="U130" s="1" cm="1">
        <f t="array" ref="U130">_xlfn.SWITCH(Table1[[#This Row],[Product ID]],"P001",15,"P002",0,"P003",8,"P004",8,"P005",0,"P006",7,"P007",7,"P008",6,"P009",45,"P010",60)</f>
        <v>60</v>
      </c>
      <c r="V130" s="1">
        <f>Table1[[#This Row],[Shipping per Unit]]*Table1[[#This Row],[Quantity]]</f>
        <v>180</v>
      </c>
      <c r="W130" s="2">
        <f>IF(Table1[[#This Row],[Total Shipping]]&gt;0.1,0.2,0)</f>
        <v>0.2</v>
      </c>
      <c r="X130" s="4">
        <f>Table1[[#This Row],[Total Shipping]]*Table1[[#This Row],[VAT on Shipping]]</f>
        <v>36</v>
      </c>
      <c r="Y130" s="1">
        <f>Table1[[#This Row],[Revenue]]-Table1[[#This Row],[COGS]]</f>
        <v>351</v>
      </c>
      <c r="Z130" s="3">
        <f>(Table1[[#This Row],[Profit]]/Table1[[#This Row],[Revenue]])</f>
        <v>0.24528301886792453</v>
      </c>
      <c r="AA130" s="1">
        <f>Table1[[#This Row],[Profit]]-Table1[[#This Row],[Total Shipping]]</f>
        <v>171</v>
      </c>
      <c r="AB130" s="3">
        <f>Table1[[#This Row],[Operating Profit]]/Table1[[#This Row],[Revenue]]</f>
        <v>0.11949685534591195</v>
      </c>
    </row>
    <row r="131" spans="1:28" x14ac:dyDescent="0.25">
      <c r="A131" t="s">
        <v>136</v>
      </c>
      <c r="B131">
        <v>211</v>
      </c>
      <c r="C131" t="s">
        <v>35</v>
      </c>
      <c r="D131" t="s">
        <v>36</v>
      </c>
      <c r="E131" t="s">
        <v>49</v>
      </c>
      <c r="F131" t="s">
        <v>37</v>
      </c>
      <c r="G131" t="str" cm="1">
        <f t="array" ref="G131">_xlfn.SWITCH(F131,"Acme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131" t="s">
        <v>45</v>
      </c>
      <c r="I131" t="s">
        <v>91</v>
      </c>
      <c r="J131" t="str" cm="1">
        <f t="array" ref="J131">_xlfn.SWITCH(I131,"P001","Laptop","P002","Server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131" s="1" cm="1">
        <f t="array" ref="K131">_xlfn.SWITCH(Table1[[#This Row],[Product ID]],"P001",220,"P002",150,"P003",130,"P004",70,"P005",200,"P006",40,"P007",25,"P008",20,"P009",190,"P010",530)</f>
        <v>190</v>
      </c>
      <c r="L131">
        <v>1</v>
      </c>
      <c r="M131" s="1">
        <f>Table1[[#This Row],[Unit Price]]*Table1[[#This Row],[Quantity]]</f>
        <v>190</v>
      </c>
      <c r="N131" s="2">
        <v>0.1</v>
      </c>
      <c r="O131" s="1">
        <f>Table1[[#This Row],[Gross Value]]*(1-Table1[[#This Row],[Discount]])</f>
        <v>171</v>
      </c>
      <c r="P131" s="2">
        <v>0.2</v>
      </c>
      <c r="Q131" s="1">
        <f>Table1[[#This Row],[Revenue]]*Table1[[#This Row],[VAT Rate]]</f>
        <v>34.200000000000003</v>
      </c>
      <c r="R131" s="1">
        <f>Table1[[#This Row],[Revenue]]+Table1[[#This Row],[VAT Charged]]</f>
        <v>205.2</v>
      </c>
      <c r="S131" s="1" cm="1">
        <f t="array" ref="S131">_xlfn.SWITCH(Table1[[#This Row],[Product ID]],"P001",140,"P002",80,"P003",72,"P004",30,"P005",110,"P006",24,"P007",14,"P008",12,"P009",115,"P010",360)</f>
        <v>115</v>
      </c>
      <c r="T131" s="1" cm="1">
        <f t="array" ref="T131">(_xlfn.SWITCH(Table1[[#This Row],[Product ID]],"P001",140,"P002",80,"P003",72,"P004",30,"P005",110,"P006",24,"P007",14,"P008",12,"P009",115,"P010",360))*Table1[[#This Row],[Quantity]]</f>
        <v>115</v>
      </c>
      <c r="U131" s="1" cm="1">
        <f t="array" ref="U131">_xlfn.SWITCH(Table1[[#This Row],[Product ID]],"P001",15,"P002",0,"P003",8,"P004",8,"P005",0,"P006",7,"P007",7,"P008",6,"P009",45,"P010",60)</f>
        <v>45</v>
      </c>
      <c r="V131" s="1">
        <f>Table1[[#This Row],[Shipping per Unit]]*Table1[[#This Row],[Quantity]]</f>
        <v>45</v>
      </c>
      <c r="W131" s="2">
        <f>IF(Table1[[#This Row],[Total Shipping]]&gt;0.1,0.2,0)</f>
        <v>0.2</v>
      </c>
      <c r="X131" s="4">
        <f>Table1[[#This Row],[Total Shipping]]*Table1[[#This Row],[VAT on Shipping]]</f>
        <v>9</v>
      </c>
      <c r="Y131" s="1">
        <f>Table1[[#This Row],[Revenue]]-Table1[[#This Row],[COGS]]</f>
        <v>56</v>
      </c>
      <c r="Z131" s="3">
        <f>(Table1[[#This Row],[Profit]]/Table1[[#This Row],[Revenue]])</f>
        <v>0.32748538011695905</v>
      </c>
      <c r="AA131" s="1">
        <f>Table1[[#This Row],[Profit]]-Table1[[#This Row],[Total Shipping]]</f>
        <v>11</v>
      </c>
      <c r="AB131" s="3">
        <f>Table1[[#This Row],[Operating Profit]]/Table1[[#This Row],[Revenue]]</f>
        <v>6.4327485380116955E-2</v>
      </c>
    </row>
    <row r="132" spans="1:28" x14ac:dyDescent="0.25">
      <c r="A132" t="s">
        <v>136</v>
      </c>
      <c r="B132">
        <v>372</v>
      </c>
      <c r="C132" t="s">
        <v>62</v>
      </c>
      <c r="D132" t="s">
        <v>36</v>
      </c>
      <c r="E132" t="s">
        <v>49</v>
      </c>
      <c r="F132" t="s">
        <v>102</v>
      </c>
      <c r="G132" t="str" cm="1">
        <f t="array" ref="G132">_xlfn.SWITCH(F132,"Acme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132" t="s">
        <v>51</v>
      </c>
      <c r="I132" t="s">
        <v>70</v>
      </c>
      <c r="J132" t="str" cm="1">
        <f t="array" ref="J132">_xlfn.SWITCH(I132,"P001","Laptop","P002","Server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32" s="1" cm="1">
        <f t="array" ref="K132">_xlfn.SWITCH(Table1[[#This Row],[Product ID]],"P001",220,"P002",150,"P003",130,"P004",70,"P005",200,"P006",40,"P007",25,"P008",20,"P009",190,"P010",530)</f>
        <v>150</v>
      </c>
      <c r="L132">
        <v>15</v>
      </c>
      <c r="M132" s="1">
        <f>Table1[[#This Row],[Unit Price]]*Table1[[#This Row],[Quantity]]</f>
        <v>2250</v>
      </c>
      <c r="N132" s="2">
        <v>7.0000000000000007E-2</v>
      </c>
      <c r="O132" s="1">
        <f>Table1[[#This Row],[Gross Value]]*(1-Table1[[#This Row],[Discount]])</f>
        <v>2092.5</v>
      </c>
      <c r="P132" s="2">
        <v>0.2</v>
      </c>
      <c r="Q132" s="1">
        <f>Table1[[#This Row],[Revenue]]*Table1[[#This Row],[VAT Rate]]</f>
        <v>418.5</v>
      </c>
      <c r="R132" s="1">
        <f>Table1[[#This Row],[Revenue]]+Table1[[#This Row],[VAT Charged]]</f>
        <v>2511</v>
      </c>
      <c r="S132" s="1" cm="1">
        <f t="array" ref="S132">_xlfn.SWITCH(Table1[[#This Row],[Product ID]],"P001",140,"P002",80,"P003",72,"P004",30,"P005",110,"P006",24,"P007",14,"P008",12,"P009",115,"P010",360)</f>
        <v>80</v>
      </c>
      <c r="T132" s="1" cm="1">
        <f t="array" ref="T132">(_xlfn.SWITCH(Table1[[#This Row],[Product ID]],"P001",140,"P002",80,"P003",72,"P004",30,"P005",110,"P006",24,"P007",14,"P008",12,"P009",115,"P010",360))*Table1[[#This Row],[Quantity]]</f>
        <v>1200</v>
      </c>
      <c r="U132" s="1" cm="1">
        <f t="array" ref="U132">_xlfn.SWITCH(Table1[[#This Row],[Product ID]],"P001",15,"P002",0,"P003",8,"P004",8,"P005",0,"P006",7,"P007",7,"P008",6,"P009",45,"P010",60)</f>
        <v>0</v>
      </c>
      <c r="V132" s="1">
        <f>Table1[[#This Row],[Shipping per Unit]]*Table1[[#This Row],[Quantity]]</f>
        <v>0</v>
      </c>
      <c r="W132" s="2">
        <f>IF(Table1[[#This Row],[Total Shipping]]&gt;0.1,0.2,0)</f>
        <v>0</v>
      </c>
      <c r="X132" s="4">
        <f>Table1[[#This Row],[Total Shipping]]*Table1[[#This Row],[VAT on Shipping]]</f>
        <v>0</v>
      </c>
      <c r="Y132" s="1">
        <f>Table1[[#This Row],[Revenue]]-Table1[[#This Row],[COGS]]</f>
        <v>892.5</v>
      </c>
      <c r="Z132" s="3">
        <f>(Table1[[#This Row],[Profit]]/Table1[[#This Row],[Revenue]])</f>
        <v>0.4265232974910394</v>
      </c>
      <c r="AA132" s="1">
        <f>Table1[[#This Row],[Profit]]-Table1[[#This Row],[Total Shipping]]</f>
        <v>892.5</v>
      </c>
      <c r="AB132" s="3">
        <f>Table1[[#This Row],[Operating Profit]]/Table1[[#This Row],[Revenue]]</f>
        <v>0.4265232974910394</v>
      </c>
    </row>
    <row r="133" spans="1:28" x14ac:dyDescent="0.25">
      <c r="A133" t="s">
        <v>136</v>
      </c>
      <c r="B133">
        <v>538</v>
      </c>
      <c r="C133" t="s">
        <v>38</v>
      </c>
      <c r="D133" t="s">
        <v>57</v>
      </c>
      <c r="E133" t="s">
        <v>40</v>
      </c>
      <c r="F133" t="s">
        <v>86</v>
      </c>
      <c r="G133" t="str" cm="1">
        <f t="array" ref="G133">_xlfn.SWITCH(F133,"Acme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133" t="s">
        <v>104</v>
      </c>
      <c r="I133" t="s">
        <v>46</v>
      </c>
      <c r="J133" t="str" cm="1">
        <f t="array" ref="J133">_xlfn.SWITCH(I133,"P001","Laptop","P002","Server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33" s="1" cm="1">
        <f t="array" ref="K133">_xlfn.SWITCH(Table1[[#This Row],[Product ID]],"P001",220,"P002",150,"P003",130,"P004",70,"P005",200,"P006",40,"P007",25,"P008",20,"P009",190,"P010",530)</f>
        <v>530</v>
      </c>
      <c r="L133">
        <v>15</v>
      </c>
      <c r="M133" s="1">
        <f>Table1[[#This Row],[Unit Price]]*Table1[[#This Row],[Quantity]]</f>
        <v>7950</v>
      </c>
      <c r="N133" s="2">
        <v>0.02</v>
      </c>
      <c r="O133" s="1">
        <f>Table1[[#This Row],[Gross Value]]*(1-Table1[[#This Row],[Discount]])</f>
        <v>7791</v>
      </c>
      <c r="P133" s="2">
        <v>0.2</v>
      </c>
      <c r="Q133" s="1">
        <f>Table1[[#This Row],[Revenue]]*Table1[[#This Row],[VAT Rate]]</f>
        <v>1558.2</v>
      </c>
      <c r="R133" s="1">
        <f>Table1[[#This Row],[Revenue]]+Table1[[#This Row],[VAT Charged]]</f>
        <v>9349.2000000000007</v>
      </c>
      <c r="S133" s="1" cm="1">
        <f t="array" ref="S133">_xlfn.SWITCH(Table1[[#This Row],[Product ID]],"P001",140,"P002",80,"P003",72,"P004",30,"P005",110,"P006",24,"P007",14,"P008",12,"P009",115,"P010",360)</f>
        <v>360</v>
      </c>
      <c r="T133" s="1" cm="1">
        <f t="array" ref="T133">(_xlfn.SWITCH(Table1[[#This Row],[Product ID]],"P001",140,"P002",80,"P003",72,"P004",30,"P005",110,"P006",24,"P007",14,"P008",12,"P009",115,"P010",360))*Table1[[#This Row],[Quantity]]</f>
        <v>5400</v>
      </c>
      <c r="U133" s="1" cm="1">
        <f t="array" ref="U133">_xlfn.SWITCH(Table1[[#This Row],[Product ID]],"P001",15,"P002",0,"P003",8,"P004",8,"P005",0,"P006",7,"P007",7,"P008",6,"P009",45,"P010",60)</f>
        <v>60</v>
      </c>
      <c r="V133" s="1">
        <f>Table1[[#This Row],[Shipping per Unit]]*Table1[[#This Row],[Quantity]]</f>
        <v>900</v>
      </c>
      <c r="W133" s="2">
        <f>IF(Table1[[#This Row],[Total Shipping]]&gt;0.1,0.2,0)</f>
        <v>0.2</v>
      </c>
      <c r="X133" s="4">
        <f>Table1[[#This Row],[Total Shipping]]*Table1[[#This Row],[VAT on Shipping]]</f>
        <v>180</v>
      </c>
      <c r="Y133" s="1">
        <f>Table1[[#This Row],[Revenue]]-Table1[[#This Row],[COGS]]</f>
        <v>2391</v>
      </c>
      <c r="Z133" s="3">
        <f>(Table1[[#This Row],[Profit]]/Table1[[#This Row],[Revenue]])</f>
        <v>0.30689256834809397</v>
      </c>
      <c r="AA133" s="1">
        <f>Table1[[#This Row],[Profit]]-Table1[[#This Row],[Total Shipping]]</f>
        <v>1491</v>
      </c>
      <c r="AB133" s="3">
        <f>Table1[[#This Row],[Operating Profit]]/Table1[[#This Row],[Revenue]]</f>
        <v>0.19137466307277629</v>
      </c>
    </row>
    <row r="134" spans="1:28" x14ac:dyDescent="0.25">
      <c r="A134" t="s">
        <v>136</v>
      </c>
      <c r="B134">
        <v>678</v>
      </c>
      <c r="C134" t="s">
        <v>62</v>
      </c>
      <c r="D134" t="s">
        <v>57</v>
      </c>
      <c r="E134" t="s">
        <v>49</v>
      </c>
      <c r="F134" t="s">
        <v>119</v>
      </c>
      <c r="G134" t="str" cm="1">
        <f t="array" ref="G134">_xlfn.SWITCH(F134,"Acme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134" t="s">
        <v>33</v>
      </c>
      <c r="I134" t="s">
        <v>52</v>
      </c>
      <c r="J134" t="str" cm="1">
        <f t="array" ref="J134">_xlfn.SWITCH(I134,"P001","Laptop","P002","Server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34" s="1" cm="1">
        <f t="array" ref="K134">_xlfn.SWITCH(Table1[[#This Row],[Product ID]],"P001",220,"P002",150,"P003",130,"P004",70,"P005",200,"P006",40,"P007",25,"P008",20,"P009",190,"P010",530)</f>
        <v>130</v>
      </c>
      <c r="L134">
        <v>6</v>
      </c>
      <c r="M134" s="1">
        <f>Table1[[#This Row],[Unit Price]]*Table1[[#This Row],[Quantity]]</f>
        <v>780</v>
      </c>
      <c r="N134" s="2">
        <v>0.03</v>
      </c>
      <c r="O134" s="1">
        <f>Table1[[#This Row],[Gross Value]]*(1-Table1[[#This Row],[Discount]])</f>
        <v>756.6</v>
      </c>
      <c r="P134" s="2">
        <v>0.2</v>
      </c>
      <c r="Q134" s="1">
        <f>Table1[[#This Row],[Revenue]]*Table1[[#This Row],[VAT Rate]]</f>
        <v>151.32000000000002</v>
      </c>
      <c r="R134" s="1">
        <f>Table1[[#This Row],[Revenue]]+Table1[[#This Row],[VAT Charged]]</f>
        <v>907.92000000000007</v>
      </c>
      <c r="S134" s="1" cm="1">
        <f t="array" ref="S134">_xlfn.SWITCH(Table1[[#This Row],[Product ID]],"P001",140,"P002",80,"P003",72,"P004",30,"P005",110,"P006",24,"P007",14,"P008",12,"P009",115,"P010",360)</f>
        <v>72</v>
      </c>
      <c r="T134" s="1" cm="1">
        <f t="array" ref="T134">(_xlfn.SWITCH(Table1[[#This Row],[Product ID]],"P001",140,"P002",80,"P003",72,"P004",30,"P005",110,"P006",24,"P007",14,"P008",12,"P009",115,"P010",360))*Table1[[#This Row],[Quantity]]</f>
        <v>432</v>
      </c>
      <c r="U134" s="1" cm="1">
        <f t="array" ref="U134">_xlfn.SWITCH(Table1[[#This Row],[Product ID]],"P001",15,"P002",0,"P003",8,"P004",8,"P005",0,"P006",7,"P007",7,"P008",6,"P009",45,"P010",60)</f>
        <v>8</v>
      </c>
      <c r="V134" s="1">
        <f>Table1[[#This Row],[Shipping per Unit]]*Table1[[#This Row],[Quantity]]</f>
        <v>48</v>
      </c>
      <c r="W134" s="2">
        <f>IF(Table1[[#This Row],[Total Shipping]]&gt;0.1,0.2,0)</f>
        <v>0.2</v>
      </c>
      <c r="X134" s="4">
        <f>Table1[[#This Row],[Total Shipping]]*Table1[[#This Row],[VAT on Shipping]]</f>
        <v>9.6000000000000014</v>
      </c>
      <c r="Y134" s="1">
        <f>Table1[[#This Row],[Revenue]]-Table1[[#This Row],[COGS]]</f>
        <v>324.60000000000002</v>
      </c>
      <c r="Z134" s="3">
        <f>(Table1[[#This Row],[Profit]]/Table1[[#This Row],[Revenue]])</f>
        <v>0.42902458366375895</v>
      </c>
      <c r="AA134" s="1">
        <f>Table1[[#This Row],[Profit]]-Table1[[#This Row],[Total Shipping]]</f>
        <v>276.60000000000002</v>
      </c>
      <c r="AB134" s="3">
        <f>Table1[[#This Row],[Operating Profit]]/Table1[[#This Row],[Revenue]]</f>
        <v>0.36558287073750995</v>
      </c>
    </row>
    <row r="135" spans="1:28" x14ac:dyDescent="0.25">
      <c r="A135" t="s">
        <v>136</v>
      </c>
      <c r="B135">
        <v>988</v>
      </c>
      <c r="C135" t="s">
        <v>65</v>
      </c>
      <c r="D135" t="s">
        <v>72</v>
      </c>
      <c r="E135" t="s">
        <v>49</v>
      </c>
      <c r="F135" t="s">
        <v>74</v>
      </c>
      <c r="G135" t="str" cm="1">
        <f t="array" ref="G135">_xlfn.SWITCH(F135,"Acme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135" t="s">
        <v>104</v>
      </c>
      <c r="I135" t="s">
        <v>34</v>
      </c>
      <c r="J135" t="str" cm="1">
        <f t="array" ref="J135">_xlfn.SWITCH(I135,"P001","Laptop","P002","Server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35" s="1" cm="1">
        <f t="array" ref="K135">_xlfn.SWITCH(Table1[[#This Row],[Product ID]],"P001",220,"P002",150,"P003",130,"P004",70,"P005",200,"P006",40,"P007",25,"P008",20,"P009",190,"P010",530)</f>
        <v>20</v>
      </c>
      <c r="L135">
        <v>20</v>
      </c>
      <c r="M135" s="1">
        <f>Table1[[#This Row],[Unit Price]]*Table1[[#This Row],[Quantity]]</f>
        <v>400</v>
      </c>
      <c r="N135" s="2">
        <v>0.03</v>
      </c>
      <c r="O135" s="1">
        <f>Table1[[#This Row],[Gross Value]]*(1-Table1[[#This Row],[Discount]])</f>
        <v>388</v>
      </c>
      <c r="P135" s="2">
        <v>0.2</v>
      </c>
      <c r="Q135" s="1">
        <f>Table1[[#This Row],[Revenue]]*Table1[[#This Row],[VAT Rate]]</f>
        <v>77.600000000000009</v>
      </c>
      <c r="R135" s="1">
        <f>Table1[[#This Row],[Revenue]]+Table1[[#This Row],[VAT Charged]]</f>
        <v>465.6</v>
      </c>
      <c r="S135" s="1" cm="1">
        <f t="array" ref="S135">_xlfn.SWITCH(Table1[[#This Row],[Product ID]],"P001",140,"P002",80,"P003",72,"P004",30,"P005",110,"P006",24,"P007",14,"P008",12,"P009",115,"P010",360)</f>
        <v>12</v>
      </c>
      <c r="T135" s="1" cm="1">
        <f t="array" ref="T135">(_xlfn.SWITCH(Table1[[#This Row],[Product ID]],"P001",140,"P002",80,"P003",72,"P004",30,"P005",110,"P006",24,"P007",14,"P008",12,"P009",115,"P010",360))*Table1[[#This Row],[Quantity]]</f>
        <v>240</v>
      </c>
      <c r="U135" s="1" cm="1">
        <f t="array" ref="U135">_xlfn.SWITCH(Table1[[#This Row],[Product ID]],"P001",15,"P002",0,"P003",8,"P004",8,"P005",0,"P006",7,"P007",7,"P008",6,"P009",45,"P010",60)</f>
        <v>6</v>
      </c>
      <c r="V135" s="1">
        <f>Table1[[#This Row],[Shipping per Unit]]*Table1[[#This Row],[Quantity]]</f>
        <v>120</v>
      </c>
      <c r="W135" s="2">
        <f>IF(Table1[[#This Row],[Total Shipping]]&gt;0.1,0.2,0)</f>
        <v>0.2</v>
      </c>
      <c r="X135" s="4">
        <f>Table1[[#This Row],[Total Shipping]]*Table1[[#This Row],[VAT on Shipping]]</f>
        <v>24</v>
      </c>
      <c r="Y135" s="1">
        <f>Table1[[#This Row],[Revenue]]-Table1[[#This Row],[COGS]]</f>
        <v>148</v>
      </c>
      <c r="Z135" s="3">
        <f>(Table1[[#This Row],[Profit]]/Table1[[#This Row],[Revenue]])</f>
        <v>0.38144329896907214</v>
      </c>
      <c r="AA135" s="1">
        <f>Table1[[#This Row],[Profit]]-Table1[[#This Row],[Total Shipping]]</f>
        <v>28</v>
      </c>
      <c r="AB135" s="3">
        <f>Table1[[#This Row],[Operating Profit]]/Table1[[#This Row],[Revenue]]</f>
        <v>7.2164948453608241E-2</v>
      </c>
    </row>
    <row r="136" spans="1:28" x14ac:dyDescent="0.25">
      <c r="A136" t="s">
        <v>137</v>
      </c>
      <c r="B136">
        <v>108</v>
      </c>
      <c r="C136" t="s">
        <v>56</v>
      </c>
      <c r="D136" t="s">
        <v>53</v>
      </c>
      <c r="E136" t="s">
        <v>40</v>
      </c>
      <c r="F136" t="s">
        <v>102</v>
      </c>
      <c r="G136" t="str" cm="1">
        <f t="array" ref="G136">_xlfn.SWITCH(F136,"Acme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136" t="s">
        <v>33</v>
      </c>
      <c r="I136" t="s">
        <v>75</v>
      </c>
      <c r="J136" t="str" cm="1">
        <f t="array" ref="J136">_xlfn.SWITCH(I136,"P001","Laptop","P002","Server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136" s="1" cm="1">
        <f t="array" ref="K136">_xlfn.SWITCH(Table1[[#This Row],[Product ID]],"P001",220,"P002",150,"P003",130,"P004",70,"P005",200,"P006",40,"P007",25,"P008",20,"P009",190,"P010",530)</f>
        <v>200</v>
      </c>
      <c r="L136">
        <v>6</v>
      </c>
      <c r="M136" s="1">
        <f>Table1[[#This Row],[Unit Price]]*Table1[[#This Row],[Quantity]]</f>
        <v>1200</v>
      </c>
      <c r="N136" s="2">
        <v>7.0000000000000007E-2</v>
      </c>
      <c r="O136" s="1">
        <f>Table1[[#This Row],[Gross Value]]*(1-Table1[[#This Row],[Discount]])</f>
        <v>1116</v>
      </c>
      <c r="P136" s="2">
        <v>0.2</v>
      </c>
      <c r="Q136" s="1">
        <f>Table1[[#This Row],[Revenue]]*Table1[[#This Row],[VAT Rate]]</f>
        <v>223.20000000000002</v>
      </c>
      <c r="R136" s="1">
        <f>Table1[[#This Row],[Revenue]]+Table1[[#This Row],[VAT Charged]]</f>
        <v>1339.2</v>
      </c>
      <c r="S136" s="1" cm="1">
        <f t="array" ref="S136">_xlfn.SWITCH(Table1[[#This Row],[Product ID]],"P001",140,"P002",80,"P003",72,"P004",30,"P005",110,"P006",24,"P007",14,"P008",12,"P009",115,"P010",360)</f>
        <v>110</v>
      </c>
      <c r="T136" s="1" cm="1">
        <f t="array" ref="T136">(_xlfn.SWITCH(Table1[[#This Row],[Product ID]],"P001",140,"P002",80,"P003",72,"P004",30,"P005",110,"P006",24,"P007",14,"P008",12,"P009",115,"P010",360))*Table1[[#This Row],[Quantity]]</f>
        <v>660</v>
      </c>
      <c r="U136" s="1" cm="1">
        <f t="array" ref="U136">_xlfn.SWITCH(Table1[[#This Row],[Product ID]],"P001",15,"P002",0,"P003",8,"P004",8,"P005",0,"P006",7,"P007",7,"P008",6,"P009",45,"P010",60)</f>
        <v>0</v>
      </c>
      <c r="V136" s="1">
        <f>Table1[[#This Row],[Shipping per Unit]]*Table1[[#This Row],[Quantity]]</f>
        <v>0</v>
      </c>
      <c r="W136" s="2">
        <f>IF(Table1[[#This Row],[Total Shipping]]&gt;0.1,0.2,0)</f>
        <v>0</v>
      </c>
      <c r="X136" s="4">
        <f>Table1[[#This Row],[Total Shipping]]*Table1[[#This Row],[VAT on Shipping]]</f>
        <v>0</v>
      </c>
      <c r="Y136" s="1">
        <f>Table1[[#This Row],[Revenue]]-Table1[[#This Row],[COGS]]</f>
        <v>456</v>
      </c>
      <c r="Z136" s="3">
        <f>(Table1[[#This Row],[Profit]]/Table1[[#This Row],[Revenue]])</f>
        <v>0.40860215053763443</v>
      </c>
      <c r="AA136" s="1">
        <f>Table1[[#This Row],[Profit]]-Table1[[#This Row],[Total Shipping]]</f>
        <v>456</v>
      </c>
      <c r="AB136" s="3">
        <f>Table1[[#This Row],[Operating Profit]]/Table1[[#This Row],[Revenue]]</f>
        <v>0.40860215053763443</v>
      </c>
    </row>
    <row r="137" spans="1:28" x14ac:dyDescent="0.25">
      <c r="A137" t="s">
        <v>137</v>
      </c>
      <c r="B137">
        <v>259</v>
      </c>
      <c r="C137" t="s">
        <v>29</v>
      </c>
      <c r="D137" t="s">
        <v>30</v>
      </c>
      <c r="E137" t="s">
        <v>49</v>
      </c>
      <c r="F137" t="s">
        <v>41</v>
      </c>
      <c r="G137" t="str" cm="1">
        <f t="array" ref="G137">_xlfn.SWITCH(F137,"Acme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137" t="s">
        <v>58</v>
      </c>
      <c r="I137" t="s">
        <v>46</v>
      </c>
      <c r="J137" t="str" cm="1">
        <f t="array" ref="J137">_xlfn.SWITCH(I137,"P001","Laptop","P002","Server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37" s="1" cm="1">
        <f t="array" ref="K137">_xlfn.SWITCH(Table1[[#This Row],[Product ID]],"P001",220,"P002",150,"P003",130,"P004",70,"P005",200,"P006",40,"P007",25,"P008",20,"P009",190,"P010",530)</f>
        <v>530</v>
      </c>
      <c r="L137">
        <v>19</v>
      </c>
      <c r="M137" s="1">
        <f>Table1[[#This Row],[Unit Price]]*Table1[[#This Row],[Quantity]]</f>
        <v>10070</v>
      </c>
      <c r="N137" s="2">
        <v>0.02</v>
      </c>
      <c r="O137" s="1">
        <f>Table1[[#This Row],[Gross Value]]*(1-Table1[[#This Row],[Discount]])</f>
        <v>9868.6</v>
      </c>
      <c r="P137" s="2">
        <v>0.2</v>
      </c>
      <c r="Q137" s="1">
        <f>Table1[[#This Row],[Revenue]]*Table1[[#This Row],[VAT Rate]]</f>
        <v>1973.7200000000003</v>
      </c>
      <c r="R137" s="1">
        <f>Table1[[#This Row],[Revenue]]+Table1[[#This Row],[VAT Charged]]</f>
        <v>11842.32</v>
      </c>
      <c r="S137" s="1" cm="1">
        <f t="array" ref="S137">_xlfn.SWITCH(Table1[[#This Row],[Product ID]],"P001",140,"P002",80,"P003",72,"P004",30,"P005",110,"P006",24,"P007",14,"P008",12,"P009",115,"P010",360)</f>
        <v>360</v>
      </c>
      <c r="T137" s="1" cm="1">
        <f t="array" ref="T137">(_xlfn.SWITCH(Table1[[#This Row],[Product ID]],"P001",140,"P002",80,"P003",72,"P004",30,"P005",110,"P006",24,"P007",14,"P008",12,"P009",115,"P010",360))*Table1[[#This Row],[Quantity]]</f>
        <v>6840</v>
      </c>
      <c r="U137" s="1" cm="1">
        <f t="array" ref="U137">_xlfn.SWITCH(Table1[[#This Row],[Product ID]],"P001",15,"P002",0,"P003",8,"P004",8,"P005",0,"P006",7,"P007",7,"P008",6,"P009",45,"P010",60)</f>
        <v>60</v>
      </c>
      <c r="V137" s="1">
        <f>Table1[[#This Row],[Shipping per Unit]]*Table1[[#This Row],[Quantity]]</f>
        <v>1140</v>
      </c>
      <c r="W137" s="2">
        <f>IF(Table1[[#This Row],[Total Shipping]]&gt;0.1,0.2,0)</f>
        <v>0.2</v>
      </c>
      <c r="X137" s="4">
        <f>Table1[[#This Row],[Total Shipping]]*Table1[[#This Row],[VAT on Shipping]]</f>
        <v>228</v>
      </c>
      <c r="Y137" s="1">
        <f>Table1[[#This Row],[Revenue]]-Table1[[#This Row],[COGS]]</f>
        <v>3028.6000000000004</v>
      </c>
      <c r="Z137" s="3">
        <f>(Table1[[#This Row],[Profit]]/Table1[[#This Row],[Revenue]])</f>
        <v>0.30689256834809397</v>
      </c>
      <c r="AA137" s="1">
        <f>Table1[[#This Row],[Profit]]-Table1[[#This Row],[Total Shipping]]</f>
        <v>1888.6000000000004</v>
      </c>
      <c r="AB137" s="3">
        <f>Table1[[#This Row],[Operating Profit]]/Table1[[#This Row],[Revenue]]</f>
        <v>0.19137466307277631</v>
      </c>
    </row>
    <row r="138" spans="1:28" x14ac:dyDescent="0.25">
      <c r="A138" t="s">
        <v>137</v>
      </c>
      <c r="B138">
        <v>280</v>
      </c>
      <c r="C138" t="s">
        <v>65</v>
      </c>
      <c r="D138" t="s">
        <v>53</v>
      </c>
      <c r="E138" t="s">
        <v>40</v>
      </c>
      <c r="F138" t="s">
        <v>59</v>
      </c>
      <c r="G138" t="str" cm="1">
        <f t="array" ref="G138">_xlfn.SWITCH(F138,"Acme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138" t="s">
        <v>33</v>
      </c>
      <c r="I138" t="s">
        <v>60</v>
      </c>
      <c r="J138" t="str" cm="1">
        <f t="array" ref="J138">_xlfn.SWITCH(I138,"P001","Laptop","P002","Server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138" s="1" cm="1">
        <f t="array" ref="K138">_xlfn.SWITCH(Table1[[#This Row],[Product ID]],"P001",220,"P002",150,"P003",130,"P004",70,"P005",200,"P006",40,"P007",25,"P008",20,"P009",190,"P010",530)</f>
        <v>25</v>
      </c>
      <c r="L138">
        <v>19</v>
      </c>
      <c r="M138" s="1">
        <f>Table1[[#This Row],[Unit Price]]*Table1[[#This Row],[Quantity]]</f>
        <v>475</v>
      </c>
      <c r="N138" s="2">
        <v>0.02</v>
      </c>
      <c r="O138" s="1">
        <f>Table1[[#This Row],[Gross Value]]*(1-Table1[[#This Row],[Discount]])</f>
        <v>465.5</v>
      </c>
      <c r="P138" s="2">
        <v>0.2</v>
      </c>
      <c r="Q138" s="1">
        <f>Table1[[#This Row],[Revenue]]*Table1[[#This Row],[VAT Rate]]</f>
        <v>93.100000000000009</v>
      </c>
      <c r="R138" s="1">
        <f>Table1[[#This Row],[Revenue]]+Table1[[#This Row],[VAT Charged]]</f>
        <v>558.6</v>
      </c>
      <c r="S138" s="1" cm="1">
        <f t="array" ref="S138">_xlfn.SWITCH(Table1[[#This Row],[Product ID]],"P001",140,"P002",80,"P003",72,"P004",30,"P005",110,"P006",24,"P007",14,"P008",12,"P009",115,"P010",360)</f>
        <v>14</v>
      </c>
      <c r="T138" s="1" cm="1">
        <f t="array" ref="T138">(_xlfn.SWITCH(Table1[[#This Row],[Product ID]],"P001",140,"P002",80,"P003",72,"P004",30,"P005",110,"P006",24,"P007",14,"P008",12,"P009",115,"P010",360))*Table1[[#This Row],[Quantity]]</f>
        <v>266</v>
      </c>
      <c r="U138" s="1" cm="1">
        <f t="array" ref="U138">_xlfn.SWITCH(Table1[[#This Row],[Product ID]],"P001",15,"P002",0,"P003",8,"P004",8,"P005",0,"P006",7,"P007",7,"P008",6,"P009",45,"P010",60)</f>
        <v>7</v>
      </c>
      <c r="V138" s="1">
        <f>Table1[[#This Row],[Shipping per Unit]]*Table1[[#This Row],[Quantity]]</f>
        <v>133</v>
      </c>
      <c r="W138" s="2">
        <f>IF(Table1[[#This Row],[Total Shipping]]&gt;0.1,0.2,0)</f>
        <v>0.2</v>
      </c>
      <c r="X138" s="4">
        <f>Table1[[#This Row],[Total Shipping]]*Table1[[#This Row],[VAT on Shipping]]</f>
        <v>26.6</v>
      </c>
      <c r="Y138" s="1">
        <f>Table1[[#This Row],[Revenue]]-Table1[[#This Row],[COGS]]</f>
        <v>199.5</v>
      </c>
      <c r="Z138" s="3">
        <f>(Table1[[#This Row],[Profit]]/Table1[[#This Row],[Revenue]])</f>
        <v>0.42857142857142855</v>
      </c>
      <c r="AA138" s="1">
        <f>Table1[[#This Row],[Profit]]-Table1[[#This Row],[Total Shipping]]</f>
        <v>66.5</v>
      </c>
      <c r="AB138" s="3">
        <f>Table1[[#This Row],[Operating Profit]]/Table1[[#This Row],[Revenue]]</f>
        <v>0.14285714285714285</v>
      </c>
    </row>
    <row r="139" spans="1:28" x14ac:dyDescent="0.25">
      <c r="A139" t="s">
        <v>137</v>
      </c>
      <c r="B139">
        <v>396</v>
      </c>
      <c r="C139" t="s">
        <v>65</v>
      </c>
      <c r="D139" t="s">
        <v>39</v>
      </c>
      <c r="E139" t="s">
        <v>49</v>
      </c>
      <c r="F139" t="s">
        <v>126</v>
      </c>
      <c r="G139" t="str" cm="1">
        <f t="array" ref="G139">_xlfn.SWITCH(F139,"Acme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139" t="s">
        <v>69</v>
      </c>
      <c r="I139" t="s">
        <v>68</v>
      </c>
      <c r="J139" t="str" cm="1">
        <f t="array" ref="J139">_xlfn.SWITCH(I139,"P001","Laptop","P002","Server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39" s="1" cm="1">
        <f t="array" ref="K139">_xlfn.SWITCH(Table1[[#This Row],[Product ID]],"P001",220,"P002",150,"P003",130,"P004",70,"P005",200,"P006",40,"P007",25,"P008",20,"P009",190,"P010",530)</f>
        <v>220</v>
      </c>
      <c r="L139">
        <v>19</v>
      </c>
      <c r="M139" s="1">
        <f>Table1[[#This Row],[Unit Price]]*Table1[[#This Row],[Quantity]]</f>
        <v>4180</v>
      </c>
      <c r="N139" s="2">
        <v>0.02</v>
      </c>
      <c r="O139" s="1">
        <f>Table1[[#This Row],[Gross Value]]*(1-Table1[[#This Row],[Discount]])</f>
        <v>4096.3999999999996</v>
      </c>
      <c r="P139" s="2">
        <v>0.2</v>
      </c>
      <c r="Q139" s="1">
        <f>Table1[[#This Row],[Revenue]]*Table1[[#This Row],[VAT Rate]]</f>
        <v>819.28</v>
      </c>
      <c r="R139" s="1">
        <f>Table1[[#This Row],[Revenue]]+Table1[[#This Row],[VAT Charged]]</f>
        <v>4915.6799999999994</v>
      </c>
      <c r="S139" s="1" cm="1">
        <f t="array" ref="S139">_xlfn.SWITCH(Table1[[#This Row],[Product ID]],"P001",140,"P002",80,"P003",72,"P004",30,"P005",110,"P006",24,"P007",14,"P008",12,"P009",115,"P010",360)</f>
        <v>140</v>
      </c>
      <c r="T139" s="1" cm="1">
        <f t="array" ref="T139">(_xlfn.SWITCH(Table1[[#This Row],[Product ID]],"P001",140,"P002",80,"P003",72,"P004",30,"P005",110,"P006",24,"P007",14,"P008",12,"P009",115,"P010",360))*Table1[[#This Row],[Quantity]]</f>
        <v>2660</v>
      </c>
      <c r="U139" s="1" cm="1">
        <f t="array" ref="U139">_xlfn.SWITCH(Table1[[#This Row],[Product ID]],"P001",15,"P002",0,"P003",8,"P004",8,"P005",0,"P006",7,"P007",7,"P008",6,"P009",45,"P010",60)</f>
        <v>15</v>
      </c>
      <c r="V139" s="1">
        <f>Table1[[#This Row],[Shipping per Unit]]*Table1[[#This Row],[Quantity]]</f>
        <v>285</v>
      </c>
      <c r="W139" s="2">
        <f>IF(Table1[[#This Row],[Total Shipping]]&gt;0.1,0.2,0)</f>
        <v>0.2</v>
      </c>
      <c r="X139" s="4">
        <f>Table1[[#This Row],[Total Shipping]]*Table1[[#This Row],[VAT on Shipping]]</f>
        <v>57</v>
      </c>
      <c r="Y139" s="1">
        <f>Table1[[#This Row],[Revenue]]-Table1[[#This Row],[COGS]]</f>
        <v>1436.3999999999996</v>
      </c>
      <c r="Z139" s="3">
        <f>(Table1[[#This Row],[Profit]]/Table1[[#This Row],[Revenue]])</f>
        <v>0.3506493506493506</v>
      </c>
      <c r="AA139" s="1">
        <f>Table1[[#This Row],[Profit]]-Table1[[#This Row],[Total Shipping]]</f>
        <v>1151.3999999999996</v>
      </c>
      <c r="AB139" s="3">
        <f>Table1[[#This Row],[Operating Profit]]/Table1[[#This Row],[Revenue]]</f>
        <v>0.28107606679035246</v>
      </c>
    </row>
    <row r="140" spans="1:28" x14ac:dyDescent="0.25">
      <c r="A140" t="s">
        <v>137</v>
      </c>
      <c r="B140">
        <v>500</v>
      </c>
      <c r="C140" t="s">
        <v>35</v>
      </c>
      <c r="D140" t="s">
        <v>72</v>
      </c>
      <c r="E140" t="s">
        <v>31</v>
      </c>
      <c r="F140" t="s">
        <v>37</v>
      </c>
      <c r="G140" t="str" cm="1">
        <f t="array" ref="G140">_xlfn.SWITCH(F140,"Acme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140" t="s">
        <v>33</v>
      </c>
      <c r="I140" t="s">
        <v>60</v>
      </c>
      <c r="J140" t="str" cm="1">
        <f t="array" ref="J140">_xlfn.SWITCH(I140,"P001","Laptop","P002","Server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140" s="1" cm="1">
        <f t="array" ref="K140">_xlfn.SWITCH(Table1[[#This Row],[Product ID]],"P001",220,"P002",150,"P003",130,"P004",70,"P005",200,"P006",40,"P007",25,"P008",20,"P009",190,"P010",530)</f>
        <v>25</v>
      </c>
      <c r="L140">
        <v>10</v>
      </c>
      <c r="M140" s="1">
        <f>Table1[[#This Row],[Unit Price]]*Table1[[#This Row],[Quantity]]</f>
        <v>250</v>
      </c>
      <c r="N140" s="2">
        <v>0.1</v>
      </c>
      <c r="O140" s="1">
        <f>Table1[[#This Row],[Gross Value]]*(1-Table1[[#This Row],[Discount]])</f>
        <v>225</v>
      </c>
      <c r="P140" s="2">
        <v>0.2</v>
      </c>
      <c r="Q140" s="1">
        <f>Table1[[#This Row],[Revenue]]*Table1[[#This Row],[VAT Rate]]</f>
        <v>45</v>
      </c>
      <c r="R140" s="1">
        <f>Table1[[#This Row],[Revenue]]+Table1[[#This Row],[VAT Charged]]</f>
        <v>270</v>
      </c>
      <c r="S140" s="1" cm="1">
        <f t="array" ref="S140">_xlfn.SWITCH(Table1[[#This Row],[Product ID]],"P001",140,"P002",80,"P003",72,"P004",30,"P005",110,"P006",24,"P007",14,"P008",12,"P009",115,"P010",360)</f>
        <v>14</v>
      </c>
      <c r="T140" s="1" cm="1">
        <f t="array" ref="T140">(_xlfn.SWITCH(Table1[[#This Row],[Product ID]],"P001",140,"P002",80,"P003",72,"P004",30,"P005",110,"P006",24,"P007",14,"P008",12,"P009",115,"P010",360))*Table1[[#This Row],[Quantity]]</f>
        <v>140</v>
      </c>
      <c r="U140" s="1" cm="1">
        <f t="array" ref="U140">_xlfn.SWITCH(Table1[[#This Row],[Product ID]],"P001",15,"P002",0,"P003",8,"P004",8,"P005",0,"P006",7,"P007",7,"P008",6,"P009",45,"P010",60)</f>
        <v>7</v>
      </c>
      <c r="V140" s="1">
        <f>Table1[[#This Row],[Shipping per Unit]]*Table1[[#This Row],[Quantity]]</f>
        <v>70</v>
      </c>
      <c r="W140" s="2">
        <f>IF(Table1[[#This Row],[Total Shipping]]&gt;0.1,0.2,0)</f>
        <v>0.2</v>
      </c>
      <c r="X140" s="4">
        <f>Table1[[#This Row],[Total Shipping]]*Table1[[#This Row],[VAT on Shipping]]</f>
        <v>14</v>
      </c>
      <c r="Y140" s="1">
        <f>Table1[[#This Row],[Revenue]]-Table1[[#This Row],[COGS]]</f>
        <v>85</v>
      </c>
      <c r="Z140" s="3">
        <f>(Table1[[#This Row],[Profit]]/Table1[[#This Row],[Revenue]])</f>
        <v>0.37777777777777777</v>
      </c>
      <c r="AA140" s="1">
        <f>Table1[[#This Row],[Profit]]-Table1[[#This Row],[Total Shipping]]</f>
        <v>15</v>
      </c>
      <c r="AB140" s="3">
        <f>Table1[[#This Row],[Operating Profit]]/Table1[[#This Row],[Revenue]]</f>
        <v>6.6666666666666666E-2</v>
      </c>
    </row>
    <row r="141" spans="1:28" x14ac:dyDescent="0.25">
      <c r="A141" t="s">
        <v>138</v>
      </c>
      <c r="B141">
        <v>299</v>
      </c>
      <c r="C141" t="s">
        <v>29</v>
      </c>
      <c r="D141" t="s">
        <v>39</v>
      </c>
      <c r="E141" t="s">
        <v>31</v>
      </c>
      <c r="F141" t="s">
        <v>54</v>
      </c>
      <c r="G141" t="str" cm="1">
        <f t="array" ref="G141">_xlfn.SWITCH(F141,"Acme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141" t="s">
        <v>33</v>
      </c>
      <c r="I141" t="s">
        <v>55</v>
      </c>
      <c r="J141" t="str" cm="1">
        <f t="array" ref="J141">_xlfn.SWITCH(I141,"P001","Laptop","P002","Server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41" s="1" cm="1">
        <f t="array" ref="K141">_xlfn.SWITCH(Table1[[#This Row],[Product ID]],"P001",220,"P002",150,"P003",130,"P004",70,"P005",200,"P006",40,"P007",25,"P008",20,"P009",190,"P010",530)</f>
        <v>70</v>
      </c>
      <c r="L141">
        <v>14</v>
      </c>
      <c r="M141" s="1">
        <f>Table1[[#This Row],[Unit Price]]*Table1[[#This Row],[Quantity]]</f>
        <v>980</v>
      </c>
      <c r="N141" s="2">
        <v>0.05</v>
      </c>
      <c r="O141" s="1">
        <f>Table1[[#This Row],[Gross Value]]*(1-Table1[[#This Row],[Discount]])</f>
        <v>931</v>
      </c>
      <c r="P141" s="2">
        <v>0.2</v>
      </c>
      <c r="Q141" s="1">
        <f>Table1[[#This Row],[Revenue]]*Table1[[#This Row],[VAT Rate]]</f>
        <v>186.20000000000002</v>
      </c>
      <c r="R141" s="1">
        <f>Table1[[#This Row],[Revenue]]+Table1[[#This Row],[VAT Charged]]</f>
        <v>1117.2</v>
      </c>
      <c r="S141" s="1" cm="1">
        <f t="array" ref="S141">_xlfn.SWITCH(Table1[[#This Row],[Product ID]],"P001",140,"P002",80,"P003",72,"P004",30,"P005",110,"P006",24,"P007",14,"P008",12,"P009",115,"P010",360)</f>
        <v>30</v>
      </c>
      <c r="T141" s="1" cm="1">
        <f t="array" ref="T141">(_xlfn.SWITCH(Table1[[#This Row],[Product ID]],"P001",140,"P002",80,"P003",72,"P004",30,"P005",110,"P006",24,"P007",14,"P008",12,"P009",115,"P010",360))*Table1[[#This Row],[Quantity]]</f>
        <v>420</v>
      </c>
      <c r="U141" s="1" cm="1">
        <f t="array" ref="U141">_xlfn.SWITCH(Table1[[#This Row],[Product ID]],"P001",15,"P002",0,"P003",8,"P004",8,"P005",0,"P006",7,"P007",7,"P008",6,"P009",45,"P010",60)</f>
        <v>8</v>
      </c>
      <c r="V141" s="1">
        <f>Table1[[#This Row],[Shipping per Unit]]*Table1[[#This Row],[Quantity]]</f>
        <v>112</v>
      </c>
      <c r="W141" s="2">
        <f>IF(Table1[[#This Row],[Total Shipping]]&gt;0.1,0.2,0)</f>
        <v>0.2</v>
      </c>
      <c r="X141" s="4">
        <f>Table1[[#This Row],[Total Shipping]]*Table1[[#This Row],[VAT on Shipping]]</f>
        <v>22.400000000000002</v>
      </c>
      <c r="Y141" s="1">
        <f>Table1[[#This Row],[Revenue]]-Table1[[#This Row],[COGS]]</f>
        <v>511</v>
      </c>
      <c r="Z141" s="3">
        <f>(Table1[[#This Row],[Profit]]/Table1[[#This Row],[Revenue]])</f>
        <v>0.54887218045112784</v>
      </c>
      <c r="AA141" s="1">
        <f>Table1[[#This Row],[Profit]]-Table1[[#This Row],[Total Shipping]]</f>
        <v>399</v>
      </c>
      <c r="AB141" s="3">
        <f>Table1[[#This Row],[Operating Profit]]/Table1[[#This Row],[Revenue]]</f>
        <v>0.42857142857142855</v>
      </c>
    </row>
    <row r="142" spans="1:28" x14ac:dyDescent="0.25">
      <c r="A142" t="s">
        <v>138</v>
      </c>
      <c r="B142">
        <v>675</v>
      </c>
      <c r="C142" t="s">
        <v>38</v>
      </c>
      <c r="D142" t="s">
        <v>57</v>
      </c>
      <c r="E142" t="s">
        <v>31</v>
      </c>
      <c r="F142" t="s">
        <v>113</v>
      </c>
      <c r="G142" t="str" cm="1">
        <f t="array" ref="G142">_xlfn.SWITCH(F142,"Acme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142" t="s">
        <v>104</v>
      </c>
      <c r="I142" t="s">
        <v>91</v>
      </c>
      <c r="J142" t="str" cm="1">
        <f t="array" ref="J142">_xlfn.SWITCH(I142,"P001","Laptop","P002","Server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142" s="1" cm="1">
        <f t="array" ref="K142">_xlfn.SWITCH(Table1[[#This Row],[Product ID]],"P001",220,"P002",150,"P003",130,"P004",70,"P005",200,"P006",40,"P007",25,"P008",20,"P009",190,"P010",530)</f>
        <v>190</v>
      </c>
      <c r="L142">
        <v>14</v>
      </c>
      <c r="M142" s="1">
        <f>Table1[[#This Row],[Unit Price]]*Table1[[#This Row],[Quantity]]</f>
        <v>2660</v>
      </c>
      <c r="N142" s="2">
        <v>0.02</v>
      </c>
      <c r="O142" s="1">
        <f>Table1[[#This Row],[Gross Value]]*(1-Table1[[#This Row],[Discount]])</f>
        <v>2606.7999999999997</v>
      </c>
      <c r="P142" s="2">
        <v>0.2</v>
      </c>
      <c r="Q142" s="1">
        <f>Table1[[#This Row],[Revenue]]*Table1[[#This Row],[VAT Rate]]</f>
        <v>521.36</v>
      </c>
      <c r="R142" s="1">
        <f>Table1[[#This Row],[Revenue]]+Table1[[#This Row],[VAT Charged]]</f>
        <v>3128.16</v>
      </c>
      <c r="S142" s="1" cm="1">
        <f t="array" ref="S142">_xlfn.SWITCH(Table1[[#This Row],[Product ID]],"P001",140,"P002",80,"P003",72,"P004",30,"P005",110,"P006",24,"P007",14,"P008",12,"P009",115,"P010",360)</f>
        <v>115</v>
      </c>
      <c r="T142" s="1" cm="1">
        <f t="array" ref="T142">(_xlfn.SWITCH(Table1[[#This Row],[Product ID]],"P001",140,"P002",80,"P003",72,"P004",30,"P005",110,"P006",24,"P007",14,"P008",12,"P009",115,"P010",360))*Table1[[#This Row],[Quantity]]</f>
        <v>1610</v>
      </c>
      <c r="U142" s="1" cm="1">
        <f t="array" ref="U142">_xlfn.SWITCH(Table1[[#This Row],[Product ID]],"P001",15,"P002",0,"P003",8,"P004",8,"P005",0,"P006",7,"P007",7,"P008",6,"P009",45,"P010",60)</f>
        <v>45</v>
      </c>
      <c r="V142" s="1">
        <f>Table1[[#This Row],[Shipping per Unit]]*Table1[[#This Row],[Quantity]]</f>
        <v>630</v>
      </c>
      <c r="W142" s="2">
        <f>IF(Table1[[#This Row],[Total Shipping]]&gt;0.1,0.2,0)</f>
        <v>0.2</v>
      </c>
      <c r="X142" s="4">
        <f>Table1[[#This Row],[Total Shipping]]*Table1[[#This Row],[VAT on Shipping]]</f>
        <v>126</v>
      </c>
      <c r="Y142" s="1">
        <f>Table1[[#This Row],[Revenue]]-Table1[[#This Row],[COGS]]</f>
        <v>996.79999999999973</v>
      </c>
      <c r="Z142" s="3">
        <f>(Table1[[#This Row],[Profit]]/Table1[[#This Row],[Revenue]])</f>
        <v>0.38238453276047257</v>
      </c>
      <c r="AA142" s="1">
        <f>Table1[[#This Row],[Profit]]-Table1[[#This Row],[Total Shipping]]</f>
        <v>366.79999999999973</v>
      </c>
      <c r="AB142" s="3">
        <f>Table1[[#This Row],[Operating Profit]]/Table1[[#This Row],[Revenue]]</f>
        <v>0.14070891514500528</v>
      </c>
    </row>
    <row r="143" spans="1:28" x14ac:dyDescent="0.25">
      <c r="A143" t="s">
        <v>139</v>
      </c>
      <c r="B143">
        <v>81</v>
      </c>
      <c r="C143" t="s">
        <v>83</v>
      </c>
      <c r="D143" t="s">
        <v>63</v>
      </c>
      <c r="E143" t="s">
        <v>49</v>
      </c>
      <c r="F143" t="s">
        <v>64</v>
      </c>
      <c r="G143" t="str" cm="1">
        <f t="array" ref="G143">_xlfn.SWITCH(F143,"Acme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43" t="s">
        <v>69</v>
      </c>
      <c r="I143" t="s">
        <v>55</v>
      </c>
      <c r="J143" t="str" cm="1">
        <f t="array" ref="J143">_xlfn.SWITCH(I143,"P001","Laptop","P002","Server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43" s="1" cm="1">
        <f t="array" ref="K143">_xlfn.SWITCH(Table1[[#This Row],[Product ID]],"P001",220,"P002",150,"P003",130,"P004",70,"P005",200,"P006",40,"P007",25,"P008",20,"P009",190,"P010",530)</f>
        <v>70</v>
      </c>
      <c r="L143">
        <v>9</v>
      </c>
      <c r="M143" s="1">
        <f>Table1[[#This Row],[Unit Price]]*Table1[[#This Row],[Quantity]]</f>
        <v>630</v>
      </c>
      <c r="N143" s="2">
        <v>0.06</v>
      </c>
      <c r="O143" s="1">
        <f>Table1[[#This Row],[Gross Value]]*(1-Table1[[#This Row],[Discount]])</f>
        <v>592.19999999999993</v>
      </c>
      <c r="P143" s="2">
        <v>0.2</v>
      </c>
      <c r="Q143" s="1">
        <f>Table1[[#This Row],[Revenue]]*Table1[[#This Row],[VAT Rate]]</f>
        <v>118.44</v>
      </c>
      <c r="R143" s="1">
        <f>Table1[[#This Row],[Revenue]]+Table1[[#This Row],[VAT Charged]]</f>
        <v>710.63999999999987</v>
      </c>
      <c r="S143" s="1" cm="1">
        <f t="array" ref="S143">_xlfn.SWITCH(Table1[[#This Row],[Product ID]],"P001",140,"P002",80,"P003",72,"P004",30,"P005",110,"P006",24,"P007",14,"P008",12,"P009",115,"P010",360)</f>
        <v>30</v>
      </c>
      <c r="T143" s="1" cm="1">
        <f t="array" ref="T143">(_xlfn.SWITCH(Table1[[#This Row],[Product ID]],"P001",140,"P002",80,"P003",72,"P004",30,"P005",110,"P006",24,"P007",14,"P008",12,"P009",115,"P010",360))*Table1[[#This Row],[Quantity]]</f>
        <v>270</v>
      </c>
      <c r="U143" s="1" cm="1">
        <f t="array" ref="U143">_xlfn.SWITCH(Table1[[#This Row],[Product ID]],"P001",15,"P002",0,"P003",8,"P004",8,"P005",0,"P006",7,"P007",7,"P008",6,"P009",45,"P010",60)</f>
        <v>8</v>
      </c>
      <c r="V143" s="1">
        <f>Table1[[#This Row],[Shipping per Unit]]*Table1[[#This Row],[Quantity]]</f>
        <v>72</v>
      </c>
      <c r="W143" s="2">
        <f>IF(Table1[[#This Row],[Total Shipping]]&gt;0.1,0.2,0)</f>
        <v>0.2</v>
      </c>
      <c r="X143" s="4">
        <f>Table1[[#This Row],[Total Shipping]]*Table1[[#This Row],[VAT on Shipping]]</f>
        <v>14.4</v>
      </c>
      <c r="Y143" s="1">
        <f>Table1[[#This Row],[Revenue]]-Table1[[#This Row],[COGS]]</f>
        <v>322.19999999999993</v>
      </c>
      <c r="Z143" s="3">
        <f>(Table1[[#This Row],[Profit]]/Table1[[#This Row],[Revenue]])</f>
        <v>0.54407294832826747</v>
      </c>
      <c r="AA143" s="1">
        <f>Table1[[#This Row],[Profit]]-Table1[[#This Row],[Total Shipping]]</f>
        <v>250.19999999999993</v>
      </c>
      <c r="AB143" s="3">
        <f>Table1[[#This Row],[Operating Profit]]/Table1[[#This Row],[Revenue]]</f>
        <v>0.42249240121580539</v>
      </c>
    </row>
    <row r="144" spans="1:28" x14ac:dyDescent="0.25">
      <c r="A144" t="s">
        <v>139</v>
      </c>
      <c r="B144">
        <v>286</v>
      </c>
      <c r="C144" t="s">
        <v>62</v>
      </c>
      <c r="D144" t="s">
        <v>48</v>
      </c>
      <c r="E144" t="s">
        <v>31</v>
      </c>
      <c r="F144" t="s">
        <v>54</v>
      </c>
      <c r="G144" t="str" cm="1">
        <f t="array" ref="G144">_xlfn.SWITCH(F144,"Acme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144" t="s">
        <v>45</v>
      </c>
      <c r="I144" t="s">
        <v>42</v>
      </c>
      <c r="J144" t="str" cm="1">
        <f t="array" ref="J144">_xlfn.SWITCH(I144,"P001","Laptop","P002","Server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44" s="1" cm="1">
        <f t="array" ref="K144">_xlfn.SWITCH(Table1[[#This Row],[Product ID]],"P001",220,"P002",150,"P003",130,"P004",70,"P005",200,"P006",40,"P007",25,"P008",20,"P009",190,"P010",530)</f>
        <v>40</v>
      </c>
      <c r="L144">
        <v>12</v>
      </c>
      <c r="M144" s="1">
        <f>Table1[[#This Row],[Unit Price]]*Table1[[#This Row],[Quantity]]</f>
        <v>480</v>
      </c>
      <c r="N144" s="2">
        <v>0.1</v>
      </c>
      <c r="O144" s="1">
        <f>Table1[[#This Row],[Gross Value]]*(1-Table1[[#This Row],[Discount]])</f>
        <v>432</v>
      </c>
      <c r="P144" s="2">
        <v>0.2</v>
      </c>
      <c r="Q144" s="1">
        <f>Table1[[#This Row],[Revenue]]*Table1[[#This Row],[VAT Rate]]</f>
        <v>86.4</v>
      </c>
      <c r="R144" s="1">
        <f>Table1[[#This Row],[Revenue]]+Table1[[#This Row],[VAT Charged]]</f>
        <v>518.4</v>
      </c>
      <c r="S144" s="1" cm="1">
        <f t="array" ref="S144">_xlfn.SWITCH(Table1[[#This Row],[Product ID]],"P001",140,"P002",80,"P003",72,"P004",30,"P005",110,"P006",24,"P007",14,"P008",12,"P009",115,"P010",360)</f>
        <v>24</v>
      </c>
      <c r="T144" s="1" cm="1">
        <f t="array" ref="T144">(_xlfn.SWITCH(Table1[[#This Row],[Product ID]],"P001",140,"P002",80,"P003",72,"P004",30,"P005",110,"P006",24,"P007",14,"P008",12,"P009",115,"P010",360))*Table1[[#This Row],[Quantity]]</f>
        <v>288</v>
      </c>
      <c r="U144" s="1" cm="1">
        <f t="array" ref="U144">_xlfn.SWITCH(Table1[[#This Row],[Product ID]],"P001",15,"P002",0,"P003",8,"P004",8,"P005",0,"P006",7,"P007",7,"P008",6,"P009",45,"P010",60)</f>
        <v>7</v>
      </c>
      <c r="V144" s="1">
        <f>Table1[[#This Row],[Shipping per Unit]]*Table1[[#This Row],[Quantity]]</f>
        <v>84</v>
      </c>
      <c r="W144" s="2">
        <f>IF(Table1[[#This Row],[Total Shipping]]&gt;0.1,0.2,0)</f>
        <v>0.2</v>
      </c>
      <c r="X144" s="4">
        <f>Table1[[#This Row],[Total Shipping]]*Table1[[#This Row],[VAT on Shipping]]</f>
        <v>16.8</v>
      </c>
      <c r="Y144" s="1">
        <f>Table1[[#This Row],[Revenue]]-Table1[[#This Row],[COGS]]</f>
        <v>144</v>
      </c>
      <c r="Z144" s="3">
        <f>(Table1[[#This Row],[Profit]]/Table1[[#This Row],[Revenue]])</f>
        <v>0.33333333333333331</v>
      </c>
      <c r="AA144" s="1">
        <f>Table1[[#This Row],[Profit]]-Table1[[#This Row],[Total Shipping]]</f>
        <v>60</v>
      </c>
      <c r="AB144" s="3">
        <f>Table1[[#This Row],[Operating Profit]]/Table1[[#This Row],[Revenue]]</f>
        <v>0.1388888888888889</v>
      </c>
    </row>
    <row r="145" spans="1:28" x14ac:dyDescent="0.25">
      <c r="A145" t="s">
        <v>139</v>
      </c>
      <c r="B145">
        <v>389</v>
      </c>
      <c r="C145" t="s">
        <v>71</v>
      </c>
      <c r="D145" t="s">
        <v>95</v>
      </c>
      <c r="E145" t="s">
        <v>40</v>
      </c>
      <c r="F145" t="s">
        <v>44</v>
      </c>
      <c r="G145" t="str" cm="1">
        <f t="array" ref="G145">_xlfn.SWITCH(F145,"Acme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145" t="s">
        <v>69</v>
      </c>
      <c r="I145" t="s">
        <v>75</v>
      </c>
      <c r="J145" t="str" cm="1">
        <f t="array" ref="J145">_xlfn.SWITCH(I145,"P001","Laptop","P002","Server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145" s="1" cm="1">
        <f t="array" ref="K145">_xlfn.SWITCH(Table1[[#This Row],[Product ID]],"P001",220,"P002",150,"P003",130,"P004",70,"P005",200,"P006",40,"P007",25,"P008",20,"P009",190,"P010",530)</f>
        <v>200</v>
      </c>
      <c r="L145">
        <v>14</v>
      </c>
      <c r="M145" s="1">
        <f>Table1[[#This Row],[Unit Price]]*Table1[[#This Row],[Quantity]]</f>
        <v>2800</v>
      </c>
      <c r="N145" s="2">
        <v>7.0000000000000007E-2</v>
      </c>
      <c r="O145" s="1">
        <f>Table1[[#This Row],[Gross Value]]*(1-Table1[[#This Row],[Discount]])</f>
        <v>2604</v>
      </c>
      <c r="P145" s="2">
        <v>0.2</v>
      </c>
      <c r="Q145" s="1">
        <f>Table1[[#This Row],[Revenue]]*Table1[[#This Row],[VAT Rate]]</f>
        <v>520.80000000000007</v>
      </c>
      <c r="R145" s="1">
        <f>Table1[[#This Row],[Revenue]]+Table1[[#This Row],[VAT Charged]]</f>
        <v>3124.8</v>
      </c>
      <c r="S145" s="1" cm="1">
        <f t="array" ref="S145">_xlfn.SWITCH(Table1[[#This Row],[Product ID]],"P001",140,"P002",80,"P003",72,"P004",30,"P005",110,"P006",24,"P007",14,"P008",12,"P009",115,"P010",360)</f>
        <v>110</v>
      </c>
      <c r="T145" s="1" cm="1">
        <f t="array" ref="T145">(_xlfn.SWITCH(Table1[[#This Row],[Product ID]],"P001",140,"P002",80,"P003",72,"P004",30,"P005",110,"P006",24,"P007",14,"P008",12,"P009",115,"P010",360))*Table1[[#This Row],[Quantity]]</f>
        <v>1540</v>
      </c>
      <c r="U145" s="1" cm="1">
        <f t="array" ref="U145">_xlfn.SWITCH(Table1[[#This Row],[Product ID]],"P001",15,"P002",0,"P003",8,"P004",8,"P005",0,"P006",7,"P007",7,"P008",6,"P009",45,"P010",60)</f>
        <v>0</v>
      </c>
      <c r="V145" s="1">
        <f>Table1[[#This Row],[Shipping per Unit]]*Table1[[#This Row],[Quantity]]</f>
        <v>0</v>
      </c>
      <c r="W145" s="2">
        <f>IF(Table1[[#This Row],[Total Shipping]]&gt;0.1,0.2,0)</f>
        <v>0</v>
      </c>
      <c r="X145" s="4">
        <f>Table1[[#This Row],[Total Shipping]]*Table1[[#This Row],[VAT on Shipping]]</f>
        <v>0</v>
      </c>
      <c r="Y145" s="1">
        <f>Table1[[#This Row],[Revenue]]-Table1[[#This Row],[COGS]]</f>
        <v>1064</v>
      </c>
      <c r="Z145" s="3">
        <f>(Table1[[#This Row],[Profit]]/Table1[[#This Row],[Revenue]])</f>
        <v>0.40860215053763443</v>
      </c>
      <c r="AA145" s="1">
        <f>Table1[[#This Row],[Profit]]-Table1[[#This Row],[Total Shipping]]</f>
        <v>1064</v>
      </c>
      <c r="AB145" s="3">
        <f>Table1[[#This Row],[Operating Profit]]/Table1[[#This Row],[Revenue]]</f>
        <v>0.40860215053763443</v>
      </c>
    </row>
    <row r="146" spans="1:28" x14ac:dyDescent="0.25">
      <c r="A146" t="s">
        <v>139</v>
      </c>
      <c r="B146">
        <v>461</v>
      </c>
      <c r="C146" t="s">
        <v>35</v>
      </c>
      <c r="D146" t="s">
        <v>36</v>
      </c>
      <c r="E146" t="s">
        <v>31</v>
      </c>
      <c r="F146" t="s">
        <v>54</v>
      </c>
      <c r="G146" t="str" cm="1">
        <f t="array" ref="G146">_xlfn.SWITCH(F146,"Acme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146" t="s">
        <v>58</v>
      </c>
      <c r="I146" t="s">
        <v>52</v>
      </c>
      <c r="J146" t="str" cm="1">
        <f t="array" ref="J146">_xlfn.SWITCH(I146,"P001","Laptop","P002","Server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46" s="1" cm="1">
        <f t="array" ref="K146">_xlfn.SWITCH(Table1[[#This Row],[Product ID]],"P001",220,"P002",150,"P003",130,"P004",70,"P005",200,"P006",40,"P007",25,"P008",20,"P009",190,"P010",530)</f>
        <v>130</v>
      </c>
      <c r="L146">
        <v>7</v>
      </c>
      <c r="M146" s="1">
        <f>Table1[[#This Row],[Unit Price]]*Table1[[#This Row],[Quantity]]</f>
        <v>910</v>
      </c>
      <c r="N146" s="2">
        <v>0.03</v>
      </c>
      <c r="O146" s="1">
        <f>Table1[[#This Row],[Gross Value]]*(1-Table1[[#This Row],[Discount]])</f>
        <v>882.69999999999993</v>
      </c>
      <c r="P146" s="2">
        <v>0.2</v>
      </c>
      <c r="Q146" s="1">
        <f>Table1[[#This Row],[Revenue]]*Table1[[#This Row],[VAT Rate]]</f>
        <v>176.54</v>
      </c>
      <c r="R146" s="1">
        <f>Table1[[#This Row],[Revenue]]+Table1[[#This Row],[VAT Charged]]</f>
        <v>1059.24</v>
      </c>
      <c r="S146" s="1" cm="1">
        <f t="array" ref="S146">_xlfn.SWITCH(Table1[[#This Row],[Product ID]],"P001",140,"P002",80,"P003",72,"P004",30,"P005",110,"P006",24,"P007",14,"P008",12,"P009",115,"P010",360)</f>
        <v>72</v>
      </c>
      <c r="T146" s="1" cm="1">
        <f t="array" ref="T146">(_xlfn.SWITCH(Table1[[#This Row],[Product ID]],"P001",140,"P002",80,"P003",72,"P004",30,"P005",110,"P006",24,"P007",14,"P008",12,"P009",115,"P010",360))*Table1[[#This Row],[Quantity]]</f>
        <v>504</v>
      </c>
      <c r="U146" s="1" cm="1">
        <f t="array" ref="U146">_xlfn.SWITCH(Table1[[#This Row],[Product ID]],"P001",15,"P002",0,"P003",8,"P004",8,"P005",0,"P006",7,"P007",7,"P008",6,"P009",45,"P010",60)</f>
        <v>8</v>
      </c>
      <c r="V146" s="1">
        <f>Table1[[#This Row],[Shipping per Unit]]*Table1[[#This Row],[Quantity]]</f>
        <v>56</v>
      </c>
      <c r="W146" s="2">
        <f>IF(Table1[[#This Row],[Total Shipping]]&gt;0.1,0.2,0)</f>
        <v>0.2</v>
      </c>
      <c r="X146" s="4">
        <f>Table1[[#This Row],[Total Shipping]]*Table1[[#This Row],[VAT on Shipping]]</f>
        <v>11.200000000000001</v>
      </c>
      <c r="Y146" s="1">
        <f>Table1[[#This Row],[Revenue]]-Table1[[#This Row],[COGS]]</f>
        <v>378.69999999999993</v>
      </c>
      <c r="Z146" s="3">
        <f>(Table1[[#This Row],[Profit]]/Table1[[#This Row],[Revenue]])</f>
        <v>0.4290245836637589</v>
      </c>
      <c r="AA146" s="1">
        <f>Table1[[#This Row],[Profit]]-Table1[[#This Row],[Total Shipping]]</f>
        <v>322.69999999999993</v>
      </c>
      <c r="AB146" s="3">
        <f>Table1[[#This Row],[Operating Profit]]/Table1[[#This Row],[Revenue]]</f>
        <v>0.36558287073750989</v>
      </c>
    </row>
    <row r="147" spans="1:28" x14ac:dyDescent="0.25">
      <c r="A147" t="s">
        <v>139</v>
      </c>
      <c r="B147">
        <v>855</v>
      </c>
      <c r="C147" t="s">
        <v>65</v>
      </c>
      <c r="D147" t="s">
        <v>95</v>
      </c>
      <c r="E147" t="s">
        <v>49</v>
      </c>
      <c r="F147" t="s">
        <v>90</v>
      </c>
      <c r="G147" t="str" cm="1">
        <f t="array" ref="G147">_xlfn.SWITCH(F147,"Acme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147" t="s">
        <v>58</v>
      </c>
      <c r="I147" t="s">
        <v>55</v>
      </c>
      <c r="J147" t="str" cm="1">
        <f t="array" ref="J147">_xlfn.SWITCH(I147,"P001","Laptop","P002","Server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47" s="1" cm="1">
        <f t="array" ref="K147">_xlfn.SWITCH(Table1[[#This Row],[Product ID]],"P001",220,"P002",150,"P003",130,"P004",70,"P005",200,"P006",40,"P007",25,"P008",20,"P009",190,"P010",530)</f>
        <v>70</v>
      </c>
      <c r="L147">
        <v>3</v>
      </c>
      <c r="M147" s="1">
        <f>Table1[[#This Row],[Unit Price]]*Table1[[#This Row],[Quantity]]</f>
        <v>210</v>
      </c>
      <c r="N147" s="2">
        <v>0.08</v>
      </c>
      <c r="O147" s="1">
        <f>Table1[[#This Row],[Gross Value]]*(1-Table1[[#This Row],[Discount]])</f>
        <v>193.20000000000002</v>
      </c>
      <c r="P147" s="2">
        <v>0.2</v>
      </c>
      <c r="Q147" s="1">
        <f>Table1[[#This Row],[Revenue]]*Table1[[#This Row],[VAT Rate]]</f>
        <v>38.640000000000008</v>
      </c>
      <c r="R147" s="1">
        <f>Table1[[#This Row],[Revenue]]+Table1[[#This Row],[VAT Charged]]</f>
        <v>231.84000000000003</v>
      </c>
      <c r="S147" s="1" cm="1">
        <f t="array" ref="S147">_xlfn.SWITCH(Table1[[#This Row],[Product ID]],"P001",140,"P002",80,"P003",72,"P004",30,"P005",110,"P006",24,"P007",14,"P008",12,"P009",115,"P010",360)</f>
        <v>30</v>
      </c>
      <c r="T147" s="1" cm="1">
        <f t="array" ref="T147">(_xlfn.SWITCH(Table1[[#This Row],[Product ID]],"P001",140,"P002",80,"P003",72,"P004",30,"P005",110,"P006",24,"P007",14,"P008",12,"P009",115,"P010",360))*Table1[[#This Row],[Quantity]]</f>
        <v>90</v>
      </c>
      <c r="U147" s="1" cm="1">
        <f t="array" ref="U147">_xlfn.SWITCH(Table1[[#This Row],[Product ID]],"P001",15,"P002",0,"P003",8,"P004",8,"P005",0,"P006",7,"P007",7,"P008",6,"P009",45,"P010",60)</f>
        <v>8</v>
      </c>
      <c r="V147" s="1">
        <f>Table1[[#This Row],[Shipping per Unit]]*Table1[[#This Row],[Quantity]]</f>
        <v>24</v>
      </c>
      <c r="W147" s="2">
        <f>IF(Table1[[#This Row],[Total Shipping]]&gt;0.1,0.2,0)</f>
        <v>0.2</v>
      </c>
      <c r="X147" s="4">
        <f>Table1[[#This Row],[Total Shipping]]*Table1[[#This Row],[VAT on Shipping]]</f>
        <v>4.8000000000000007</v>
      </c>
      <c r="Y147" s="1">
        <f>Table1[[#This Row],[Revenue]]-Table1[[#This Row],[COGS]]</f>
        <v>103.20000000000002</v>
      </c>
      <c r="Z147" s="3">
        <f>(Table1[[#This Row],[Profit]]/Table1[[#This Row],[Revenue]])</f>
        <v>0.53416149068322982</v>
      </c>
      <c r="AA147" s="1">
        <f>Table1[[#This Row],[Profit]]-Table1[[#This Row],[Total Shipping]]</f>
        <v>79.200000000000017</v>
      </c>
      <c r="AB147" s="3">
        <f>Table1[[#This Row],[Operating Profit]]/Table1[[#This Row],[Revenue]]</f>
        <v>0.40993788819875782</v>
      </c>
    </row>
    <row r="148" spans="1:28" x14ac:dyDescent="0.25">
      <c r="A148" t="s">
        <v>139</v>
      </c>
      <c r="B148">
        <v>946</v>
      </c>
      <c r="C148" t="s">
        <v>35</v>
      </c>
      <c r="D148" t="s">
        <v>30</v>
      </c>
      <c r="E148" t="s">
        <v>40</v>
      </c>
      <c r="F148" t="s">
        <v>92</v>
      </c>
      <c r="G148" t="str" cm="1">
        <f t="array" ref="G148">_xlfn.SWITCH(F148,"Acme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148" t="s">
        <v>104</v>
      </c>
      <c r="I148" t="s">
        <v>55</v>
      </c>
      <c r="J148" t="str" cm="1">
        <f t="array" ref="J148">_xlfn.SWITCH(I148,"P001","Laptop","P002","Server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48" s="1" cm="1">
        <f t="array" ref="K148">_xlfn.SWITCH(Table1[[#This Row],[Product ID]],"P001",220,"P002",150,"P003",130,"P004",70,"P005",200,"P006",40,"P007",25,"P008",20,"P009",190,"P010",530)</f>
        <v>70</v>
      </c>
      <c r="L148">
        <v>20</v>
      </c>
      <c r="M148" s="1">
        <f>Table1[[#This Row],[Unit Price]]*Table1[[#This Row],[Quantity]]</f>
        <v>1400</v>
      </c>
      <c r="N148" s="2">
        <v>0.08</v>
      </c>
      <c r="O148" s="1">
        <f>Table1[[#This Row],[Gross Value]]*(1-Table1[[#This Row],[Discount]])</f>
        <v>1288</v>
      </c>
      <c r="P148" s="2">
        <v>0.2</v>
      </c>
      <c r="Q148" s="1">
        <f>Table1[[#This Row],[Revenue]]*Table1[[#This Row],[VAT Rate]]</f>
        <v>257.60000000000002</v>
      </c>
      <c r="R148" s="1">
        <f>Table1[[#This Row],[Revenue]]+Table1[[#This Row],[VAT Charged]]</f>
        <v>1545.6</v>
      </c>
      <c r="S148" s="1" cm="1">
        <f t="array" ref="S148">_xlfn.SWITCH(Table1[[#This Row],[Product ID]],"P001",140,"P002",80,"P003",72,"P004",30,"P005",110,"P006",24,"P007",14,"P008",12,"P009",115,"P010",360)</f>
        <v>30</v>
      </c>
      <c r="T148" s="1" cm="1">
        <f t="array" ref="T148">(_xlfn.SWITCH(Table1[[#This Row],[Product ID]],"P001",140,"P002",80,"P003",72,"P004",30,"P005",110,"P006",24,"P007",14,"P008",12,"P009",115,"P010",360))*Table1[[#This Row],[Quantity]]</f>
        <v>600</v>
      </c>
      <c r="U148" s="1" cm="1">
        <f t="array" ref="U148">_xlfn.SWITCH(Table1[[#This Row],[Product ID]],"P001",15,"P002",0,"P003",8,"P004",8,"P005",0,"P006",7,"P007",7,"P008",6,"P009",45,"P010",60)</f>
        <v>8</v>
      </c>
      <c r="V148" s="1">
        <f>Table1[[#This Row],[Shipping per Unit]]*Table1[[#This Row],[Quantity]]</f>
        <v>160</v>
      </c>
      <c r="W148" s="2">
        <f>IF(Table1[[#This Row],[Total Shipping]]&gt;0.1,0.2,0)</f>
        <v>0.2</v>
      </c>
      <c r="X148" s="4">
        <f>Table1[[#This Row],[Total Shipping]]*Table1[[#This Row],[VAT on Shipping]]</f>
        <v>32</v>
      </c>
      <c r="Y148" s="1">
        <f>Table1[[#This Row],[Revenue]]-Table1[[#This Row],[COGS]]</f>
        <v>688</v>
      </c>
      <c r="Z148" s="3">
        <f>(Table1[[#This Row],[Profit]]/Table1[[#This Row],[Revenue]])</f>
        <v>0.53416149068322982</v>
      </c>
      <c r="AA148" s="1">
        <f>Table1[[#This Row],[Profit]]-Table1[[#This Row],[Total Shipping]]</f>
        <v>528</v>
      </c>
      <c r="AB148" s="3">
        <f>Table1[[#This Row],[Operating Profit]]/Table1[[#This Row],[Revenue]]</f>
        <v>0.40993788819875776</v>
      </c>
    </row>
    <row r="149" spans="1:28" x14ac:dyDescent="0.25">
      <c r="A149" t="s">
        <v>140</v>
      </c>
      <c r="B149">
        <v>40</v>
      </c>
      <c r="C149" t="s">
        <v>35</v>
      </c>
      <c r="D149" t="s">
        <v>57</v>
      </c>
      <c r="E149" t="s">
        <v>49</v>
      </c>
      <c r="F149" t="s">
        <v>84</v>
      </c>
      <c r="G149" t="str" cm="1">
        <f t="array" ref="G149">_xlfn.SWITCH(F149,"Acme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149" t="s">
        <v>69</v>
      </c>
      <c r="I149" t="s">
        <v>34</v>
      </c>
      <c r="J149" t="str" cm="1">
        <f t="array" ref="J149">_xlfn.SWITCH(I149,"P001","Laptop","P002","Server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49" s="1" cm="1">
        <f t="array" ref="K149">_xlfn.SWITCH(Table1[[#This Row],[Product ID]],"P001",220,"P002",150,"P003",130,"P004",70,"P005",200,"P006",40,"P007",25,"P008",20,"P009",190,"P010",530)</f>
        <v>20</v>
      </c>
      <c r="L149">
        <v>13</v>
      </c>
      <c r="M149" s="1">
        <f>Table1[[#This Row],[Unit Price]]*Table1[[#This Row],[Quantity]]</f>
        <v>260</v>
      </c>
      <c r="N149" s="2">
        <v>0.03</v>
      </c>
      <c r="O149" s="1">
        <f>Table1[[#This Row],[Gross Value]]*(1-Table1[[#This Row],[Discount]])</f>
        <v>252.2</v>
      </c>
      <c r="P149" s="2">
        <v>0.2</v>
      </c>
      <c r="Q149" s="1">
        <f>Table1[[#This Row],[Revenue]]*Table1[[#This Row],[VAT Rate]]</f>
        <v>50.44</v>
      </c>
      <c r="R149" s="1">
        <f>Table1[[#This Row],[Revenue]]+Table1[[#This Row],[VAT Charged]]</f>
        <v>302.64</v>
      </c>
      <c r="S149" s="1" cm="1">
        <f t="array" ref="S149">_xlfn.SWITCH(Table1[[#This Row],[Product ID]],"P001",140,"P002",80,"P003",72,"P004",30,"P005",110,"P006",24,"P007",14,"P008",12,"P009",115,"P010",360)</f>
        <v>12</v>
      </c>
      <c r="T149" s="1" cm="1">
        <f t="array" ref="T149">(_xlfn.SWITCH(Table1[[#This Row],[Product ID]],"P001",140,"P002",80,"P003",72,"P004",30,"P005",110,"P006",24,"P007",14,"P008",12,"P009",115,"P010",360))*Table1[[#This Row],[Quantity]]</f>
        <v>156</v>
      </c>
      <c r="U149" s="1" cm="1">
        <f t="array" ref="U149">_xlfn.SWITCH(Table1[[#This Row],[Product ID]],"P001",15,"P002",0,"P003",8,"P004",8,"P005",0,"P006",7,"P007",7,"P008",6,"P009",45,"P010",60)</f>
        <v>6</v>
      </c>
      <c r="V149" s="1">
        <f>Table1[[#This Row],[Shipping per Unit]]*Table1[[#This Row],[Quantity]]</f>
        <v>78</v>
      </c>
      <c r="W149" s="2">
        <f>IF(Table1[[#This Row],[Total Shipping]]&gt;0.1,0.2,0)</f>
        <v>0.2</v>
      </c>
      <c r="X149" s="4">
        <f>Table1[[#This Row],[Total Shipping]]*Table1[[#This Row],[VAT on Shipping]]</f>
        <v>15.600000000000001</v>
      </c>
      <c r="Y149" s="1">
        <f>Table1[[#This Row],[Revenue]]-Table1[[#This Row],[COGS]]</f>
        <v>96.199999999999989</v>
      </c>
      <c r="Z149" s="3">
        <f>(Table1[[#This Row],[Profit]]/Table1[[#This Row],[Revenue]])</f>
        <v>0.38144329896907214</v>
      </c>
      <c r="AA149" s="1">
        <f>Table1[[#This Row],[Profit]]-Table1[[#This Row],[Total Shipping]]</f>
        <v>18.199999999999989</v>
      </c>
      <c r="AB149" s="3">
        <f>Table1[[#This Row],[Operating Profit]]/Table1[[#This Row],[Revenue]]</f>
        <v>7.2164948453608199E-2</v>
      </c>
    </row>
    <row r="150" spans="1:28" x14ac:dyDescent="0.25">
      <c r="A150" t="s">
        <v>140</v>
      </c>
      <c r="B150">
        <v>133</v>
      </c>
      <c r="C150" t="s">
        <v>56</v>
      </c>
      <c r="D150" t="s">
        <v>57</v>
      </c>
      <c r="E150" t="s">
        <v>31</v>
      </c>
      <c r="F150" t="s">
        <v>50</v>
      </c>
      <c r="G150" t="str" cm="1">
        <f t="array" ref="G150">_xlfn.SWITCH(F150,"Acme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150" t="s">
        <v>33</v>
      </c>
      <c r="I150" t="s">
        <v>55</v>
      </c>
      <c r="J150" t="str" cm="1">
        <f t="array" ref="J150">_xlfn.SWITCH(I150,"P001","Laptop","P002","Server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50" s="1" cm="1">
        <f t="array" ref="K150">_xlfn.SWITCH(Table1[[#This Row],[Product ID]],"P001",220,"P002",150,"P003",130,"P004",70,"P005",200,"P006",40,"P007",25,"P008",20,"P009",190,"P010",530)</f>
        <v>70</v>
      </c>
      <c r="L150">
        <v>13</v>
      </c>
      <c r="M150" s="1">
        <f>Table1[[#This Row],[Unit Price]]*Table1[[#This Row],[Quantity]]</f>
        <v>910</v>
      </c>
      <c r="N150" s="2">
        <v>0.03</v>
      </c>
      <c r="O150" s="1">
        <f>Table1[[#This Row],[Gross Value]]*(1-Table1[[#This Row],[Discount]])</f>
        <v>882.69999999999993</v>
      </c>
      <c r="P150" s="2">
        <v>0.2</v>
      </c>
      <c r="Q150" s="1">
        <f>Table1[[#This Row],[Revenue]]*Table1[[#This Row],[VAT Rate]]</f>
        <v>176.54</v>
      </c>
      <c r="R150" s="1">
        <f>Table1[[#This Row],[Revenue]]+Table1[[#This Row],[VAT Charged]]</f>
        <v>1059.24</v>
      </c>
      <c r="S150" s="1" cm="1">
        <f t="array" ref="S150">_xlfn.SWITCH(Table1[[#This Row],[Product ID]],"P001",140,"P002",80,"P003",72,"P004",30,"P005",110,"P006",24,"P007",14,"P008",12,"P009",115,"P010",360)</f>
        <v>30</v>
      </c>
      <c r="T150" s="1" cm="1">
        <f t="array" ref="T150">(_xlfn.SWITCH(Table1[[#This Row],[Product ID]],"P001",140,"P002",80,"P003",72,"P004",30,"P005",110,"P006",24,"P007",14,"P008",12,"P009",115,"P010",360))*Table1[[#This Row],[Quantity]]</f>
        <v>390</v>
      </c>
      <c r="U150" s="1" cm="1">
        <f t="array" ref="U150">_xlfn.SWITCH(Table1[[#This Row],[Product ID]],"P001",15,"P002",0,"P003",8,"P004",8,"P005",0,"P006",7,"P007",7,"P008",6,"P009",45,"P010",60)</f>
        <v>8</v>
      </c>
      <c r="V150" s="1">
        <f>Table1[[#This Row],[Shipping per Unit]]*Table1[[#This Row],[Quantity]]</f>
        <v>104</v>
      </c>
      <c r="W150" s="2">
        <f>IF(Table1[[#This Row],[Total Shipping]]&gt;0.1,0.2,0)</f>
        <v>0.2</v>
      </c>
      <c r="X150" s="4">
        <f>Table1[[#This Row],[Total Shipping]]*Table1[[#This Row],[VAT on Shipping]]</f>
        <v>20.8</v>
      </c>
      <c r="Y150" s="1">
        <f>Table1[[#This Row],[Revenue]]-Table1[[#This Row],[COGS]]</f>
        <v>492.69999999999993</v>
      </c>
      <c r="Z150" s="3">
        <f>(Table1[[#This Row],[Profit]]/Table1[[#This Row],[Revenue]])</f>
        <v>0.5581737849779087</v>
      </c>
      <c r="AA150" s="1">
        <f>Table1[[#This Row],[Profit]]-Table1[[#This Row],[Total Shipping]]</f>
        <v>388.69999999999993</v>
      </c>
      <c r="AB150" s="3">
        <f>Table1[[#This Row],[Operating Profit]]/Table1[[#This Row],[Revenue]]</f>
        <v>0.44035346097201761</v>
      </c>
    </row>
    <row r="151" spans="1:28" x14ac:dyDescent="0.25">
      <c r="A151" t="s">
        <v>140</v>
      </c>
      <c r="B151">
        <v>304</v>
      </c>
      <c r="C151" t="s">
        <v>62</v>
      </c>
      <c r="D151" t="s">
        <v>63</v>
      </c>
      <c r="E151" t="s">
        <v>40</v>
      </c>
      <c r="F151" t="s">
        <v>32</v>
      </c>
      <c r="G151" t="str" cm="1">
        <f t="array" ref="G151">_xlfn.SWITCH(F151,"Acme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151" t="s">
        <v>45</v>
      </c>
      <c r="I151" t="s">
        <v>42</v>
      </c>
      <c r="J151" t="str" cm="1">
        <f t="array" ref="J151">_xlfn.SWITCH(I151,"P001","Laptop","P002","Server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51" s="1" cm="1">
        <f t="array" ref="K151">_xlfn.SWITCH(Table1[[#This Row],[Product ID]],"P001",220,"P002",150,"P003",130,"P004",70,"P005",200,"P006",40,"P007",25,"P008",20,"P009",190,"P010",530)</f>
        <v>40</v>
      </c>
      <c r="L151">
        <v>19</v>
      </c>
      <c r="M151" s="1">
        <f>Table1[[#This Row],[Unit Price]]*Table1[[#This Row],[Quantity]]</f>
        <v>760</v>
      </c>
      <c r="N151" s="2">
        <v>0.1</v>
      </c>
      <c r="O151" s="1">
        <f>Table1[[#This Row],[Gross Value]]*(1-Table1[[#This Row],[Discount]])</f>
        <v>684</v>
      </c>
      <c r="P151" s="2">
        <v>0.2</v>
      </c>
      <c r="Q151" s="1">
        <f>Table1[[#This Row],[Revenue]]*Table1[[#This Row],[VAT Rate]]</f>
        <v>136.80000000000001</v>
      </c>
      <c r="R151" s="1">
        <f>Table1[[#This Row],[Revenue]]+Table1[[#This Row],[VAT Charged]]</f>
        <v>820.8</v>
      </c>
      <c r="S151" s="1" cm="1">
        <f t="array" ref="S151">_xlfn.SWITCH(Table1[[#This Row],[Product ID]],"P001",140,"P002",80,"P003",72,"P004",30,"P005",110,"P006",24,"P007",14,"P008",12,"P009",115,"P010",360)</f>
        <v>24</v>
      </c>
      <c r="T151" s="1" cm="1">
        <f t="array" ref="T151">(_xlfn.SWITCH(Table1[[#This Row],[Product ID]],"P001",140,"P002",80,"P003",72,"P004",30,"P005",110,"P006",24,"P007",14,"P008",12,"P009",115,"P010",360))*Table1[[#This Row],[Quantity]]</f>
        <v>456</v>
      </c>
      <c r="U151" s="1" cm="1">
        <f t="array" ref="U151">_xlfn.SWITCH(Table1[[#This Row],[Product ID]],"P001",15,"P002",0,"P003",8,"P004",8,"P005",0,"P006",7,"P007",7,"P008",6,"P009",45,"P010",60)</f>
        <v>7</v>
      </c>
      <c r="V151" s="1">
        <f>Table1[[#This Row],[Shipping per Unit]]*Table1[[#This Row],[Quantity]]</f>
        <v>133</v>
      </c>
      <c r="W151" s="2">
        <f>IF(Table1[[#This Row],[Total Shipping]]&gt;0.1,0.2,0)</f>
        <v>0.2</v>
      </c>
      <c r="X151" s="4">
        <f>Table1[[#This Row],[Total Shipping]]*Table1[[#This Row],[VAT on Shipping]]</f>
        <v>26.6</v>
      </c>
      <c r="Y151" s="1">
        <f>Table1[[#This Row],[Revenue]]-Table1[[#This Row],[COGS]]</f>
        <v>228</v>
      </c>
      <c r="Z151" s="3">
        <f>(Table1[[#This Row],[Profit]]/Table1[[#This Row],[Revenue]])</f>
        <v>0.33333333333333331</v>
      </c>
      <c r="AA151" s="1">
        <f>Table1[[#This Row],[Profit]]-Table1[[#This Row],[Total Shipping]]</f>
        <v>95</v>
      </c>
      <c r="AB151" s="3">
        <f>Table1[[#This Row],[Operating Profit]]/Table1[[#This Row],[Revenue]]</f>
        <v>0.1388888888888889</v>
      </c>
    </row>
    <row r="152" spans="1:28" x14ac:dyDescent="0.25">
      <c r="A152" t="s">
        <v>140</v>
      </c>
      <c r="B152">
        <v>510</v>
      </c>
      <c r="C152" t="s">
        <v>38</v>
      </c>
      <c r="D152" t="s">
        <v>30</v>
      </c>
      <c r="E152" t="s">
        <v>40</v>
      </c>
      <c r="F152" t="s">
        <v>103</v>
      </c>
      <c r="G152" t="str" cm="1">
        <f t="array" ref="G152">_xlfn.SWITCH(F152,"Acme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152" t="s">
        <v>58</v>
      </c>
      <c r="I152" t="s">
        <v>42</v>
      </c>
      <c r="J152" t="str" cm="1">
        <f t="array" ref="J152">_xlfn.SWITCH(I152,"P001","Laptop","P002","Server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52" s="1" cm="1">
        <f t="array" ref="K152">_xlfn.SWITCH(Table1[[#This Row],[Product ID]],"P001",220,"P002",150,"P003",130,"P004",70,"P005",200,"P006",40,"P007",25,"P008",20,"P009",190,"P010",530)</f>
        <v>40</v>
      </c>
      <c r="L152">
        <v>12</v>
      </c>
      <c r="M152" s="1">
        <f>Table1[[#This Row],[Unit Price]]*Table1[[#This Row],[Quantity]]</f>
        <v>480</v>
      </c>
      <c r="N152" s="2">
        <v>0.05</v>
      </c>
      <c r="O152" s="1">
        <f>Table1[[#This Row],[Gross Value]]*(1-Table1[[#This Row],[Discount]])</f>
        <v>456</v>
      </c>
      <c r="P152" s="2">
        <v>0.2</v>
      </c>
      <c r="Q152" s="1">
        <f>Table1[[#This Row],[Revenue]]*Table1[[#This Row],[VAT Rate]]</f>
        <v>91.2</v>
      </c>
      <c r="R152" s="1">
        <f>Table1[[#This Row],[Revenue]]+Table1[[#This Row],[VAT Charged]]</f>
        <v>547.20000000000005</v>
      </c>
      <c r="S152" s="1" cm="1">
        <f t="array" ref="S152">_xlfn.SWITCH(Table1[[#This Row],[Product ID]],"P001",140,"P002",80,"P003",72,"P004",30,"P005",110,"P006",24,"P007",14,"P008",12,"P009",115,"P010",360)</f>
        <v>24</v>
      </c>
      <c r="T152" s="1" cm="1">
        <f t="array" ref="T152">(_xlfn.SWITCH(Table1[[#This Row],[Product ID]],"P001",140,"P002",80,"P003",72,"P004",30,"P005",110,"P006",24,"P007",14,"P008",12,"P009",115,"P010",360))*Table1[[#This Row],[Quantity]]</f>
        <v>288</v>
      </c>
      <c r="U152" s="1" cm="1">
        <f t="array" ref="U152">_xlfn.SWITCH(Table1[[#This Row],[Product ID]],"P001",15,"P002",0,"P003",8,"P004",8,"P005",0,"P006",7,"P007",7,"P008",6,"P009",45,"P010",60)</f>
        <v>7</v>
      </c>
      <c r="V152" s="1">
        <f>Table1[[#This Row],[Shipping per Unit]]*Table1[[#This Row],[Quantity]]</f>
        <v>84</v>
      </c>
      <c r="W152" s="2">
        <f>IF(Table1[[#This Row],[Total Shipping]]&gt;0.1,0.2,0)</f>
        <v>0.2</v>
      </c>
      <c r="X152" s="4">
        <f>Table1[[#This Row],[Total Shipping]]*Table1[[#This Row],[VAT on Shipping]]</f>
        <v>16.8</v>
      </c>
      <c r="Y152" s="1">
        <f>Table1[[#This Row],[Revenue]]-Table1[[#This Row],[COGS]]</f>
        <v>168</v>
      </c>
      <c r="Z152" s="3">
        <f>(Table1[[#This Row],[Profit]]/Table1[[#This Row],[Revenue]])</f>
        <v>0.36842105263157893</v>
      </c>
      <c r="AA152" s="1">
        <f>Table1[[#This Row],[Profit]]-Table1[[#This Row],[Total Shipping]]</f>
        <v>84</v>
      </c>
      <c r="AB152" s="3">
        <f>Table1[[#This Row],[Operating Profit]]/Table1[[#This Row],[Revenue]]</f>
        <v>0.18421052631578946</v>
      </c>
    </row>
    <row r="153" spans="1:28" x14ac:dyDescent="0.25">
      <c r="A153" t="s">
        <v>141</v>
      </c>
      <c r="B153">
        <v>173</v>
      </c>
      <c r="C153" t="s">
        <v>71</v>
      </c>
      <c r="D153" t="s">
        <v>30</v>
      </c>
      <c r="E153" t="s">
        <v>49</v>
      </c>
      <c r="F153" t="s">
        <v>86</v>
      </c>
      <c r="G153" t="str" cm="1">
        <f t="array" ref="G153">_xlfn.SWITCH(F153,"Acme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153" t="s">
        <v>45</v>
      </c>
      <c r="I153" t="s">
        <v>68</v>
      </c>
      <c r="J153" t="str" cm="1">
        <f t="array" ref="J153">_xlfn.SWITCH(I153,"P001","Laptop","P002","Server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53" s="1" cm="1">
        <f t="array" ref="K153">_xlfn.SWITCH(Table1[[#This Row],[Product ID]],"P001",220,"P002",150,"P003",130,"P004",70,"P005",200,"P006",40,"P007",25,"P008",20,"P009",190,"P010",530)</f>
        <v>220</v>
      </c>
      <c r="L153">
        <v>1</v>
      </c>
      <c r="M153" s="1">
        <f>Table1[[#This Row],[Unit Price]]*Table1[[#This Row],[Quantity]]</f>
        <v>220</v>
      </c>
      <c r="N153" s="2">
        <v>0.08</v>
      </c>
      <c r="O153" s="1">
        <f>Table1[[#This Row],[Gross Value]]*(1-Table1[[#This Row],[Discount]])</f>
        <v>202.4</v>
      </c>
      <c r="P153" s="2">
        <v>0.2</v>
      </c>
      <c r="Q153" s="1">
        <f>Table1[[#This Row],[Revenue]]*Table1[[#This Row],[VAT Rate]]</f>
        <v>40.480000000000004</v>
      </c>
      <c r="R153" s="1">
        <f>Table1[[#This Row],[Revenue]]+Table1[[#This Row],[VAT Charged]]</f>
        <v>242.88</v>
      </c>
      <c r="S153" s="1" cm="1">
        <f t="array" ref="S153">_xlfn.SWITCH(Table1[[#This Row],[Product ID]],"P001",140,"P002",80,"P003",72,"P004",30,"P005",110,"P006",24,"P007",14,"P008",12,"P009",115,"P010",360)</f>
        <v>140</v>
      </c>
      <c r="T153" s="1" cm="1">
        <f t="array" ref="T153">(_xlfn.SWITCH(Table1[[#This Row],[Product ID]],"P001",140,"P002",80,"P003",72,"P004",30,"P005",110,"P006",24,"P007",14,"P008",12,"P009",115,"P010",360))*Table1[[#This Row],[Quantity]]</f>
        <v>140</v>
      </c>
      <c r="U153" s="1" cm="1">
        <f t="array" ref="U153">_xlfn.SWITCH(Table1[[#This Row],[Product ID]],"P001",15,"P002",0,"P003",8,"P004",8,"P005",0,"P006",7,"P007",7,"P008",6,"P009",45,"P010",60)</f>
        <v>15</v>
      </c>
      <c r="V153" s="1">
        <f>Table1[[#This Row],[Shipping per Unit]]*Table1[[#This Row],[Quantity]]</f>
        <v>15</v>
      </c>
      <c r="W153" s="2">
        <f>IF(Table1[[#This Row],[Total Shipping]]&gt;0.1,0.2,0)</f>
        <v>0.2</v>
      </c>
      <c r="X153" s="4">
        <f>Table1[[#This Row],[Total Shipping]]*Table1[[#This Row],[VAT on Shipping]]</f>
        <v>3</v>
      </c>
      <c r="Y153" s="1">
        <f>Table1[[#This Row],[Revenue]]-Table1[[#This Row],[COGS]]</f>
        <v>62.400000000000006</v>
      </c>
      <c r="Z153" s="3">
        <f>(Table1[[#This Row],[Profit]]/Table1[[#This Row],[Revenue]])</f>
        <v>0.30830039525691699</v>
      </c>
      <c r="AA153" s="1">
        <f>Table1[[#This Row],[Profit]]-Table1[[#This Row],[Total Shipping]]</f>
        <v>47.400000000000006</v>
      </c>
      <c r="AB153" s="3">
        <f>Table1[[#This Row],[Operating Profit]]/Table1[[#This Row],[Revenue]]</f>
        <v>0.23418972332015811</v>
      </c>
    </row>
    <row r="154" spans="1:28" x14ac:dyDescent="0.25">
      <c r="A154" t="s">
        <v>141</v>
      </c>
      <c r="B154">
        <v>301</v>
      </c>
      <c r="C154" t="s">
        <v>65</v>
      </c>
      <c r="D154" t="s">
        <v>57</v>
      </c>
      <c r="E154" t="s">
        <v>40</v>
      </c>
      <c r="F154" t="s">
        <v>32</v>
      </c>
      <c r="G154" t="str" cm="1">
        <f t="array" ref="G154">_xlfn.SWITCH(F154,"Acme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154" t="s">
        <v>104</v>
      </c>
      <c r="I154" t="s">
        <v>75</v>
      </c>
      <c r="J154" t="str" cm="1">
        <f t="array" ref="J154">_xlfn.SWITCH(I154,"P001","Laptop","P002","Server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154" s="1" cm="1">
        <f t="array" ref="K154">_xlfn.SWITCH(Table1[[#This Row],[Product ID]],"P001",220,"P002",150,"P003",130,"P004",70,"P005",200,"P006",40,"P007",25,"P008",20,"P009",190,"P010",530)</f>
        <v>200</v>
      </c>
      <c r="L154">
        <v>5</v>
      </c>
      <c r="M154" s="1">
        <f>Table1[[#This Row],[Unit Price]]*Table1[[#This Row],[Quantity]]</f>
        <v>1000</v>
      </c>
      <c r="N154" s="2">
        <v>0.04</v>
      </c>
      <c r="O154" s="1">
        <f>Table1[[#This Row],[Gross Value]]*(1-Table1[[#This Row],[Discount]])</f>
        <v>960</v>
      </c>
      <c r="P154" s="2">
        <v>0.2</v>
      </c>
      <c r="Q154" s="1">
        <f>Table1[[#This Row],[Revenue]]*Table1[[#This Row],[VAT Rate]]</f>
        <v>192</v>
      </c>
      <c r="R154" s="1">
        <f>Table1[[#This Row],[Revenue]]+Table1[[#This Row],[VAT Charged]]</f>
        <v>1152</v>
      </c>
      <c r="S154" s="1" cm="1">
        <f t="array" ref="S154">_xlfn.SWITCH(Table1[[#This Row],[Product ID]],"P001",140,"P002",80,"P003",72,"P004",30,"P005",110,"P006",24,"P007",14,"P008",12,"P009",115,"P010",360)</f>
        <v>110</v>
      </c>
      <c r="T154" s="1" cm="1">
        <f t="array" ref="T154">(_xlfn.SWITCH(Table1[[#This Row],[Product ID]],"P001",140,"P002",80,"P003",72,"P004",30,"P005",110,"P006",24,"P007",14,"P008",12,"P009",115,"P010",360))*Table1[[#This Row],[Quantity]]</f>
        <v>550</v>
      </c>
      <c r="U154" s="1" cm="1">
        <f t="array" ref="U154">_xlfn.SWITCH(Table1[[#This Row],[Product ID]],"P001",15,"P002",0,"P003",8,"P004",8,"P005",0,"P006",7,"P007",7,"P008",6,"P009",45,"P010",60)</f>
        <v>0</v>
      </c>
      <c r="V154" s="1">
        <f>Table1[[#This Row],[Shipping per Unit]]*Table1[[#This Row],[Quantity]]</f>
        <v>0</v>
      </c>
      <c r="W154" s="2">
        <f>IF(Table1[[#This Row],[Total Shipping]]&gt;0.1,0.2,0)</f>
        <v>0</v>
      </c>
      <c r="X154" s="4">
        <f>Table1[[#This Row],[Total Shipping]]*Table1[[#This Row],[VAT on Shipping]]</f>
        <v>0</v>
      </c>
      <c r="Y154" s="1">
        <f>Table1[[#This Row],[Revenue]]-Table1[[#This Row],[COGS]]</f>
        <v>410</v>
      </c>
      <c r="Z154" s="3">
        <f>(Table1[[#This Row],[Profit]]/Table1[[#This Row],[Revenue]])</f>
        <v>0.42708333333333331</v>
      </c>
      <c r="AA154" s="1">
        <f>Table1[[#This Row],[Profit]]-Table1[[#This Row],[Total Shipping]]</f>
        <v>410</v>
      </c>
      <c r="AB154" s="3">
        <f>Table1[[#This Row],[Operating Profit]]/Table1[[#This Row],[Revenue]]</f>
        <v>0.42708333333333331</v>
      </c>
    </row>
    <row r="155" spans="1:28" x14ac:dyDescent="0.25">
      <c r="A155" t="s">
        <v>142</v>
      </c>
      <c r="B155">
        <v>71</v>
      </c>
      <c r="C155" t="s">
        <v>83</v>
      </c>
      <c r="D155" t="s">
        <v>53</v>
      </c>
      <c r="E155" t="s">
        <v>40</v>
      </c>
      <c r="F155" t="s">
        <v>41</v>
      </c>
      <c r="G155" t="str" cm="1">
        <f t="array" ref="G155">_xlfn.SWITCH(F155,"Acme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155" t="s">
        <v>58</v>
      </c>
      <c r="I155" t="s">
        <v>55</v>
      </c>
      <c r="J155" t="str" cm="1">
        <f t="array" ref="J155">_xlfn.SWITCH(I155,"P001","Laptop","P002","Server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55" s="1" cm="1">
        <f t="array" ref="K155">_xlfn.SWITCH(Table1[[#This Row],[Product ID]],"P001",220,"P002",150,"P003",130,"P004",70,"P005",200,"P006",40,"P007",25,"P008",20,"P009",190,"P010",530)</f>
        <v>70</v>
      </c>
      <c r="L155">
        <v>6</v>
      </c>
      <c r="M155" s="1">
        <f>Table1[[#This Row],[Unit Price]]*Table1[[#This Row],[Quantity]]</f>
        <v>420</v>
      </c>
      <c r="N155" s="2">
        <v>0.03</v>
      </c>
      <c r="O155" s="1">
        <f>Table1[[#This Row],[Gross Value]]*(1-Table1[[#This Row],[Discount]])</f>
        <v>407.4</v>
      </c>
      <c r="P155" s="2">
        <v>0.2</v>
      </c>
      <c r="Q155" s="1">
        <f>Table1[[#This Row],[Revenue]]*Table1[[#This Row],[VAT Rate]]</f>
        <v>81.48</v>
      </c>
      <c r="R155" s="1">
        <f>Table1[[#This Row],[Revenue]]+Table1[[#This Row],[VAT Charged]]</f>
        <v>488.88</v>
      </c>
      <c r="S155" s="1" cm="1">
        <f t="array" ref="S155">_xlfn.SWITCH(Table1[[#This Row],[Product ID]],"P001",140,"P002",80,"P003",72,"P004",30,"P005",110,"P006",24,"P007",14,"P008",12,"P009",115,"P010",360)</f>
        <v>30</v>
      </c>
      <c r="T155" s="1" cm="1">
        <f t="array" ref="T155">(_xlfn.SWITCH(Table1[[#This Row],[Product ID]],"P001",140,"P002",80,"P003",72,"P004",30,"P005",110,"P006",24,"P007",14,"P008",12,"P009",115,"P010",360))*Table1[[#This Row],[Quantity]]</f>
        <v>180</v>
      </c>
      <c r="U155" s="1" cm="1">
        <f t="array" ref="U155">_xlfn.SWITCH(Table1[[#This Row],[Product ID]],"P001",15,"P002",0,"P003",8,"P004",8,"P005",0,"P006",7,"P007",7,"P008",6,"P009",45,"P010",60)</f>
        <v>8</v>
      </c>
      <c r="V155" s="1">
        <f>Table1[[#This Row],[Shipping per Unit]]*Table1[[#This Row],[Quantity]]</f>
        <v>48</v>
      </c>
      <c r="W155" s="2">
        <f>IF(Table1[[#This Row],[Total Shipping]]&gt;0.1,0.2,0)</f>
        <v>0.2</v>
      </c>
      <c r="X155" s="4">
        <f>Table1[[#This Row],[Total Shipping]]*Table1[[#This Row],[VAT on Shipping]]</f>
        <v>9.6000000000000014</v>
      </c>
      <c r="Y155" s="1">
        <f>Table1[[#This Row],[Revenue]]-Table1[[#This Row],[COGS]]</f>
        <v>227.39999999999998</v>
      </c>
      <c r="Z155" s="3">
        <f>(Table1[[#This Row],[Profit]]/Table1[[#This Row],[Revenue]])</f>
        <v>0.5581737849779087</v>
      </c>
      <c r="AA155" s="1">
        <f>Table1[[#This Row],[Profit]]-Table1[[#This Row],[Total Shipping]]</f>
        <v>179.39999999999998</v>
      </c>
      <c r="AB155" s="3">
        <f>Table1[[#This Row],[Operating Profit]]/Table1[[#This Row],[Revenue]]</f>
        <v>0.44035346097201766</v>
      </c>
    </row>
    <row r="156" spans="1:28" x14ac:dyDescent="0.25">
      <c r="A156" t="s">
        <v>143</v>
      </c>
      <c r="B156">
        <v>175</v>
      </c>
      <c r="C156" t="s">
        <v>83</v>
      </c>
      <c r="D156" t="s">
        <v>63</v>
      </c>
      <c r="E156" t="s">
        <v>49</v>
      </c>
      <c r="F156" t="s">
        <v>66</v>
      </c>
      <c r="G156" t="str" cm="1">
        <f t="array" ref="G156">_xlfn.SWITCH(F156,"Acme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156" t="s">
        <v>51</v>
      </c>
      <c r="I156" t="s">
        <v>42</v>
      </c>
      <c r="J156" t="str" cm="1">
        <f t="array" ref="J156">_xlfn.SWITCH(I156,"P001","Laptop","P002","Server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56" s="1" cm="1">
        <f t="array" ref="K156">_xlfn.SWITCH(Table1[[#This Row],[Product ID]],"P001",220,"P002",150,"P003",130,"P004",70,"P005",200,"P006",40,"P007",25,"P008",20,"P009",190,"P010",530)</f>
        <v>40</v>
      </c>
      <c r="L156">
        <v>17</v>
      </c>
      <c r="M156" s="1">
        <f>Table1[[#This Row],[Unit Price]]*Table1[[#This Row],[Quantity]]</f>
        <v>680</v>
      </c>
      <c r="N156" s="2">
        <v>0.05</v>
      </c>
      <c r="O156" s="1">
        <f>Table1[[#This Row],[Gross Value]]*(1-Table1[[#This Row],[Discount]])</f>
        <v>646</v>
      </c>
      <c r="P156" s="2">
        <v>0.2</v>
      </c>
      <c r="Q156" s="1">
        <f>Table1[[#This Row],[Revenue]]*Table1[[#This Row],[VAT Rate]]</f>
        <v>129.20000000000002</v>
      </c>
      <c r="R156" s="1">
        <f>Table1[[#This Row],[Revenue]]+Table1[[#This Row],[VAT Charged]]</f>
        <v>775.2</v>
      </c>
      <c r="S156" s="1" cm="1">
        <f t="array" ref="S156">_xlfn.SWITCH(Table1[[#This Row],[Product ID]],"P001",140,"P002",80,"P003",72,"P004",30,"P005",110,"P006",24,"P007",14,"P008",12,"P009",115,"P010",360)</f>
        <v>24</v>
      </c>
      <c r="T156" s="1" cm="1">
        <f t="array" ref="T156">(_xlfn.SWITCH(Table1[[#This Row],[Product ID]],"P001",140,"P002",80,"P003",72,"P004",30,"P005",110,"P006",24,"P007",14,"P008",12,"P009",115,"P010",360))*Table1[[#This Row],[Quantity]]</f>
        <v>408</v>
      </c>
      <c r="U156" s="1" cm="1">
        <f t="array" ref="U156">_xlfn.SWITCH(Table1[[#This Row],[Product ID]],"P001",15,"P002",0,"P003",8,"P004",8,"P005",0,"P006",7,"P007",7,"P008",6,"P009",45,"P010",60)</f>
        <v>7</v>
      </c>
      <c r="V156" s="1">
        <f>Table1[[#This Row],[Shipping per Unit]]*Table1[[#This Row],[Quantity]]</f>
        <v>119</v>
      </c>
      <c r="W156" s="2">
        <f>IF(Table1[[#This Row],[Total Shipping]]&gt;0.1,0.2,0)</f>
        <v>0.2</v>
      </c>
      <c r="X156" s="4">
        <f>Table1[[#This Row],[Total Shipping]]*Table1[[#This Row],[VAT on Shipping]]</f>
        <v>23.8</v>
      </c>
      <c r="Y156" s="1">
        <f>Table1[[#This Row],[Revenue]]-Table1[[#This Row],[COGS]]</f>
        <v>238</v>
      </c>
      <c r="Z156" s="3">
        <f>(Table1[[#This Row],[Profit]]/Table1[[#This Row],[Revenue]])</f>
        <v>0.36842105263157893</v>
      </c>
      <c r="AA156" s="1">
        <f>Table1[[#This Row],[Profit]]-Table1[[#This Row],[Total Shipping]]</f>
        <v>119</v>
      </c>
      <c r="AB156" s="3">
        <f>Table1[[#This Row],[Operating Profit]]/Table1[[#This Row],[Revenue]]</f>
        <v>0.18421052631578946</v>
      </c>
    </row>
    <row r="157" spans="1:28" x14ac:dyDescent="0.25">
      <c r="A157" t="s">
        <v>143</v>
      </c>
      <c r="B157">
        <v>332</v>
      </c>
      <c r="C157" t="s">
        <v>29</v>
      </c>
      <c r="D157" t="s">
        <v>72</v>
      </c>
      <c r="E157" t="s">
        <v>31</v>
      </c>
      <c r="F157" t="s">
        <v>64</v>
      </c>
      <c r="G157" t="str" cm="1">
        <f t="array" ref="G157">_xlfn.SWITCH(F157,"Acme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57" t="s">
        <v>51</v>
      </c>
      <c r="I157" t="s">
        <v>75</v>
      </c>
      <c r="J157" t="str" cm="1">
        <f t="array" ref="J157">_xlfn.SWITCH(I157,"P001","Laptop","P002","Server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157" s="1" cm="1">
        <f t="array" ref="K157">_xlfn.SWITCH(Table1[[#This Row],[Product ID]],"P001",220,"P002",150,"P003",130,"P004",70,"P005",200,"P006",40,"P007",25,"P008",20,"P009",190,"P010",530)</f>
        <v>200</v>
      </c>
      <c r="L157">
        <v>15</v>
      </c>
      <c r="M157" s="1">
        <f>Table1[[#This Row],[Unit Price]]*Table1[[#This Row],[Quantity]]</f>
        <v>3000</v>
      </c>
      <c r="N157" s="2">
        <v>0.04</v>
      </c>
      <c r="O157" s="1">
        <f>Table1[[#This Row],[Gross Value]]*(1-Table1[[#This Row],[Discount]])</f>
        <v>2880</v>
      </c>
      <c r="P157" s="2">
        <v>0.2</v>
      </c>
      <c r="Q157" s="1">
        <f>Table1[[#This Row],[Revenue]]*Table1[[#This Row],[VAT Rate]]</f>
        <v>576</v>
      </c>
      <c r="R157" s="1">
        <f>Table1[[#This Row],[Revenue]]+Table1[[#This Row],[VAT Charged]]</f>
        <v>3456</v>
      </c>
      <c r="S157" s="1" cm="1">
        <f t="array" ref="S157">_xlfn.SWITCH(Table1[[#This Row],[Product ID]],"P001",140,"P002",80,"P003",72,"P004",30,"P005",110,"P006",24,"P007",14,"P008",12,"P009",115,"P010",360)</f>
        <v>110</v>
      </c>
      <c r="T157" s="1" cm="1">
        <f t="array" ref="T157">(_xlfn.SWITCH(Table1[[#This Row],[Product ID]],"P001",140,"P002",80,"P003",72,"P004",30,"P005",110,"P006",24,"P007",14,"P008",12,"P009",115,"P010",360))*Table1[[#This Row],[Quantity]]</f>
        <v>1650</v>
      </c>
      <c r="U157" s="1" cm="1">
        <f t="array" ref="U157">_xlfn.SWITCH(Table1[[#This Row],[Product ID]],"P001",15,"P002",0,"P003",8,"P004",8,"P005",0,"P006",7,"P007",7,"P008",6,"P009",45,"P010",60)</f>
        <v>0</v>
      </c>
      <c r="V157" s="1">
        <f>Table1[[#This Row],[Shipping per Unit]]*Table1[[#This Row],[Quantity]]</f>
        <v>0</v>
      </c>
      <c r="W157" s="2">
        <f>IF(Table1[[#This Row],[Total Shipping]]&gt;0.1,0.2,0)</f>
        <v>0</v>
      </c>
      <c r="X157" s="4">
        <f>Table1[[#This Row],[Total Shipping]]*Table1[[#This Row],[VAT on Shipping]]</f>
        <v>0</v>
      </c>
      <c r="Y157" s="1">
        <f>Table1[[#This Row],[Revenue]]-Table1[[#This Row],[COGS]]</f>
        <v>1230</v>
      </c>
      <c r="Z157" s="3">
        <f>(Table1[[#This Row],[Profit]]/Table1[[#This Row],[Revenue]])</f>
        <v>0.42708333333333331</v>
      </c>
      <c r="AA157" s="1">
        <f>Table1[[#This Row],[Profit]]-Table1[[#This Row],[Total Shipping]]</f>
        <v>1230</v>
      </c>
      <c r="AB157" s="3">
        <f>Table1[[#This Row],[Operating Profit]]/Table1[[#This Row],[Revenue]]</f>
        <v>0.42708333333333331</v>
      </c>
    </row>
    <row r="158" spans="1:28" x14ac:dyDescent="0.25">
      <c r="A158" t="s">
        <v>143</v>
      </c>
      <c r="B158">
        <v>398</v>
      </c>
      <c r="C158" t="s">
        <v>38</v>
      </c>
      <c r="D158" t="s">
        <v>95</v>
      </c>
      <c r="E158" t="s">
        <v>31</v>
      </c>
      <c r="F158" t="s">
        <v>97</v>
      </c>
      <c r="G158" t="str" cm="1">
        <f t="array" ref="G158">_xlfn.SWITCH(F158,"Acme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158" t="s">
        <v>45</v>
      </c>
      <c r="I158" t="s">
        <v>42</v>
      </c>
      <c r="J158" t="str" cm="1">
        <f t="array" ref="J158">_xlfn.SWITCH(I158,"P001","Laptop","P002","Server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58" s="1" cm="1">
        <f t="array" ref="K158">_xlfn.SWITCH(Table1[[#This Row],[Product ID]],"P001",220,"P002",150,"P003",130,"P004",70,"P005",200,"P006",40,"P007",25,"P008",20,"P009",190,"P010",530)</f>
        <v>40</v>
      </c>
      <c r="L158">
        <v>6</v>
      </c>
      <c r="M158" s="1">
        <f>Table1[[#This Row],[Unit Price]]*Table1[[#This Row],[Quantity]]</f>
        <v>240</v>
      </c>
      <c r="N158" s="2">
        <v>0.04</v>
      </c>
      <c r="O158" s="1">
        <f>Table1[[#This Row],[Gross Value]]*(1-Table1[[#This Row],[Discount]])</f>
        <v>230.39999999999998</v>
      </c>
      <c r="P158" s="2">
        <v>0.2</v>
      </c>
      <c r="Q158" s="1">
        <f>Table1[[#This Row],[Revenue]]*Table1[[#This Row],[VAT Rate]]</f>
        <v>46.08</v>
      </c>
      <c r="R158" s="1">
        <f>Table1[[#This Row],[Revenue]]+Table1[[#This Row],[VAT Charged]]</f>
        <v>276.47999999999996</v>
      </c>
      <c r="S158" s="1" cm="1">
        <f t="array" ref="S158">_xlfn.SWITCH(Table1[[#This Row],[Product ID]],"P001",140,"P002",80,"P003",72,"P004",30,"P005",110,"P006",24,"P007",14,"P008",12,"P009",115,"P010",360)</f>
        <v>24</v>
      </c>
      <c r="T158" s="1" cm="1">
        <f t="array" ref="T158">(_xlfn.SWITCH(Table1[[#This Row],[Product ID]],"P001",140,"P002",80,"P003",72,"P004",30,"P005",110,"P006",24,"P007",14,"P008",12,"P009",115,"P010",360))*Table1[[#This Row],[Quantity]]</f>
        <v>144</v>
      </c>
      <c r="U158" s="1" cm="1">
        <f t="array" ref="U158">_xlfn.SWITCH(Table1[[#This Row],[Product ID]],"P001",15,"P002",0,"P003",8,"P004",8,"P005",0,"P006",7,"P007",7,"P008",6,"P009",45,"P010",60)</f>
        <v>7</v>
      </c>
      <c r="V158" s="1">
        <f>Table1[[#This Row],[Shipping per Unit]]*Table1[[#This Row],[Quantity]]</f>
        <v>42</v>
      </c>
      <c r="W158" s="2">
        <f>IF(Table1[[#This Row],[Total Shipping]]&gt;0.1,0.2,0)</f>
        <v>0.2</v>
      </c>
      <c r="X158" s="4">
        <f>Table1[[#This Row],[Total Shipping]]*Table1[[#This Row],[VAT on Shipping]]</f>
        <v>8.4</v>
      </c>
      <c r="Y158" s="1">
        <f>Table1[[#This Row],[Revenue]]-Table1[[#This Row],[COGS]]</f>
        <v>86.399999999999977</v>
      </c>
      <c r="Z158" s="3">
        <f>(Table1[[#This Row],[Profit]]/Table1[[#This Row],[Revenue]])</f>
        <v>0.37499999999999994</v>
      </c>
      <c r="AA158" s="1">
        <f>Table1[[#This Row],[Profit]]-Table1[[#This Row],[Total Shipping]]</f>
        <v>44.399999999999977</v>
      </c>
      <c r="AB158" s="3">
        <f>Table1[[#This Row],[Operating Profit]]/Table1[[#This Row],[Revenue]]</f>
        <v>0.19270833333333326</v>
      </c>
    </row>
    <row r="159" spans="1:28" x14ac:dyDescent="0.25">
      <c r="A159" t="s">
        <v>143</v>
      </c>
      <c r="B159">
        <v>595</v>
      </c>
      <c r="C159" t="s">
        <v>83</v>
      </c>
      <c r="D159" t="s">
        <v>53</v>
      </c>
      <c r="E159" t="s">
        <v>31</v>
      </c>
      <c r="F159" t="s">
        <v>64</v>
      </c>
      <c r="G159" t="str" cm="1">
        <f t="array" ref="G159">_xlfn.SWITCH(F159,"Acme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59" t="s">
        <v>45</v>
      </c>
      <c r="I159" t="s">
        <v>52</v>
      </c>
      <c r="J159" t="str" cm="1">
        <f t="array" ref="J159">_xlfn.SWITCH(I159,"P001","Laptop","P002","Server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59" s="1" cm="1">
        <f t="array" ref="K159">_xlfn.SWITCH(Table1[[#This Row],[Product ID]],"P001",220,"P002",150,"P003",130,"P004",70,"P005",200,"P006",40,"P007",25,"P008",20,"P009",190,"P010",530)</f>
        <v>130</v>
      </c>
      <c r="L159">
        <v>18</v>
      </c>
      <c r="M159" s="1">
        <f>Table1[[#This Row],[Unit Price]]*Table1[[#This Row],[Quantity]]</f>
        <v>2340</v>
      </c>
      <c r="N159" s="2">
        <v>0.08</v>
      </c>
      <c r="O159" s="1">
        <f>Table1[[#This Row],[Gross Value]]*(1-Table1[[#This Row],[Discount]])</f>
        <v>2152.8000000000002</v>
      </c>
      <c r="P159" s="2">
        <v>0.2</v>
      </c>
      <c r="Q159" s="1">
        <f>Table1[[#This Row],[Revenue]]*Table1[[#This Row],[VAT Rate]]</f>
        <v>430.56000000000006</v>
      </c>
      <c r="R159" s="1">
        <f>Table1[[#This Row],[Revenue]]+Table1[[#This Row],[VAT Charged]]</f>
        <v>2583.36</v>
      </c>
      <c r="S159" s="1" cm="1">
        <f t="array" ref="S159">_xlfn.SWITCH(Table1[[#This Row],[Product ID]],"P001",140,"P002",80,"P003",72,"P004",30,"P005",110,"P006",24,"P007",14,"P008",12,"P009",115,"P010",360)</f>
        <v>72</v>
      </c>
      <c r="T159" s="1" cm="1">
        <f t="array" ref="T159">(_xlfn.SWITCH(Table1[[#This Row],[Product ID]],"P001",140,"P002",80,"P003",72,"P004",30,"P005",110,"P006",24,"P007",14,"P008",12,"P009",115,"P010",360))*Table1[[#This Row],[Quantity]]</f>
        <v>1296</v>
      </c>
      <c r="U159" s="1" cm="1">
        <f t="array" ref="U159">_xlfn.SWITCH(Table1[[#This Row],[Product ID]],"P001",15,"P002",0,"P003",8,"P004",8,"P005",0,"P006",7,"P007",7,"P008",6,"P009",45,"P010",60)</f>
        <v>8</v>
      </c>
      <c r="V159" s="1">
        <f>Table1[[#This Row],[Shipping per Unit]]*Table1[[#This Row],[Quantity]]</f>
        <v>144</v>
      </c>
      <c r="W159" s="2">
        <f>IF(Table1[[#This Row],[Total Shipping]]&gt;0.1,0.2,0)</f>
        <v>0.2</v>
      </c>
      <c r="X159" s="4">
        <f>Table1[[#This Row],[Total Shipping]]*Table1[[#This Row],[VAT on Shipping]]</f>
        <v>28.8</v>
      </c>
      <c r="Y159" s="1">
        <f>Table1[[#This Row],[Revenue]]-Table1[[#This Row],[COGS]]</f>
        <v>856.80000000000018</v>
      </c>
      <c r="Z159" s="3">
        <f>(Table1[[#This Row],[Profit]]/Table1[[#This Row],[Revenue]])</f>
        <v>0.39799331103678937</v>
      </c>
      <c r="AA159" s="1">
        <f>Table1[[#This Row],[Profit]]-Table1[[#This Row],[Total Shipping]]</f>
        <v>712.80000000000018</v>
      </c>
      <c r="AB159" s="3">
        <f>Table1[[#This Row],[Operating Profit]]/Table1[[#This Row],[Revenue]]</f>
        <v>0.33110367892976594</v>
      </c>
    </row>
    <row r="160" spans="1:28" x14ac:dyDescent="0.25">
      <c r="A160" t="s">
        <v>143</v>
      </c>
      <c r="B160">
        <v>712</v>
      </c>
      <c r="C160" t="s">
        <v>29</v>
      </c>
      <c r="D160" t="s">
        <v>95</v>
      </c>
      <c r="E160" t="s">
        <v>49</v>
      </c>
      <c r="F160" t="s">
        <v>126</v>
      </c>
      <c r="G160" t="str" cm="1">
        <f t="array" ref="G160">_xlfn.SWITCH(F160,"Acme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160" t="s">
        <v>33</v>
      </c>
      <c r="I160" t="s">
        <v>68</v>
      </c>
      <c r="J160" t="str" cm="1">
        <f t="array" ref="J160">_xlfn.SWITCH(I160,"P001","Laptop","P002","Server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60" s="1" cm="1">
        <f t="array" ref="K160">_xlfn.SWITCH(Table1[[#This Row],[Product ID]],"P001",220,"P002",150,"P003",130,"P004",70,"P005",200,"P006",40,"P007",25,"P008",20,"P009",190,"P010",530)</f>
        <v>220</v>
      </c>
      <c r="L160">
        <v>14</v>
      </c>
      <c r="M160" s="1">
        <f>Table1[[#This Row],[Unit Price]]*Table1[[#This Row],[Quantity]]</f>
        <v>3080</v>
      </c>
      <c r="N160" s="2">
        <v>0.06</v>
      </c>
      <c r="O160" s="1">
        <f>Table1[[#This Row],[Gross Value]]*(1-Table1[[#This Row],[Discount]])</f>
        <v>2895.2</v>
      </c>
      <c r="P160" s="2">
        <v>0.2</v>
      </c>
      <c r="Q160" s="1">
        <f>Table1[[#This Row],[Revenue]]*Table1[[#This Row],[VAT Rate]]</f>
        <v>579.04</v>
      </c>
      <c r="R160" s="1">
        <f>Table1[[#This Row],[Revenue]]+Table1[[#This Row],[VAT Charged]]</f>
        <v>3474.24</v>
      </c>
      <c r="S160" s="1" cm="1">
        <f t="array" ref="S160">_xlfn.SWITCH(Table1[[#This Row],[Product ID]],"P001",140,"P002",80,"P003",72,"P004",30,"P005",110,"P006",24,"P007",14,"P008",12,"P009",115,"P010",360)</f>
        <v>140</v>
      </c>
      <c r="T160" s="1" cm="1">
        <f t="array" ref="T160">(_xlfn.SWITCH(Table1[[#This Row],[Product ID]],"P001",140,"P002",80,"P003",72,"P004",30,"P005",110,"P006",24,"P007",14,"P008",12,"P009",115,"P010",360))*Table1[[#This Row],[Quantity]]</f>
        <v>1960</v>
      </c>
      <c r="U160" s="1" cm="1">
        <f t="array" ref="U160">_xlfn.SWITCH(Table1[[#This Row],[Product ID]],"P001",15,"P002",0,"P003",8,"P004",8,"P005",0,"P006",7,"P007",7,"P008",6,"P009",45,"P010",60)</f>
        <v>15</v>
      </c>
      <c r="V160" s="1">
        <f>Table1[[#This Row],[Shipping per Unit]]*Table1[[#This Row],[Quantity]]</f>
        <v>210</v>
      </c>
      <c r="W160" s="2">
        <f>IF(Table1[[#This Row],[Total Shipping]]&gt;0.1,0.2,0)</f>
        <v>0.2</v>
      </c>
      <c r="X160" s="4">
        <f>Table1[[#This Row],[Total Shipping]]*Table1[[#This Row],[VAT on Shipping]]</f>
        <v>42</v>
      </c>
      <c r="Y160" s="1">
        <f>Table1[[#This Row],[Revenue]]-Table1[[#This Row],[COGS]]</f>
        <v>935.19999999999982</v>
      </c>
      <c r="Z160" s="3">
        <f>(Table1[[#This Row],[Profit]]/Table1[[#This Row],[Revenue]])</f>
        <v>0.32301740812379104</v>
      </c>
      <c r="AA160" s="1">
        <f>Table1[[#This Row],[Profit]]-Table1[[#This Row],[Total Shipping]]</f>
        <v>725.19999999999982</v>
      </c>
      <c r="AB160" s="3">
        <f>Table1[[#This Row],[Operating Profit]]/Table1[[#This Row],[Revenue]]</f>
        <v>0.25048355899419722</v>
      </c>
    </row>
    <row r="161" spans="1:28" x14ac:dyDescent="0.25">
      <c r="A161" t="s">
        <v>144</v>
      </c>
      <c r="B161">
        <v>385</v>
      </c>
      <c r="C161" t="s">
        <v>35</v>
      </c>
      <c r="D161" t="s">
        <v>48</v>
      </c>
      <c r="E161" t="s">
        <v>40</v>
      </c>
      <c r="F161" t="s">
        <v>97</v>
      </c>
      <c r="G161" t="str" cm="1">
        <f t="array" ref="G161">_xlfn.SWITCH(F161,"Acme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161" t="s">
        <v>69</v>
      </c>
      <c r="I161" t="s">
        <v>52</v>
      </c>
      <c r="J161" t="str" cm="1">
        <f t="array" ref="J161">_xlfn.SWITCH(I161,"P001","Laptop","P002","Server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61" s="1" cm="1">
        <f t="array" ref="K161">_xlfn.SWITCH(Table1[[#This Row],[Product ID]],"P001",220,"P002",150,"P003",130,"P004",70,"P005",200,"P006",40,"P007",25,"P008",20,"P009",190,"P010",530)</f>
        <v>130</v>
      </c>
      <c r="L161">
        <v>16</v>
      </c>
      <c r="M161" s="1">
        <f>Table1[[#This Row],[Unit Price]]*Table1[[#This Row],[Quantity]]</f>
        <v>2080</v>
      </c>
      <c r="N161" s="2">
        <v>0.03</v>
      </c>
      <c r="O161" s="1">
        <f>Table1[[#This Row],[Gross Value]]*(1-Table1[[#This Row],[Discount]])</f>
        <v>2017.6</v>
      </c>
      <c r="P161" s="2">
        <v>0.2</v>
      </c>
      <c r="Q161" s="1">
        <f>Table1[[#This Row],[Revenue]]*Table1[[#This Row],[VAT Rate]]</f>
        <v>403.52</v>
      </c>
      <c r="R161" s="1">
        <f>Table1[[#This Row],[Revenue]]+Table1[[#This Row],[VAT Charged]]</f>
        <v>2421.12</v>
      </c>
      <c r="S161" s="1" cm="1">
        <f t="array" ref="S161">_xlfn.SWITCH(Table1[[#This Row],[Product ID]],"P001",140,"P002",80,"P003",72,"P004",30,"P005",110,"P006",24,"P007",14,"P008",12,"P009",115,"P010",360)</f>
        <v>72</v>
      </c>
      <c r="T161" s="1" cm="1">
        <f t="array" ref="T161">(_xlfn.SWITCH(Table1[[#This Row],[Product ID]],"P001",140,"P002",80,"P003",72,"P004",30,"P005",110,"P006",24,"P007",14,"P008",12,"P009",115,"P010",360))*Table1[[#This Row],[Quantity]]</f>
        <v>1152</v>
      </c>
      <c r="U161" s="1" cm="1">
        <f t="array" ref="U161">_xlfn.SWITCH(Table1[[#This Row],[Product ID]],"P001",15,"P002",0,"P003",8,"P004",8,"P005",0,"P006",7,"P007",7,"P008",6,"P009",45,"P010",60)</f>
        <v>8</v>
      </c>
      <c r="V161" s="1">
        <f>Table1[[#This Row],[Shipping per Unit]]*Table1[[#This Row],[Quantity]]</f>
        <v>128</v>
      </c>
      <c r="W161" s="2">
        <f>IF(Table1[[#This Row],[Total Shipping]]&gt;0.1,0.2,0)</f>
        <v>0.2</v>
      </c>
      <c r="X161" s="4">
        <f>Table1[[#This Row],[Total Shipping]]*Table1[[#This Row],[VAT on Shipping]]</f>
        <v>25.6</v>
      </c>
      <c r="Y161" s="1">
        <f>Table1[[#This Row],[Revenue]]-Table1[[#This Row],[COGS]]</f>
        <v>865.59999999999991</v>
      </c>
      <c r="Z161" s="3">
        <f>(Table1[[#This Row],[Profit]]/Table1[[#This Row],[Revenue]])</f>
        <v>0.4290245836637589</v>
      </c>
      <c r="AA161" s="1">
        <f>Table1[[#This Row],[Profit]]-Table1[[#This Row],[Total Shipping]]</f>
        <v>737.59999999999991</v>
      </c>
      <c r="AB161" s="3">
        <f>Table1[[#This Row],[Operating Profit]]/Table1[[#This Row],[Revenue]]</f>
        <v>0.36558287073750989</v>
      </c>
    </row>
    <row r="162" spans="1:28" x14ac:dyDescent="0.25">
      <c r="A162" t="s">
        <v>144</v>
      </c>
      <c r="B162">
        <v>642</v>
      </c>
      <c r="C162" t="s">
        <v>62</v>
      </c>
      <c r="D162" t="s">
        <v>95</v>
      </c>
      <c r="E162" t="s">
        <v>40</v>
      </c>
      <c r="F162" t="s">
        <v>84</v>
      </c>
      <c r="G162" t="str" cm="1">
        <f t="array" ref="G162">_xlfn.SWITCH(F162,"Acme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162" t="s">
        <v>104</v>
      </c>
      <c r="I162" t="s">
        <v>70</v>
      </c>
      <c r="J162" t="str" cm="1">
        <f t="array" ref="J162">_xlfn.SWITCH(I162,"P001","Laptop","P002","Server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62" s="1" cm="1">
        <f t="array" ref="K162">_xlfn.SWITCH(Table1[[#This Row],[Product ID]],"P001",220,"P002",150,"P003",130,"P004",70,"P005",200,"P006",40,"P007",25,"P008",20,"P009",190,"P010",530)</f>
        <v>150</v>
      </c>
      <c r="L162">
        <v>3</v>
      </c>
      <c r="M162" s="1">
        <f>Table1[[#This Row],[Unit Price]]*Table1[[#This Row],[Quantity]]</f>
        <v>450</v>
      </c>
      <c r="N162" s="2">
        <v>0.04</v>
      </c>
      <c r="O162" s="1">
        <f>Table1[[#This Row],[Gross Value]]*(1-Table1[[#This Row],[Discount]])</f>
        <v>432</v>
      </c>
      <c r="P162" s="2">
        <v>0.2</v>
      </c>
      <c r="Q162" s="1">
        <f>Table1[[#This Row],[Revenue]]*Table1[[#This Row],[VAT Rate]]</f>
        <v>86.4</v>
      </c>
      <c r="R162" s="1">
        <f>Table1[[#This Row],[Revenue]]+Table1[[#This Row],[VAT Charged]]</f>
        <v>518.4</v>
      </c>
      <c r="S162" s="1" cm="1">
        <f t="array" ref="S162">_xlfn.SWITCH(Table1[[#This Row],[Product ID]],"P001",140,"P002",80,"P003",72,"P004",30,"P005",110,"P006",24,"P007",14,"P008",12,"P009",115,"P010",360)</f>
        <v>80</v>
      </c>
      <c r="T162" s="1" cm="1">
        <f t="array" ref="T162">(_xlfn.SWITCH(Table1[[#This Row],[Product ID]],"P001",140,"P002",80,"P003",72,"P004",30,"P005",110,"P006",24,"P007",14,"P008",12,"P009",115,"P010",360))*Table1[[#This Row],[Quantity]]</f>
        <v>240</v>
      </c>
      <c r="U162" s="1" cm="1">
        <f t="array" ref="U162">_xlfn.SWITCH(Table1[[#This Row],[Product ID]],"P001",15,"P002",0,"P003",8,"P004",8,"P005",0,"P006",7,"P007",7,"P008",6,"P009",45,"P010",60)</f>
        <v>0</v>
      </c>
      <c r="V162" s="1">
        <f>Table1[[#This Row],[Shipping per Unit]]*Table1[[#This Row],[Quantity]]</f>
        <v>0</v>
      </c>
      <c r="W162" s="2">
        <f>IF(Table1[[#This Row],[Total Shipping]]&gt;0.1,0.2,0)</f>
        <v>0</v>
      </c>
      <c r="X162" s="4">
        <f>Table1[[#This Row],[Total Shipping]]*Table1[[#This Row],[VAT on Shipping]]</f>
        <v>0</v>
      </c>
      <c r="Y162" s="1">
        <f>Table1[[#This Row],[Revenue]]-Table1[[#This Row],[COGS]]</f>
        <v>192</v>
      </c>
      <c r="Z162" s="3">
        <f>(Table1[[#This Row],[Profit]]/Table1[[#This Row],[Revenue]])</f>
        <v>0.44444444444444442</v>
      </c>
      <c r="AA162" s="1">
        <f>Table1[[#This Row],[Profit]]-Table1[[#This Row],[Total Shipping]]</f>
        <v>192</v>
      </c>
      <c r="AB162" s="3">
        <f>Table1[[#This Row],[Operating Profit]]/Table1[[#This Row],[Revenue]]</f>
        <v>0.44444444444444442</v>
      </c>
    </row>
    <row r="163" spans="1:28" x14ac:dyDescent="0.25">
      <c r="A163" t="s">
        <v>144</v>
      </c>
      <c r="B163">
        <v>659</v>
      </c>
      <c r="C163" t="s">
        <v>56</v>
      </c>
      <c r="D163" t="s">
        <v>36</v>
      </c>
      <c r="E163" t="s">
        <v>49</v>
      </c>
      <c r="F163" t="s">
        <v>90</v>
      </c>
      <c r="G163" t="str" cm="1">
        <f t="array" ref="G163">_xlfn.SWITCH(F163,"Acme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163" t="s">
        <v>69</v>
      </c>
      <c r="I163" t="s">
        <v>46</v>
      </c>
      <c r="J163" t="str" cm="1">
        <f t="array" ref="J163">_xlfn.SWITCH(I163,"P001","Laptop","P002","Server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63" s="1" cm="1">
        <f t="array" ref="K163">_xlfn.SWITCH(Table1[[#This Row],[Product ID]],"P001",220,"P002",150,"P003",130,"P004",70,"P005",200,"P006",40,"P007",25,"P008",20,"P009",190,"P010",530)</f>
        <v>530</v>
      </c>
      <c r="L163">
        <v>5</v>
      </c>
      <c r="M163" s="1">
        <f>Table1[[#This Row],[Unit Price]]*Table1[[#This Row],[Quantity]]</f>
        <v>2650</v>
      </c>
      <c r="N163" s="2">
        <v>0.05</v>
      </c>
      <c r="O163" s="1">
        <f>Table1[[#This Row],[Gross Value]]*(1-Table1[[#This Row],[Discount]])</f>
        <v>2517.5</v>
      </c>
      <c r="P163" s="2">
        <v>0.2</v>
      </c>
      <c r="Q163" s="1">
        <f>Table1[[#This Row],[Revenue]]*Table1[[#This Row],[VAT Rate]]</f>
        <v>503.5</v>
      </c>
      <c r="R163" s="1">
        <f>Table1[[#This Row],[Revenue]]+Table1[[#This Row],[VAT Charged]]</f>
        <v>3021</v>
      </c>
      <c r="S163" s="1" cm="1">
        <f t="array" ref="S163">_xlfn.SWITCH(Table1[[#This Row],[Product ID]],"P001",140,"P002",80,"P003",72,"P004",30,"P005",110,"P006",24,"P007",14,"P008",12,"P009",115,"P010",360)</f>
        <v>360</v>
      </c>
      <c r="T163" s="1" cm="1">
        <f t="array" ref="T163">(_xlfn.SWITCH(Table1[[#This Row],[Product ID]],"P001",140,"P002",80,"P003",72,"P004",30,"P005",110,"P006",24,"P007",14,"P008",12,"P009",115,"P010",360))*Table1[[#This Row],[Quantity]]</f>
        <v>1800</v>
      </c>
      <c r="U163" s="1" cm="1">
        <f t="array" ref="U163">_xlfn.SWITCH(Table1[[#This Row],[Product ID]],"P001",15,"P002",0,"P003",8,"P004",8,"P005",0,"P006",7,"P007",7,"P008",6,"P009",45,"P010",60)</f>
        <v>60</v>
      </c>
      <c r="V163" s="1">
        <f>Table1[[#This Row],[Shipping per Unit]]*Table1[[#This Row],[Quantity]]</f>
        <v>300</v>
      </c>
      <c r="W163" s="2">
        <f>IF(Table1[[#This Row],[Total Shipping]]&gt;0.1,0.2,0)</f>
        <v>0.2</v>
      </c>
      <c r="X163" s="4">
        <f>Table1[[#This Row],[Total Shipping]]*Table1[[#This Row],[VAT on Shipping]]</f>
        <v>60</v>
      </c>
      <c r="Y163" s="1">
        <f>Table1[[#This Row],[Revenue]]-Table1[[#This Row],[COGS]]</f>
        <v>717.5</v>
      </c>
      <c r="Z163" s="3">
        <f>(Table1[[#This Row],[Profit]]/Table1[[#This Row],[Revenue]])</f>
        <v>0.28500496524329694</v>
      </c>
      <c r="AA163" s="1">
        <f>Table1[[#This Row],[Profit]]-Table1[[#This Row],[Total Shipping]]</f>
        <v>417.5</v>
      </c>
      <c r="AB163" s="3">
        <f>Table1[[#This Row],[Operating Profit]]/Table1[[#This Row],[Revenue]]</f>
        <v>0.16583912611717974</v>
      </c>
    </row>
    <row r="164" spans="1:28" x14ac:dyDescent="0.25">
      <c r="A164" t="s">
        <v>144</v>
      </c>
      <c r="B164">
        <v>757</v>
      </c>
      <c r="C164" t="s">
        <v>62</v>
      </c>
      <c r="D164" t="s">
        <v>36</v>
      </c>
      <c r="E164" t="s">
        <v>31</v>
      </c>
      <c r="F164" t="s">
        <v>103</v>
      </c>
      <c r="G164" t="str" cm="1">
        <f t="array" ref="G164">_xlfn.SWITCH(F164,"Acme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164" t="s">
        <v>33</v>
      </c>
      <c r="I164" t="s">
        <v>42</v>
      </c>
      <c r="J164" t="str" cm="1">
        <f t="array" ref="J164">_xlfn.SWITCH(I164,"P001","Laptop","P002","Server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64" s="1" cm="1">
        <f t="array" ref="K164">_xlfn.SWITCH(Table1[[#This Row],[Product ID]],"P001",220,"P002",150,"P003",130,"P004",70,"P005",200,"P006",40,"P007",25,"P008",20,"P009",190,"P010",530)</f>
        <v>40</v>
      </c>
      <c r="L164">
        <v>1</v>
      </c>
      <c r="M164" s="1">
        <f>Table1[[#This Row],[Unit Price]]*Table1[[#This Row],[Quantity]]</f>
        <v>40</v>
      </c>
      <c r="N164" s="2">
        <v>0.03</v>
      </c>
      <c r="O164" s="1">
        <f>Table1[[#This Row],[Gross Value]]*(1-Table1[[#This Row],[Discount]])</f>
        <v>38.799999999999997</v>
      </c>
      <c r="P164" s="2">
        <v>0.2</v>
      </c>
      <c r="Q164" s="1">
        <f>Table1[[#This Row],[Revenue]]*Table1[[#This Row],[VAT Rate]]</f>
        <v>7.76</v>
      </c>
      <c r="R164" s="1">
        <f>Table1[[#This Row],[Revenue]]+Table1[[#This Row],[VAT Charged]]</f>
        <v>46.559999999999995</v>
      </c>
      <c r="S164" s="1" cm="1">
        <f t="array" ref="S164">_xlfn.SWITCH(Table1[[#This Row],[Product ID]],"P001",140,"P002",80,"P003",72,"P004",30,"P005",110,"P006",24,"P007",14,"P008",12,"P009",115,"P010",360)</f>
        <v>24</v>
      </c>
      <c r="T164" s="1" cm="1">
        <f t="array" ref="T164">(_xlfn.SWITCH(Table1[[#This Row],[Product ID]],"P001",140,"P002",80,"P003",72,"P004",30,"P005",110,"P006",24,"P007",14,"P008",12,"P009",115,"P010",360))*Table1[[#This Row],[Quantity]]</f>
        <v>24</v>
      </c>
      <c r="U164" s="1" cm="1">
        <f t="array" ref="U164">_xlfn.SWITCH(Table1[[#This Row],[Product ID]],"P001",15,"P002",0,"P003",8,"P004",8,"P005",0,"P006",7,"P007",7,"P008",6,"P009",45,"P010",60)</f>
        <v>7</v>
      </c>
      <c r="V164" s="1">
        <f>Table1[[#This Row],[Shipping per Unit]]*Table1[[#This Row],[Quantity]]</f>
        <v>7</v>
      </c>
      <c r="W164" s="2">
        <f>IF(Table1[[#This Row],[Total Shipping]]&gt;0.1,0.2,0)</f>
        <v>0.2</v>
      </c>
      <c r="X164" s="4">
        <f>Table1[[#This Row],[Total Shipping]]*Table1[[#This Row],[VAT on Shipping]]</f>
        <v>1.4000000000000001</v>
      </c>
      <c r="Y164" s="1">
        <f>Table1[[#This Row],[Revenue]]-Table1[[#This Row],[COGS]]</f>
        <v>14.799999999999997</v>
      </c>
      <c r="Z164" s="3">
        <f>(Table1[[#This Row],[Profit]]/Table1[[#This Row],[Revenue]])</f>
        <v>0.38144329896907214</v>
      </c>
      <c r="AA164" s="1">
        <f>Table1[[#This Row],[Profit]]-Table1[[#This Row],[Total Shipping]]</f>
        <v>7.7999999999999972</v>
      </c>
      <c r="AB164" s="3">
        <f>Table1[[#This Row],[Operating Profit]]/Table1[[#This Row],[Revenue]]</f>
        <v>0.2010309278350515</v>
      </c>
    </row>
    <row r="165" spans="1:28" x14ac:dyDescent="0.25">
      <c r="A165" t="s">
        <v>145</v>
      </c>
      <c r="B165">
        <v>77</v>
      </c>
      <c r="C165" t="s">
        <v>83</v>
      </c>
      <c r="D165" t="s">
        <v>72</v>
      </c>
      <c r="E165" t="s">
        <v>49</v>
      </c>
      <c r="F165" t="s">
        <v>50</v>
      </c>
      <c r="G165" t="str" cm="1">
        <f t="array" ref="G165">_xlfn.SWITCH(F165,"Acme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165" t="s">
        <v>33</v>
      </c>
      <c r="I165" t="s">
        <v>55</v>
      </c>
      <c r="J165" t="str" cm="1">
        <f t="array" ref="J165">_xlfn.SWITCH(I165,"P001","Laptop","P002","Server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65" s="1" cm="1">
        <f t="array" ref="K165">_xlfn.SWITCH(Table1[[#This Row],[Product ID]],"P001",220,"P002",150,"P003",130,"P004",70,"P005",200,"P006",40,"P007",25,"P008",20,"P009",190,"P010",530)</f>
        <v>70</v>
      </c>
      <c r="L165">
        <v>8</v>
      </c>
      <c r="M165" s="1">
        <f>Table1[[#This Row],[Unit Price]]*Table1[[#This Row],[Quantity]]</f>
        <v>560</v>
      </c>
      <c r="N165" s="2">
        <v>7.0000000000000007E-2</v>
      </c>
      <c r="O165" s="1">
        <f>Table1[[#This Row],[Gross Value]]*(1-Table1[[#This Row],[Discount]])</f>
        <v>520.79999999999995</v>
      </c>
      <c r="P165" s="2">
        <v>0.2</v>
      </c>
      <c r="Q165" s="1">
        <f>Table1[[#This Row],[Revenue]]*Table1[[#This Row],[VAT Rate]]</f>
        <v>104.16</v>
      </c>
      <c r="R165" s="1">
        <f>Table1[[#This Row],[Revenue]]+Table1[[#This Row],[VAT Charged]]</f>
        <v>624.95999999999992</v>
      </c>
      <c r="S165" s="1" cm="1">
        <f t="array" ref="S165">_xlfn.SWITCH(Table1[[#This Row],[Product ID]],"P001",140,"P002",80,"P003",72,"P004",30,"P005",110,"P006",24,"P007",14,"P008",12,"P009",115,"P010",360)</f>
        <v>30</v>
      </c>
      <c r="T165" s="1" cm="1">
        <f t="array" ref="T165">(_xlfn.SWITCH(Table1[[#This Row],[Product ID]],"P001",140,"P002",80,"P003",72,"P004",30,"P005",110,"P006",24,"P007",14,"P008",12,"P009",115,"P010",360))*Table1[[#This Row],[Quantity]]</f>
        <v>240</v>
      </c>
      <c r="U165" s="1" cm="1">
        <f t="array" ref="U165">_xlfn.SWITCH(Table1[[#This Row],[Product ID]],"P001",15,"P002",0,"P003",8,"P004",8,"P005",0,"P006",7,"P007",7,"P008",6,"P009",45,"P010",60)</f>
        <v>8</v>
      </c>
      <c r="V165" s="1">
        <f>Table1[[#This Row],[Shipping per Unit]]*Table1[[#This Row],[Quantity]]</f>
        <v>64</v>
      </c>
      <c r="W165" s="2">
        <f>IF(Table1[[#This Row],[Total Shipping]]&gt;0.1,0.2,0)</f>
        <v>0.2</v>
      </c>
      <c r="X165" s="4">
        <f>Table1[[#This Row],[Total Shipping]]*Table1[[#This Row],[VAT on Shipping]]</f>
        <v>12.8</v>
      </c>
      <c r="Y165" s="1">
        <f>Table1[[#This Row],[Revenue]]-Table1[[#This Row],[COGS]]</f>
        <v>280.79999999999995</v>
      </c>
      <c r="Z165" s="3">
        <f>(Table1[[#This Row],[Profit]]/Table1[[#This Row],[Revenue]])</f>
        <v>0.53917050691244239</v>
      </c>
      <c r="AA165" s="1">
        <f>Table1[[#This Row],[Profit]]-Table1[[#This Row],[Total Shipping]]</f>
        <v>216.79999999999995</v>
      </c>
      <c r="AB165" s="3">
        <f>Table1[[#This Row],[Operating Profit]]/Table1[[#This Row],[Revenue]]</f>
        <v>0.41628264208909366</v>
      </c>
    </row>
    <row r="166" spans="1:28" x14ac:dyDescent="0.25">
      <c r="A166" t="s">
        <v>145</v>
      </c>
      <c r="B166">
        <v>459</v>
      </c>
      <c r="C166" t="s">
        <v>65</v>
      </c>
      <c r="D166" t="s">
        <v>95</v>
      </c>
      <c r="E166" t="s">
        <v>49</v>
      </c>
      <c r="F166" t="s">
        <v>102</v>
      </c>
      <c r="G166" t="str" cm="1">
        <f t="array" ref="G166">_xlfn.SWITCH(F166,"Acme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166" t="s">
        <v>104</v>
      </c>
      <c r="I166" t="s">
        <v>46</v>
      </c>
      <c r="J166" t="str" cm="1">
        <f t="array" ref="J166">_xlfn.SWITCH(I166,"P001","Laptop","P002","Server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66" s="1" cm="1">
        <f t="array" ref="K166">_xlfn.SWITCH(Table1[[#This Row],[Product ID]],"P001",220,"P002",150,"P003",130,"P004",70,"P005",200,"P006",40,"P007",25,"P008",20,"P009",190,"P010",530)</f>
        <v>530</v>
      </c>
      <c r="L166">
        <v>5</v>
      </c>
      <c r="M166" s="1">
        <f>Table1[[#This Row],[Unit Price]]*Table1[[#This Row],[Quantity]]</f>
        <v>2650</v>
      </c>
      <c r="N166" s="2">
        <v>0.1</v>
      </c>
      <c r="O166" s="1">
        <f>Table1[[#This Row],[Gross Value]]*(1-Table1[[#This Row],[Discount]])</f>
        <v>2385</v>
      </c>
      <c r="P166" s="2">
        <v>0.2</v>
      </c>
      <c r="Q166" s="1">
        <f>Table1[[#This Row],[Revenue]]*Table1[[#This Row],[VAT Rate]]</f>
        <v>477</v>
      </c>
      <c r="R166" s="1">
        <f>Table1[[#This Row],[Revenue]]+Table1[[#This Row],[VAT Charged]]</f>
        <v>2862</v>
      </c>
      <c r="S166" s="1" cm="1">
        <f t="array" ref="S166">_xlfn.SWITCH(Table1[[#This Row],[Product ID]],"P001",140,"P002",80,"P003",72,"P004",30,"P005",110,"P006",24,"P007",14,"P008",12,"P009",115,"P010",360)</f>
        <v>360</v>
      </c>
      <c r="T166" s="1" cm="1">
        <f t="array" ref="T166">(_xlfn.SWITCH(Table1[[#This Row],[Product ID]],"P001",140,"P002",80,"P003",72,"P004",30,"P005",110,"P006",24,"P007",14,"P008",12,"P009",115,"P010",360))*Table1[[#This Row],[Quantity]]</f>
        <v>1800</v>
      </c>
      <c r="U166" s="1" cm="1">
        <f t="array" ref="U166">_xlfn.SWITCH(Table1[[#This Row],[Product ID]],"P001",15,"P002",0,"P003",8,"P004",8,"P005",0,"P006",7,"P007",7,"P008",6,"P009",45,"P010",60)</f>
        <v>60</v>
      </c>
      <c r="V166" s="1">
        <f>Table1[[#This Row],[Shipping per Unit]]*Table1[[#This Row],[Quantity]]</f>
        <v>300</v>
      </c>
      <c r="W166" s="2">
        <f>IF(Table1[[#This Row],[Total Shipping]]&gt;0.1,0.2,0)</f>
        <v>0.2</v>
      </c>
      <c r="X166" s="4">
        <f>Table1[[#This Row],[Total Shipping]]*Table1[[#This Row],[VAT on Shipping]]</f>
        <v>60</v>
      </c>
      <c r="Y166" s="1">
        <f>Table1[[#This Row],[Revenue]]-Table1[[#This Row],[COGS]]</f>
        <v>585</v>
      </c>
      <c r="Z166" s="3">
        <f>(Table1[[#This Row],[Profit]]/Table1[[#This Row],[Revenue]])</f>
        <v>0.24528301886792453</v>
      </c>
      <c r="AA166" s="1">
        <f>Table1[[#This Row],[Profit]]-Table1[[#This Row],[Total Shipping]]</f>
        <v>285</v>
      </c>
      <c r="AB166" s="3">
        <f>Table1[[#This Row],[Operating Profit]]/Table1[[#This Row],[Revenue]]</f>
        <v>0.11949685534591195</v>
      </c>
    </row>
    <row r="167" spans="1:28" x14ac:dyDescent="0.25">
      <c r="A167" t="s">
        <v>146</v>
      </c>
      <c r="B167">
        <v>298</v>
      </c>
      <c r="C167" t="s">
        <v>62</v>
      </c>
      <c r="D167" t="s">
        <v>48</v>
      </c>
      <c r="E167" t="s">
        <v>40</v>
      </c>
      <c r="F167" t="s">
        <v>54</v>
      </c>
      <c r="G167" t="str" cm="1">
        <f t="array" ref="G167">_xlfn.SWITCH(F167,"Acme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167" t="s">
        <v>33</v>
      </c>
      <c r="I167" t="s">
        <v>34</v>
      </c>
      <c r="J167" t="str" cm="1">
        <f t="array" ref="J167">_xlfn.SWITCH(I167,"P001","Laptop","P002","Server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67" s="1" cm="1">
        <f t="array" ref="K167">_xlfn.SWITCH(Table1[[#This Row],[Product ID]],"P001",220,"P002",150,"P003",130,"P004",70,"P005",200,"P006",40,"P007",25,"P008",20,"P009",190,"P010",530)</f>
        <v>20</v>
      </c>
      <c r="L167">
        <v>20</v>
      </c>
      <c r="M167" s="1">
        <f>Table1[[#This Row],[Unit Price]]*Table1[[#This Row],[Quantity]]</f>
        <v>400</v>
      </c>
      <c r="N167" s="2">
        <v>0.06</v>
      </c>
      <c r="O167" s="1">
        <f>Table1[[#This Row],[Gross Value]]*(1-Table1[[#This Row],[Discount]])</f>
        <v>376</v>
      </c>
      <c r="P167" s="2">
        <v>0.2</v>
      </c>
      <c r="Q167" s="1">
        <f>Table1[[#This Row],[Revenue]]*Table1[[#This Row],[VAT Rate]]</f>
        <v>75.2</v>
      </c>
      <c r="R167" s="1">
        <f>Table1[[#This Row],[Revenue]]+Table1[[#This Row],[VAT Charged]]</f>
        <v>451.2</v>
      </c>
      <c r="S167" s="1" cm="1">
        <f t="array" ref="S167">_xlfn.SWITCH(Table1[[#This Row],[Product ID]],"P001",140,"P002",80,"P003",72,"P004",30,"P005",110,"P006",24,"P007",14,"P008",12,"P009",115,"P010",360)</f>
        <v>12</v>
      </c>
      <c r="T167" s="1" cm="1">
        <f t="array" ref="T167">(_xlfn.SWITCH(Table1[[#This Row],[Product ID]],"P001",140,"P002",80,"P003",72,"P004",30,"P005",110,"P006",24,"P007",14,"P008",12,"P009",115,"P010",360))*Table1[[#This Row],[Quantity]]</f>
        <v>240</v>
      </c>
      <c r="U167" s="1" cm="1">
        <f t="array" ref="U167">_xlfn.SWITCH(Table1[[#This Row],[Product ID]],"P001",15,"P002",0,"P003",8,"P004",8,"P005",0,"P006",7,"P007",7,"P008",6,"P009",45,"P010",60)</f>
        <v>6</v>
      </c>
      <c r="V167" s="1">
        <f>Table1[[#This Row],[Shipping per Unit]]*Table1[[#This Row],[Quantity]]</f>
        <v>120</v>
      </c>
      <c r="W167" s="2">
        <f>IF(Table1[[#This Row],[Total Shipping]]&gt;0.1,0.2,0)</f>
        <v>0.2</v>
      </c>
      <c r="X167" s="4">
        <f>Table1[[#This Row],[Total Shipping]]*Table1[[#This Row],[VAT on Shipping]]</f>
        <v>24</v>
      </c>
      <c r="Y167" s="1">
        <f>Table1[[#This Row],[Revenue]]-Table1[[#This Row],[COGS]]</f>
        <v>136</v>
      </c>
      <c r="Z167" s="3">
        <f>(Table1[[#This Row],[Profit]]/Table1[[#This Row],[Revenue]])</f>
        <v>0.36170212765957449</v>
      </c>
      <c r="AA167" s="1">
        <f>Table1[[#This Row],[Profit]]-Table1[[#This Row],[Total Shipping]]</f>
        <v>16</v>
      </c>
      <c r="AB167" s="3">
        <f>Table1[[#This Row],[Operating Profit]]/Table1[[#This Row],[Revenue]]</f>
        <v>4.2553191489361701E-2</v>
      </c>
    </row>
    <row r="168" spans="1:28" x14ac:dyDescent="0.25">
      <c r="A168" t="s">
        <v>146</v>
      </c>
      <c r="B168">
        <v>670</v>
      </c>
      <c r="C168" t="s">
        <v>35</v>
      </c>
      <c r="D168" t="s">
        <v>36</v>
      </c>
      <c r="E168" t="s">
        <v>49</v>
      </c>
      <c r="F168" t="s">
        <v>102</v>
      </c>
      <c r="G168" t="str" cm="1">
        <f t="array" ref="G168">_xlfn.SWITCH(F168,"Acme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168" t="s">
        <v>33</v>
      </c>
      <c r="I168" t="s">
        <v>42</v>
      </c>
      <c r="J168" t="str" cm="1">
        <f t="array" ref="J168">_xlfn.SWITCH(I168,"P001","Laptop","P002","Server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68" s="1" cm="1">
        <f t="array" ref="K168">_xlfn.SWITCH(Table1[[#This Row],[Product ID]],"P001",220,"P002",150,"P003",130,"P004",70,"P005",200,"P006",40,"P007",25,"P008",20,"P009",190,"P010",530)</f>
        <v>40</v>
      </c>
      <c r="L168">
        <v>13</v>
      </c>
      <c r="M168" s="1">
        <f>Table1[[#This Row],[Unit Price]]*Table1[[#This Row],[Quantity]]</f>
        <v>520</v>
      </c>
      <c r="N168" s="2">
        <v>0.06</v>
      </c>
      <c r="O168" s="1">
        <f>Table1[[#This Row],[Gross Value]]*(1-Table1[[#This Row],[Discount]])</f>
        <v>488.79999999999995</v>
      </c>
      <c r="P168" s="2">
        <v>0.2</v>
      </c>
      <c r="Q168" s="1">
        <f>Table1[[#This Row],[Revenue]]*Table1[[#This Row],[VAT Rate]]</f>
        <v>97.759999999999991</v>
      </c>
      <c r="R168" s="1">
        <f>Table1[[#This Row],[Revenue]]+Table1[[#This Row],[VAT Charged]]</f>
        <v>586.55999999999995</v>
      </c>
      <c r="S168" s="1" cm="1">
        <f t="array" ref="S168">_xlfn.SWITCH(Table1[[#This Row],[Product ID]],"P001",140,"P002",80,"P003",72,"P004",30,"P005",110,"P006",24,"P007",14,"P008",12,"P009",115,"P010",360)</f>
        <v>24</v>
      </c>
      <c r="T168" s="1" cm="1">
        <f t="array" ref="T168">(_xlfn.SWITCH(Table1[[#This Row],[Product ID]],"P001",140,"P002",80,"P003",72,"P004",30,"P005",110,"P006",24,"P007",14,"P008",12,"P009",115,"P010",360))*Table1[[#This Row],[Quantity]]</f>
        <v>312</v>
      </c>
      <c r="U168" s="1" cm="1">
        <f t="array" ref="U168">_xlfn.SWITCH(Table1[[#This Row],[Product ID]],"P001",15,"P002",0,"P003",8,"P004",8,"P005",0,"P006",7,"P007",7,"P008",6,"P009",45,"P010",60)</f>
        <v>7</v>
      </c>
      <c r="V168" s="1">
        <f>Table1[[#This Row],[Shipping per Unit]]*Table1[[#This Row],[Quantity]]</f>
        <v>91</v>
      </c>
      <c r="W168" s="2">
        <f>IF(Table1[[#This Row],[Total Shipping]]&gt;0.1,0.2,0)</f>
        <v>0.2</v>
      </c>
      <c r="X168" s="4">
        <f>Table1[[#This Row],[Total Shipping]]*Table1[[#This Row],[VAT on Shipping]]</f>
        <v>18.2</v>
      </c>
      <c r="Y168" s="1">
        <f>Table1[[#This Row],[Revenue]]-Table1[[#This Row],[COGS]]</f>
        <v>176.79999999999995</v>
      </c>
      <c r="Z168" s="3">
        <f>(Table1[[#This Row],[Profit]]/Table1[[#This Row],[Revenue]])</f>
        <v>0.36170212765957444</v>
      </c>
      <c r="AA168" s="1">
        <f>Table1[[#This Row],[Profit]]-Table1[[#This Row],[Total Shipping]]</f>
        <v>85.799999999999955</v>
      </c>
      <c r="AB168" s="3">
        <f>Table1[[#This Row],[Operating Profit]]/Table1[[#This Row],[Revenue]]</f>
        <v>0.17553191489361694</v>
      </c>
    </row>
    <row r="169" spans="1:28" x14ac:dyDescent="0.25">
      <c r="A169" t="s">
        <v>146</v>
      </c>
      <c r="B169">
        <v>881</v>
      </c>
      <c r="C169" t="s">
        <v>38</v>
      </c>
      <c r="D169" t="s">
        <v>95</v>
      </c>
      <c r="E169" t="s">
        <v>31</v>
      </c>
      <c r="F169" t="s">
        <v>78</v>
      </c>
      <c r="G169" t="str" cm="1">
        <f t="array" ref="G169">_xlfn.SWITCH(F169,"Acme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169" t="s">
        <v>104</v>
      </c>
      <c r="I169" t="s">
        <v>70</v>
      </c>
      <c r="J169" t="str" cm="1">
        <f t="array" ref="J169">_xlfn.SWITCH(I169,"P001","Laptop","P002","Server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69" s="1" cm="1">
        <f t="array" ref="K169">_xlfn.SWITCH(Table1[[#This Row],[Product ID]],"P001",220,"P002",150,"P003",130,"P004",70,"P005",200,"P006",40,"P007",25,"P008",20,"P009",190,"P010",530)</f>
        <v>150</v>
      </c>
      <c r="L169">
        <v>18</v>
      </c>
      <c r="M169" s="1">
        <f>Table1[[#This Row],[Unit Price]]*Table1[[#This Row],[Quantity]]</f>
        <v>2700</v>
      </c>
      <c r="N169" s="2">
        <v>0.03</v>
      </c>
      <c r="O169" s="1">
        <f>Table1[[#This Row],[Gross Value]]*(1-Table1[[#This Row],[Discount]])</f>
        <v>2619</v>
      </c>
      <c r="P169" s="2">
        <v>0.2</v>
      </c>
      <c r="Q169" s="1">
        <f>Table1[[#This Row],[Revenue]]*Table1[[#This Row],[VAT Rate]]</f>
        <v>523.80000000000007</v>
      </c>
      <c r="R169" s="1">
        <f>Table1[[#This Row],[Revenue]]+Table1[[#This Row],[VAT Charged]]</f>
        <v>3142.8</v>
      </c>
      <c r="S169" s="1" cm="1">
        <f t="array" ref="S169">_xlfn.SWITCH(Table1[[#This Row],[Product ID]],"P001",140,"P002",80,"P003",72,"P004",30,"P005",110,"P006",24,"P007",14,"P008",12,"P009",115,"P010",360)</f>
        <v>80</v>
      </c>
      <c r="T169" s="1" cm="1">
        <f t="array" ref="T169">(_xlfn.SWITCH(Table1[[#This Row],[Product ID]],"P001",140,"P002",80,"P003",72,"P004",30,"P005",110,"P006",24,"P007",14,"P008",12,"P009",115,"P010",360))*Table1[[#This Row],[Quantity]]</f>
        <v>1440</v>
      </c>
      <c r="U169" s="1" cm="1">
        <f t="array" ref="U169">_xlfn.SWITCH(Table1[[#This Row],[Product ID]],"P001",15,"P002",0,"P003",8,"P004",8,"P005",0,"P006",7,"P007",7,"P008",6,"P009",45,"P010",60)</f>
        <v>0</v>
      </c>
      <c r="V169" s="1">
        <f>Table1[[#This Row],[Shipping per Unit]]*Table1[[#This Row],[Quantity]]</f>
        <v>0</v>
      </c>
      <c r="W169" s="2">
        <f>IF(Table1[[#This Row],[Total Shipping]]&gt;0.1,0.2,0)</f>
        <v>0</v>
      </c>
      <c r="X169" s="4">
        <f>Table1[[#This Row],[Total Shipping]]*Table1[[#This Row],[VAT on Shipping]]</f>
        <v>0</v>
      </c>
      <c r="Y169" s="1">
        <f>Table1[[#This Row],[Revenue]]-Table1[[#This Row],[COGS]]</f>
        <v>1179</v>
      </c>
      <c r="Z169" s="3">
        <f>(Table1[[#This Row],[Profit]]/Table1[[#This Row],[Revenue]])</f>
        <v>0.45017182130584193</v>
      </c>
      <c r="AA169" s="1">
        <f>Table1[[#This Row],[Profit]]-Table1[[#This Row],[Total Shipping]]</f>
        <v>1179</v>
      </c>
      <c r="AB169" s="3">
        <f>Table1[[#This Row],[Operating Profit]]/Table1[[#This Row],[Revenue]]</f>
        <v>0.45017182130584193</v>
      </c>
    </row>
    <row r="170" spans="1:28" x14ac:dyDescent="0.25">
      <c r="A170" t="s">
        <v>147</v>
      </c>
      <c r="B170">
        <v>92</v>
      </c>
      <c r="C170" t="s">
        <v>65</v>
      </c>
      <c r="D170" t="s">
        <v>30</v>
      </c>
      <c r="E170" t="s">
        <v>49</v>
      </c>
      <c r="F170" t="s">
        <v>59</v>
      </c>
      <c r="G170" t="str" cm="1">
        <f t="array" ref="G170">_xlfn.SWITCH(F170,"Acme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170" t="s">
        <v>33</v>
      </c>
      <c r="I170" t="s">
        <v>68</v>
      </c>
      <c r="J170" t="str" cm="1">
        <f t="array" ref="J170">_xlfn.SWITCH(I170,"P001","Laptop","P002","Server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70" s="1" cm="1">
        <f t="array" ref="K170">_xlfn.SWITCH(Table1[[#This Row],[Product ID]],"P001",220,"P002",150,"P003",130,"P004",70,"P005",200,"P006",40,"P007",25,"P008",20,"P009",190,"P010",530)</f>
        <v>220</v>
      </c>
      <c r="L170">
        <v>7</v>
      </c>
      <c r="M170" s="1">
        <f>Table1[[#This Row],[Unit Price]]*Table1[[#This Row],[Quantity]]</f>
        <v>1540</v>
      </c>
      <c r="N170" s="2">
        <v>0.06</v>
      </c>
      <c r="O170" s="1">
        <f>Table1[[#This Row],[Gross Value]]*(1-Table1[[#This Row],[Discount]])</f>
        <v>1447.6</v>
      </c>
      <c r="P170" s="2">
        <v>0.2</v>
      </c>
      <c r="Q170" s="1">
        <f>Table1[[#This Row],[Revenue]]*Table1[[#This Row],[VAT Rate]]</f>
        <v>289.52</v>
      </c>
      <c r="R170" s="1">
        <f>Table1[[#This Row],[Revenue]]+Table1[[#This Row],[VAT Charged]]</f>
        <v>1737.12</v>
      </c>
      <c r="S170" s="1" cm="1">
        <f t="array" ref="S170">_xlfn.SWITCH(Table1[[#This Row],[Product ID]],"P001",140,"P002",80,"P003",72,"P004",30,"P005",110,"P006",24,"P007",14,"P008",12,"P009",115,"P010",360)</f>
        <v>140</v>
      </c>
      <c r="T170" s="1" cm="1">
        <f t="array" ref="T170">(_xlfn.SWITCH(Table1[[#This Row],[Product ID]],"P001",140,"P002",80,"P003",72,"P004",30,"P005",110,"P006",24,"P007",14,"P008",12,"P009",115,"P010",360))*Table1[[#This Row],[Quantity]]</f>
        <v>980</v>
      </c>
      <c r="U170" s="1" cm="1">
        <f t="array" ref="U170">_xlfn.SWITCH(Table1[[#This Row],[Product ID]],"P001",15,"P002",0,"P003",8,"P004",8,"P005",0,"P006",7,"P007",7,"P008",6,"P009",45,"P010",60)</f>
        <v>15</v>
      </c>
      <c r="V170" s="1">
        <f>Table1[[#This Row],[Shipping per Unit]]*Table1[[#This Row],[Quantity]]</f>
        <v>105</v>
      </c>
      <c r="W170" s="2">
        <f>IF(Table1[[#This Row],[Total Shipping]]&gt;0.1,0.2,0)</f>
        <v>0.2</v>
      </c>
      <c r="X170" s="4">
        <f>Table1[[#This Row],[Total Shipping]]*Table1[[#This Row],[VAT on Shipping]]</f>
        <v>21</v>
      </c>
      <c r="Y170" s="1">
        <f>Table1[[#This Row],[Revenue]]-Table1[[#This Row],[COGS]]</f>
        <v>467.59999999999991</v>
      </c>
      <c r="Z170" s="3">
        <f>(Table1[[#This Row],[Profit]]/Table1[[#This Row],[Revenue]])</f>
        <v>0.32301740812379104</v>
      </c>
      <c r="AA170" s="1">
        <f>Table1[[#This Row],[Profit]]-Table1[[#This Row],[Total Shipping]]</f>
        <v>362.59999999999991</v>
      </c>
      <c r="AB170" s="3">
        <f>Table1[[#This Row],[Operating Profit]]/Table1[[#This Row],[Revenue]]</f>
        <v>0.25048355899419722</v>
      </c>
    </row>
    <row r="171" spans="1:28" x14ac:dyDescent="0.25">
      <c r="A171" t="s">
        <v>147</v>
      </c>
      <c r="B171">
        <v>176</v>
      </c>
      <c r="C171" t="s">
        <v>38</v>
      </c>
      <c r="D171" t="s">
        <v>30</v>
      </c>
      <c r="E171" t="s">
        <v>49</v>
      </c>
      <c r="F171" t="s">
        <v>97</v>
      </c>
      <c r="G171" t="str" cm="1">
        <f t="array" ref="G171">_xlfn.SWITCH(F171,"Acme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171" t="s">
        <v>58</v>
      </c>
      <c r="I171" t="s">
        <v>34</v>
      </c>
      <c r="J171" t="str" cm="1">
        <f t="array" ref="J171">_xlfn.SWITCH(I171,"P001","Laptop","P002","Server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71" s="1" cm="1">
        <f t="array" ref="K171">_xlfn.SWITCH(Table1[[#This Row],[Product ID]],"P001",220,"P002",150,"P003",130,"P004",70,"P005",200,"P006",40,"P007",25,"P008",20,"P009",190,"P010",530)</f>
        <v>20</v>
      </c>
      <c r="L171">
        <v>6</v>
      </c>
      <c r="M171" s="1">
        <f>Table1[[#This Row],[Unit Price]]*Table1[[#This Row],[Quantity]]</f>
        <v>120</v>
      </c>
      <c r="N171" s="2">
        <v>0.05</v>
      </c>
      <c r="O171" s="1">
        <f>Table1[[#This Row],[Gross Value]]*(1-Table1[[#This Row],[Discount]])</f>
        <v>114</v>
      </c>
      <c r="P171" s="2">
        <v>0.2</v>
      </c>
      <c r="Q171" s="1">
        <f>Table1[[#This Row],[Revenue]]*Table1[[#This Row],[VAT Rate]]</f>
        <v>22.8</v>
      </c>
      <c r="R171" s="1">
        <f>Table1[[#This Row],[Revenue]]+Table1[[#This Row],[VAT Charged]]</f>
        <v>136.80000000000001</v>
      </c>
      <c r="S171" s="1" cm="1">
        <f t="array" ref="S171">_xlfn.SWITCH(Table1[[#This Row],[Product ID]],"P001",140,"P002",80,"P003",72,"P004",30,"P005",110,"P006",24,"P007",14,"P008",12,"P009",115,"P010",360)</f>
        <v>12</v>
      </c>
      <c r="T171" s="1" cm="1">
        <f t="array" ref="T171">(_xlfn.SWITCH(Table1[[#This Row],[Product ID]],"P001",140,"P002",80,"P003",72,"P004",30,"P005",110,"P006",24,"P007",14,"P008",12,"P009",115,"P010",360))*Table1[[#This Row],[Quantity]]</f>
        <v>72</v>
      </c>
      <c r="U171" s="1" cm="1">
        <f t="array" ref="U171">_xlfn.SWITCH(Table1[[#This Row],[Product ID]],"P001",15,"P002",0,"P003",8,"P004",8,"P005",0,"P006",7,"P007",7,"P008",6,"P009",45,"P010",60)</f>
        <v>6</v>
      </c>
      <c r="V171" s="1">
        <f>Table1[[#This Row],[Shipping per Unit]]*Table1[[#This Row],[Quantity]]</f>
        <v>36</v>
      </c>
      <c r="W171" s="2">
        <f>IF(Table1[[#This Row],[Total Shipping]]&gt;0.1,0.2,0)</f>
        <v>0.2</v>
      </c>
      <c r="X171" s="4">
        <f>Table1[[#This Row],[Total Shipping]]*Table1[[#This Row],[VAT on Shipping]]</f>
        <v>7.2</v>
      </c>
      <c r="Y171" s="1">
        <f>Table1[[#This Row],[Revenue]]-Table1[[#This Row],[COGS]]</f>
        <v>42</v>
      </c>
      <c r="Z171" s="3">
        <f>(Table1[[#This Row],[Profit]]/Table1[[#This Row],[Revenue]])</f>
        <v>0.36842105263157893</v>
      </c>
      <c r="AA171" s="1">
        <f>Table1[[#This Row],[Profit]]-Table1[[#This Row],[Total Shipping]]</f>
        <v>6</v>
      </c>
      <c r="AB171" s="3">
        <f>Table1[[#This Row],[Operating Profit]]/Table1[[#This Row],[Revenue]]</f>
        <v>5.2631578947368418E-2</v>
      </c>
    </row>
    <row r="172" spans="1:28" x14ac:dyDescent="0.25">
      <c r="A172" t="s">
        <v>147</v>
      </c>
      <c r="B172">
        <v>234</v>
      </c>
      <c r="C172" t="s">
        <v>71</v>
      </c>
      <c r="D172" t="s">
        <v>67</v>
      </c>
      <c r="E172" t="s">
        <v>49</v>
      </c>
      <c r="F172" t="s">
        <v>87</v>
      </c>
      <c r="G172" t="str" cm="1">
        <f t="array" ref="G172">_xlfn.SWITCH(F172,"Acme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172" t="s">
        <v>33</v>
      </c>
      <c r="I172" t="s">
        <v>68</v>
      </c>
      <c r="J172" t="str" cm="1">
        <f t="array" ref="J172">_xlfn.SWITCH(I172,"P001","Laptop","P002","Server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72" s="1" cm="1">
        <f t="array" ref="K172">_xlfn.SWITCH(Table1[[#This Row],[Product ID]],"P001",220,"P002",150,"P003",130,"P004",70,"P005",200,"P006",40,"P007",25,"P008",20,"P009",190,"P010",530)</f>
        <v>220</v>
      </c>
      <c r="L172">
        <v>3</v>
      </c>
      <c r="M172" s="1">
        <f>Table1[[#This Row],[Unit Price]]*Table1[[#This Row],[Quantity]]</f>
        <v>660</v>
      </c>
      <c r="N172" s="2">
        <v>7.0000000000000007E-2</v>
      </c>
      <c r="O172" s="1">
        <f>Table1[[#This Row],[Gross Value]]*(1-Table1[[#This Row],[Discount]])</f>
        <v>613.79999999999995</v>
      </c>
      <c r="P172" s="2">
        <v>0.2</v>
      </c>
      <c r="Q172" s="1">
        <f>Table1[[#This Row],[Revenue]]*Table1[[#This Row],[VAT Rate]]</f>
        <v>122.75999999999999</v>
      </c>
      <c r="R172" s="1">
        <f>Table1[[#This Row],[Revenue]]+Table1[[#This Row],[VAT Charged]]</f>
        <v>736.56</v>
      </c>
      <c r="S172" s="1" cm="1">
        <f t="array" ref="S172">_xlfn.SWITCH(Table1[[#This Row],[Product ID]],"P001",140,"P002",80,"P003",72,"P004",30,"P005",110,"P006",24,"P007",14,"P008",12,"P009",115,"P010",360)</f>
        <v>140</v>
      </c>
      <c r="T172" s="1" cm="1">
        <f t="array" ref="T172">(_xlfn.SWITCH(Table1[[#This Row],[Product ID]],"P001",140,"P002",80,"P003",72,"P004",30,"P005",110,"P006",24,"P007",14,"P008",12,"P009",115,"P010",360))*Table1[[#This Row],[Quantity]]</f>
        <v>420</v>
      </c>
      <c r="U172" s="1" cm="1">
        <f t="array" ref="U172">_xlfn.SWITCH(Table1[[#This Row],[Product ID]],"P001",15,"P002",0,"P003",8,"P004",8,"P005",0,"P006",7,"P007",7,"P008",6,"P009",45,"P010",60)</f>
        <v>15</v>
      </c>
      <c r="V172" s="1">
        <f>Table1[[#This Row],[Shipping per Unit]]*Table1[[#This Row],[Quantity]]</f>
        <v>45</v>
      </c>
      <c r="W172" s="2">
        <f>IF(Table1[[#This Row],[Total Shipping]]&gt;0.1,0.2,0)</f>
        <v>0.2</v>
      </c>
      <c r="X172" s="4">
        <f>Table1[[#This Row],[Total Shipping]]*Table1[[#This Row],[VAT on Shipping]]</f>
        <v>9</v>
      </c>
      <c r="Y172" s="1">
        <f>Table1[[#This Row],[Revenue]]-Table1[[#This Row],[COGS]]</f>
        <v>193.79999999999995</v>
      </c>
      <c r="Z172" s="3">
        <f>(Table1[[#This Row],[Profit]]/Table1[[#This Row],[Revenue]])</f>
        <v>0.31573802541544471</v>
      </c>
      <c r="AA172" s="1">
        <f>Table1[[#This Row],[Profit]]-Table1[[#This Row],[Total Shipping]]</f>
        <v>148.79999999999995</v>
      </c>
      <c r="AB172" s="3">
        <f>Table1[[#This Row],[Operating Profit]]/Table1[[#This Row],[Revenue]]</f>
        <v>0.24242424242424238</v>
      </c>
    </row>
    <row r="173" spans="1:28" x14ac:dyDescent="0.25">
      <c r="A173" t="s">
        <v>147</v>
      </c>
      <c r="B173">
        <v>768</v>
      </c>
      <c r="C173" t="s">
        <v>38</v>
      </c>
      <c r="D173" t="s">
        <v>72</v>
      </c>
      <c r="E173" t="s">
        <v>49</v>
      </c>
      <c r="F173" t="s">
        <v>64</v>
      </c>
      <c r="G173" t="str" cm="1">
        <f t="array" ref="G173">_xlfn.SWITCH(F173,"Acme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73" t="s">
        <v>33</v>
      </c>
      <c r="I173" t="s">
        <v>42</v>
      </c>
      <c r="J173" t="str" cm="1">
        <f t="array" ref="J173">_xlfn.SWITCH(I173,"P001","Laptop","P002","Server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73" s="1" cm="1">
        <f t="array" ref="K173">_xlfn.SWITCH(Table1[[#This Row],[Product ID]],"P001",220,"P002",150,"P003",130,"P004",70,"P005",200,"P006",40,"P007",25,"P008",20,"P009",190,"P010",530)</f>
        <v>40</v>
      </c>
      <c r="L173">
        <v>8</v>
      </c>
      <c r="M173" s="1">
        <f>Table1[[#This Row],[Unit Price]]*Table1[[#This Row],[Quantity]]</f>
        <v>320</v>
      </c>
      <c r="N173" s="2">
        <v>0.02</v>
      </c>
      <c r="O173" s="1">
        <f>Table1[[#This Row],[Gross Value]]*(1-Table1[[#This Row],[Discount]])</f>
        <v>313.60000000000002</v>
      </c>
      <c r="P173" s="2">
        <v>0.2</v>
      </c>
      <c r="Q173" s="1">
        <f>Table1[[#This Row],[Revenue]]*Table1[[#This Row],[VAT Rate]]</f>
        <v>62.720000000000006</v>
      </c>
      <c r="R173" s="1">
        <f>Table1[[#This Row],[Revenue]]+Table1[[#This Row],[VAT Charged]]</f>
        <v>376.32000000000005</v>
      </c>
      <c r="S173" s="1" cm="1">
        <f t="array" ref="S173">_xlfn.SWITCH(Table1[[#This Row],[Product ID]],"P001",140,"P002",80,"P003",72,"P004",30,"P005",110,"P006",24,"P007",14,"P008",12,"P009",115,"P010",360)</f>
        <v>24</v>
      </c>
      <c r="T173" s="1" cm="1">
        <f t="array" ref="T173">(_xlfn.SWITCH(Table1[[#This Row],[Product ID]],"P001",140,"P002",80,"P003",72,"P004",30,"P005",110,"P006",24,"P007",14,"P008",12,"P009",115,"P010",360))*Table1[[#This Row],[Quantity]]</f>
        <v>192</v>
      </c>
      <c r="U173" s="1" cm="1">
        <f t="array" ref="U173">_xlfn.SWITCH(Table1[[#This Row],[Product ID]],"P001",15,"P002",0,"P003",8,"P004",8,"P005",0,"P006",7,"P007",7,"P008",6,"P009",45,"P010",60)</f>
        <v>7</v>
      </c>
      <c r="V173" s="1">
        <f>Table1[[#This Row],[Shipping per Unit]]*Table1[[#This Row],[Quantity]]</f>
        <v>56</v>
      </c>
      <c r="W173" s="2">
        <f>IF(Table1[[#This Row],[Total Shipping]]&gt;0.1,0.2,0)</f>
        <v>0.2</v>
      </c>
      <c r="X173" s="4">
        <f>Table1[[#This Row],[Total Shipping]]*Table1[[#This Row],[VAT on Shipping]]</f>
        <v>11.200000000000001</v>
      </c>
      <c r="Y173" s="1">
        <f>Table1[[#This Row],[Revenue]]-Table1[[#This Row],[COGS]]</f>
        <v>121.60000000000002</v>
      </c>
      <c r="Z173" s="3">
        <f>(Table1[[#This Row],[Profit]]/Table1[[#This Row],[Revenue]])</f>
        <v>0.38775510204081637</v>
      </c>
      <c r="AA173" s="1">
        <f>Table1[[#This Row],[Profit]]-Table1[[#This Row],[Total Shipping]]</f>
        <v>65.600000000000023</v>
      </c>
      <c r="AB173" s="3">
        <f>Table1[[#This Row],[Operating Profit]]/Table1[[#This Row],[Revenue]]</f>
        <v>0.20918367346938782</v>
      </c>
    </row>
    <row r="174" spans="1:28" x14ac:dyDescent="0.25">
      <c r="A174" t="s">
        <v>147</v>
      </c>
      <c r="B174">
        <v>840</v>
      </c>
      <c r="C174" t="s">
        <v>62</v>
      </c>
      <c r="D174" t="s">
        <v>57</v>
      </c>
      <c r="E174" t="s">
        <v>49</v>
      </c>
      <c r="F174" t="s">
        <v>37</v>
      </c>
      <c r="G174" t="str" cm="1">
        <f t="array" ref="G174">_xlfn.SWITCH(F174,"Acme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174" t="s">
        <v>104</v>
      </c>
      <c r="I174" t="s">
        <v>42</v>
      </c>
      <c r="J174" t="str" cm="1">
        <f t="array" ref="J174">_xlfn.SWITCH(I174,"P001","Laptop","P002","Server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74" s="1" cm="1">
        <f t="array" ref="K174">_xlfn.SWITCH(Table1[[#This Row],[Product ID]],"P001",220,"P002",150,"P003",130,"P004",70,"P005",200,"P006",40,"P007",25,"P008",20,"P009",190,"P010",530)</f>
        <v>40</v>
      </c>
      <c r="L174">
        <v>6</v>
      </c>
      <c r="M174" s="1">
        <f>Table1[[#This Row],[Unit Price]]*Table1[[#This Row],[Quantity]]</f>
        <v>240</v>
      </c>
      <c r="N174" s="2">
        <v>0.05</v>
      </c>
      <c r="O174" s="1">
        <f>Table1[[#This Row],[Gross Value]]*(1-Table1[[#This Row],[Discount]])</f>
        <v>228</v>
      </c>
      <c r="P174" s="2">
        <v>0.2</v>
      </c>
      <c r="Q174" s="1">
        <f>Table1[[#This Row],[Revenue]]*Table1[[#This Row],[VAT Rate]]</f>
        <v>45.6</v>
      </c>
      <c r="R174" s="1">
        <f>Table1[[#This Row],[Revenue]]+Table1[[#This Row],[VAT Charged]]</f>
        <v>273.60000000000002</v>
      </c>
      <c r="S174" s="1" cm="1">
        <f t="array" ref="S174">_xlfn.SWITCH(Table1[[#This Row],[Product ID]],"P001",140,"P002",80,"P003",72,"P004",30,"P005",110,"P006",24,"P007",14,"P008",12,"P009",115,"P010",360)</f>
        <v>24</v>
      </c>
      <c r="T174" s="1" cm="1">
        <f t="array" ref="T174">(_xlfn.SWITCH(Table1[[#This Row],[Product ID]],"P001",140,"P002",80,"P003",72,"P004",30,"P005",110,"P006",24,"P007",14,"P008",12,"P009",115,"P010",360))*Table1[[#This Row],[Quantity]]</f>
        <v>144</v>
      </c>
      <c r="U174" s="1" cm="1">
        <f t="array" ref="U174">_xlfn.SWITCH(Table1[[#This Row],[Product ID]],"P001",15,"P002",0,"P003",8,"P004",8,"P005",0,"P006",7,"P007",7,"P008",6,"P009",45,"P010",60)</f>
        <v>7</v>
      </c>
      <c r="V174" s="1">
        <f>Table1[[#This Row],[Shipping per Unit]]*Table1[[#This Row],[Quantity]]</f>
        <v>42</v>
      </c>
      <c r="W174" s="2">
        <f>IF(Table1[[#This Row],[Total Shipping]]&gt;0.1,0.2,0)</f>
        <v>0.2</v>
      </c>
      <c r="X174" s="4">
        <f>Table1[[#This Row],[Total Shipping]]*Table1[[#This Row],[VAT on Shipping]]</f>
        <v>8.4</v>
      </c>
      <c r="Y174" s="1">
        <f>Table1[[#This Row],[Revenue]]-Table1[[#This Row],[COGS]]</f>
        <v>84</v>
      </c>
      <c r="Z174" s="3">
        <f>(Table1[[#This Row],[Profit]]/Table1[[#This Row],[Revenue]])</f>
        <v>0.36842105263157893</v>
      </c>
      <c r="AA174" s="1">
        <f>Table1[[#This Row],[Profit]]-Table1[[#This Row],[Total Shipping]]</f>
        <v>42</v>
      </c>
      <c r="AB174" s="3">
        <f>Table1[[#This Row],[Operating Profit]]/Table1[[#This Row],[Revenue]]</f>
        <v>0.18421052631578946</v>
      </c>
    </row>
    <row r="175" spans="1:28" x14ac:dyDescent="0.25">
      <c r="A175" t="s">
        <v>148</v>
      </c>
      <c r="B175">
        <v>20</v>
      </c>
      <c r="C175" t="s">
        <v>56</v>
      </c>
      <c r="D175" t="s">
        <v>30</v>
      </c>
      <c r="E175" t="s">
        <v>49</v>
      </c>
      <c r="F175" t="s">
        <v>74</v>
      </c>
      <c r="G175" t="str" cm="1">
        <f t="array" ref="G175">_xlfn.SWITCH(F175,"Acme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175" t="s">
        <v>104</v>
      </c>
      <c r="I175" t="s">
        <v>68</v>
      </c>
      <c r="J175" t="str" cm="1">
        <f t="array" ref="J175">_xlfn.SWITCH(I175,"P001","Laptop","P002","Server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75" s="1" cm="1">
        <f t="array" ref="K175">_xlfn.SWITCH(Table1[[#This Row],[Product ID]],"P001",220,"P002",150,"P003",130,"P004",70,"P005",200,"P006",40,"P007",25,"P008",20,"P009",190,"P010",530)</f>
        <v>220</v>
      </c>
      <c r="L175">
        <v>10</v>
      </c>
      <c r="M175" s="1">
        <f>Table1[[#This Row],[Unit Price]]*Table1[[#This Row],[Quantity]]</f>
        <v>2200</v>
      </c>
      <c r="N175" s="2">
        <v>0.05</v>
      </c>
      <c r="O175" s="1">
        <f>Table1[[#This Row],[Gross Value]]*(1-Table1[[#This Row],[Discount]])</f>
        <v>2090</v>
      </c>
      <c r="P175" s="2">
        <v>0.2</v>
      </c>
      <c r="Q175" s="1">
        <f>Table1[[#This Row],[Revenue]]*Table1[[#This Row],[VAT Rate]]</f>
        <v>418</v>
      </c>
      <c r="R175" s="1">
        <f>Table1[[#This Row],[Revenue]]+Table1[[#This Row],[VAT Charged]]</f>
        <v>2508</v>
      </c>
      <c r="S175" s="1" cm="1">
        <f t="array" ref="S175">_xlfn.SWITCH(Table1[[#This Row],[Product ID]],"P001",140,"P002",80,"P003",72,"P004",30,"P005",110,"P006",24,"P007",14,"P008",12,"P009",115,"P010",360)</f>
        <v>140</v>
      </c>
      <c r="T175" s="1" cm="1">
        <f t="array" ref="T175">(_xlfn.SWITCH(Table1[[#This Row],[Product ID]],"P001",140,"P002",80,"P003",72,"P004",30,"P005",110,"P006",24,"P007",14,"P008",12,"P009",115,"P010",360))*Table1[[#This Row],[Quantity]]</f>
        <v>1400</v>
      </c>
      <c r="U175" s="1" cm="1">
        <f t="array" ref="U175">_xlfn.SWITCH(Table1[[#This Row],[Product ID]],"P001",15,"P002",0,"P003",8,"P004",8,"P005",0,"P006",7,"P007",7,"P008",6,"P009",45,"P010",60)</f>
        <v>15</v>
      </c>
      <c r="V175" s="1">
        <f>Table1[[#This Row],[Shipping per Unit]]*Table1[[#This Row],[Quantity]]</f>
        <v>150</v>
      </c>
      <c r="W175" s="2">
        <f>IF(Table1[[#This Row],[Total Shipping]]&gt;0.1,0.2,0)</f>
        <v>0.2</v>
      </c>
      <c r="X175" s="4">
        <f>Table1[[#This Row],[Total Shipping]]*Table1[[#This Row],[VAT on Shipping]]</f>
        <v>30</v>
      </c>
      <c r="Y175" s="1">
        <f>Table1[[#This Row],[Revenue]]-Table1[[#This Row],[COGS]]</f>
        <v>690</v>
      </c>
      <c r="Z175" s="3">
        <f>(Table1[[#This Row],[Profit]]/Table1[[#This Row],[Revenue]])</f>
        <v>0.33014354066985646</v>
      </c>
      <c r="AA175" s="1">
        <f>Table1[[#This Row],[Profit]]-Table1[[#This Row],[Total Shipping]]</f>
        <v>540</v>
      </c>
      <c r="AB175" s="3">
        <f>Table1[[#This Row],[Operating Profit]]/Table1[[#This Row],[Revenue]]</f>
        <v>0.25837320574162681</v>
      </c>
    </row>
    <row r="176" spans="1:28" x14ac:dyDescent="0.25">
      <c r="A176" t="s">
        <v>148</v>
      </c>
      <c r="B176">
        <v>287</v>
      </c>
      <c r="C176" t="s">
        <v>35</v>
      </c>
      <c r="D176" t="s">
        <v>95</v>
      </c>
      <c r="E176" t="s">
        <v>49</v>
      </c>
      <c r="F176" t="s">
        <v>32</v>
      </c>
      <c r="G176" t="str" cm="1">
        <f t="array" ref="G176">_xlfn.SWITCH(F176,"Acme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176" t="s">
        <v>33</v>
      </c>
      <c r="I176" t="s">
        <v>60</v>
      </c>
      <c r="J176" t="str" cm="1">
        <f t="array" ref="J176">_xlfn.SWITCH(I176,"P001","Laptop","P002","Server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176" s="1" cm="1">
        <f t="array" ref="K176">_xlfn.SWITCH(Table1[[#This Row],[Product ID]],"P001",220,"P002",150,"P003",130,"P004",70,"P005",200,"P006",40,"P007",25,"P008",20,"P009",190,"P010",530)</f>
        <v>25</v>
      </c>
      <c r="L176">
        <v>11</v>
      </c>
      <c r="M176" s="1">
        <f>Table1[[#This Row],[Unit Price]]*Table1[[#This Row],[Quantity]]</f>
        <v>275</v>
      </c>
      <c r="N176" s="2">
        <v>0.05</v>
      </c>
      <c r="O176" s="1">
        <f>Table1[[#This Row],[Gross Value]]*(1-Table1[[#This Row],[Discount]])</f>
        <v>261.25</v>
      </c>
      <c r="P176" s="2">
        <v>0.2</v>
      </c>
      <c r="Q176" s="1">
        <f>Table1[[#This Row],[Revenue]]*Table1[[#This Row],[VAT Rate]]</f>
        <v>52.25</v>
      </c>
      <c r="R176" s="1">
        <f>Table1[[#This Row],[Revenue]]+Table1[[#This Row],[VAT Charged]]</f>
        <v>313.5</v>
      </c>
      <c r="S176" s="1" cm="1">
        <f t="array" ref="S176">_xlfn.SWITCH(Table1[[#This Row],[Product ID]],"P001",140,"P002",80,"P003",72,"P004",30,"P005",110,"P006",24,"P007",14,"P008",12,"P009",115,"P010",360)</f>
        <v>14</v>
      </c>
      <c r="T176" s="1" cm="1">
        <f t="array" ref="T176">(_xlfn.SWITCH(Table1[[#This Row],[Product ID]],"P001",140,"P002",80,"P003",72,"P004",30,"P005",110,"P006",24,"P007",14,"P008",12,"P009",115,"P010",360))*Table1[[#This Row],[Quantity]]</f>
        <v>154</v>
      </c>
      <c r="U176" s="1" cm="1">
        <f t="array" ref="U176">_xlfn.SWITCH(Table1[[#This Row],[Product ID]],"P001",15,"P002",0,"P003",8,"P004",8,"P005",0,"P006",7,"P007",7,"P008",6,"P009",45,"P010",60)</f>
        <v>7</v>
      </c>
      <c r="V176" s="1">
        <f>Table1[[#This Row],[Shipping per Unit]]*Table1[[#This Row],[Quantity]]</f>
        <v>77</v>
      </c>
      <c r="W176" s="2">
        <f>IF(Table1[[#This Row],[Total Shipping]]&gt;0.1,0.2,0)</f>
        <v>0.2</v>
      </c>
      <c r="X176" s="4">
        <f>Table1[[#This Row],[Total Shipping]]*Table1[[#This Row],[VAT on Shipping]]</f>
        <v>15.4</v>
      </c>
      <c r="Y176" s="1">
        <f>Table1[[#This Row],[Revenue]]-Table1[[#This Row],[COGS]]</f>
        <v>107.25</v>
      </c>
      <c r="Z176" s="3">
        <f>(Table1[[#This Row],[Profit]]/Table1[[#This Row],[Revenue]])</f>
        <v>0.41052631578947368</v>
      </c>
      <c r="AA176" s="1">
        <f>Table1[[#This Row],[Profit]]-Table1[[#This Row],[Total Shipping]]</f>
        <v>30.25</v>
      </c>
      <c r="AB176" s="3">
        <f>Table1[[#This Row],[Operating Profit]]/Table1[[#This Row],[Revenue]]</f>
        <v>0.11578947368421053</v>
      </c>
    </row>
    <row r="177" spans="1:28" x14ac:dyDescent="0.25">
      <c r="A177" t="s">
        <v>148</v>
      </c>
      <c r="B177">
        <v>365</v>
      </c>
      <c r="C177" t="s">
        <v>38</v>
      </c>
      <c r="D177" t="s">
        <v>67</v>
      </c>
      <c r="E177" t="s">
        <v>49</v>
      </c>
      <c r="F177" t="s">
        <v>119</v>
      </c>
      <c r="G177" t="str" cm="1">
        <f t="array" ref="G177">_xlfn.SWITCH(F177,"Acme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177" t="s">
        <v>69</v>
      </c>
      <c r="I177" t="s">
        <v>55</v>
      </c>
      <c r="J177" t="str" cm="1">
        <f t="array" ref="J177">_xlfn.SWITCH(I177,"P001","Laptop","P002","Server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77" s="1" cm="1">
        <f t="array" ref="K177">_xlfn.SWITCH(Table1[[#This Row],[Product ID]],"P001",220,"P002",150,"P003",130,"P004",70,"P005",200,"P006",40,"P007",25,"P008",20,"P009",190,"P010",530)</f>
        <v>70</v>
      </c>
      <c r="L177">
        <v>10</v>
      </c>
      <c r="M177" s="1">
        <f>Table1[[#This Row],[Unit Price]]*Table1[[#This Row],[Quantity]]</f>
        <v>700</v>
      </c>
      <c r="N177" s="2">
        <v>0.02</v>
      </c>
      <c r="O177" s="1">
        <f>Table1[[#This Row],[Gross Value]]*(1-Table1[[#This Row],[Discount]])</f>
        <v>686</v>
      </c>
      <c r="P177" s="2">
        <v>0.2</v>
      </c>
      <c r="Q177" s="1">
        <f>Table1[[#This Row],[Revenue]]*Table1[[#This Row],[VAT Rate]]</f>
        <v>137.20000000000002</v>
      </c>
      <c r="R177" s="1">
        <f>Table1[[#This Row],[Revenue]]+Table1[[#This Row],[VAT Charged]]</f>
        <v>823.2</v>
      </c>
      <c r="S177" s="1" cm="1">
        <f t="array" ref="S177">_xlfn.SWITCH(Table1[[#This Row],[Product ID]],"P001",140,"P002",80,"P003",72,"P004",30,"P005",110,"P006",24,"P007",14,"P008",12,"P009",115,"P010",360)</f>
        <v>30</v>
      </c>
      <c r="T177" s="1" cm="1">
        <f t="array" ref="T177">(_xlfn.SWITCH(Table1[[#This Row],[Product ID]],"P001",140,"P002",80,"P003",72,"P004",30,"P005",110,"P006",24,"P007",14,"P008",12,"P009",115,"P010",360))*Table1[[#This Row],[Quantity]]</f>
        <v>300</v>
      </c>
      <c r="U177" s="1" cm="1">
        <f t="array" ref="U177">_xlfn.SWITCH(Table1[[#This Row],[Product ID]],"P001",15,"P002",0,"P003",8,"P004",8,"P005",0,"P006",7,"P007",7,"P008",6,"P009",45,"P010",60)</f>
        <v>8</v>
      </c>
      <c r="V177" s="1">
        <f>Table1[[#This Row],[Shipping per Unit]]*Table1[[#This Row],[Quantity]]</f>
        <v>80</v>
      </c>
      <c r="W177" s="2">
        <f>IF(Table1[[#This Row],[Total Shipping]]&gt;0.1,0.2,0)</f>
        <v>0.2</v>
      </c>
      <c r="X177" s="4">
        <f>Table1[[#This Row],[Total Shipping]]*Table1[[#This Row],[VAT on Shipping]]</f>
        <v>16</v>
      </c>
      <c r="Y177" s="1">
        <f>Table1[[#This Row],[Revenue]]-Table1[[#This Row],[COGS]]</f>
        <v>386</v>
      </c>
      <c r="Z177" s="3">
        <f>(Table1[[#This Row],[Profit]]/Table1[[#This Row],[Revenue]])</f>
        <v>0.56268221574344024</v>
      </c>
      <c r="AA177" s="1">
        <f>Table1[[#This Row],[Profit]]-Table1[[#This Row],[Total Shipping]]</f>
        <v>306</v>
      </c>
      <c r="AB177" s="3">
        <f>Table1[[#This Row],[Operating Profit]]/Table1[[#This Row],[Revenue]]</f>
        <v>0.44606413994169097</v>
      </c>
    </row>
    <row r="178" spans="1:28" x14ac:dyDescent="0.25">
      <c r="A178" t="s">
        <v>149</v>
      </c>
      <c r="B178">
        <v>48</v>
      </c>
      <c r="C178" t="s">
        <v>62</v>
      </c>
      <c r="D178" t="s">
        <v>67</v>
      </c>
      <c r="E178" t="s">
        <v>49</v>
      </c>
      <c r="F178" t="s">
        <v>32</v>
      </c>
      <c r="G178" t="str" cm="1">
        <f t="array" ref="G178">_xlfn.SWITCH(F178,"Acme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178" t="s">
        <v>104</v>
      </c>
      <c r="I178" t="s">
        <v>42</v>
      </c>
      <c r="J178" t="str" cm="1">
        <f t="array" ref="J178">_xlfn.SWITCH(I178,"P001","Laptop","P002","Server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78" s="1" cm="1">
        <f t="array" ref="K178">_xlfn.SWITCH(Table1[[#This Row],[Product ID]],"P001",220,"P002",150,"P003",130,"P004",70,"P005",200,"P006",40,"P007",25,"P008",20,"P009",190,"P010",530)</f>
        <v>40</v>
      </c>
      <c r="L178">
        <v>11</v>
      </c>
      <c r="M178" s="1">
        <f>Table1[[#This Row],[Unit Price]]*Table1[[#This Row],[Quantity]]</f>
        <v>440</v>
      </c>
      <c r="N178" s="2">
        <v>7.0000000000000007E-2</v>
      </c>
      <c r="O178" s="1">
        <f>Table1[[#This Row],[Gross Value]]*(1-Table1[[#This Row],[Discount]])</f>
        <v>409.2</v>
      </c>
      <c r="P178" s="2">
        <v>0.2</v>
      </c>
      <c r="Q178" s="1">
        <f>Table1[[#This Row],[Revenue]]*Table1[[#This Row],[VAT Rate]]</f>
        <v>81.84</v>
      </c>
      <c r="R178" s="1">
        <f>Table1[[#This Row],[Revenue]]+Table1[[#This Row],[VAT Charged]]</f>
        <v>491.03999999999996</v>
      </c>
      <c r="S178" s="1" cm="1">
        <f t="array" ref="S178">_xlfn.SWITCH(Table1[[#This Row],[Product ID]],"P001",140,"P002",80,"P003",72,"P004",30,"P005",110,"P006",24,"P007",14,"P008",12,"P009",115,"P010",360)</f>
        <v>24</v>
      </c>
      <c r="T178" s="1" cm="1">
        <f t="array" ref="T178">(_xlfn.SWITCH(Table1[[#This Row],[Product ID]],"P001",140,"P002",80,"P003",72,"P004",30,"P005",110,"P006",24,"P007",14,"P008",12,"P009",115,"P010",360))*Table1[[#This Row],[Quantity]]</f>
        <v>264</v>
      </c>
      <c r="U178" s="1" cm="1">
        <f t="array" ref="U178">_xlfn.SWITCH(Table1[[#This Row],[Product ID]],"P001",15,"P002",0,"P003",8,"P004",8,"P005",0,"P006",7,"P007",7,"P008",6,"P009",45,"P010",60)</f>
        <v>7</v>
      </c>
      <c r="V178" s="1">
        <f>Table1[[#This Row],[Shipping per Unit]]*Table1[[#This Row],[Quantity]]</f>
        <v>77</v>
      </c>
      <c r="W178" s="2">
        <f>IF(Table1[[#This Row],[Total Shipping]]&gt;0.1,0.2,0)</f>
        <v>0.2</v>
      </c>
      <c r="X178" s="4">
        <f>Table1[[#This Row],[Total Shipping]]*Table1[[#This Row],[VAT on Shipping]]</f>
        <v>15.4</v>
      </c>
      <c r="Y178" s="1">
        <f>Table1[[#This Row],[Revenue]]-Table1[[#This Row],[COGS]]</f>
        <v>145.19999999999999</v>
      </c>
      <c r="Z178" s="3">
        <f>(Table1[[#This Row],[Profit]]/Table1[[#This Row],[Revenue]])</f>
        <v>0.35483870967741932</v>
      </c>
      <c r="AA178" s="1">
        <f>Table1[[#This Row],[Profit]]-Table1[[#This Row],[Total Shipping]]</f>
        <v>68.199999999999989</v>
      </c>
      <c r="AB178" s="3">
        <f>Table1[[#This Row],[Operating Profit]]/Table1[[#This Row],[Revenue]]</f>
        <v>0.16666666666666663</v>
      </c>
    </row>
    <row r="179" spans="1:28" x14ac:dyDescent="0.25">
      <c r="A179" t="s">
        <v>149</v>
      </c>
      <c r="B179">
        <v>317</v>
      </c>
      <c r="C179" t="s">
        <v>62</v>
      </c>
      <c r="D179" t="s">
        <v>63</v>
      </c>
      <c r="E179" t="s">
        <v>40</v>
      </c>
      <c r="F179" t="s">
        <v>87</v>
      </c>
      <c r="G179" t="str" cm="1">
        <f t="array" ref="G179">_xlfn.SWITCH(F179,"Acme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179" t="s">
        <v>45</v>
      </c>
      <c r="I179" t="s">
        <v>91</v>
      </c>
      <c r="J179" t="str" cm="1">
        <f t="array" ref="J179">_xlfn.SWITCH(I179,"P001","Laptop","P002","Server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179" s="1" cm="1">
        <f t="array" ref="K179">_xlfn.SWITCH(Table1[[#This Row],[Product ID]],"P001",220,"P002",150,"P003",130,"P004",70,"P005",200,"P006",40,"P007",25,"P008",20,"P009",190,"P010",530)</f>
        <v>190</v>
      </c>
      <c r="L179">
        <v>7</v>
      </c>
      <c r="M179" s="1">
        <f>Table1[[#This Row],[Unit Price]]*Table1[[#This Row],[Quantity]]</f>
        <v>1330</v>
      </c>
      <c r="N179" s="2">
        <v>0.1</v>
      </c>
      <c r="O179" s="1">
        <f>Table1[[#This Row],[Gross Value]]*(1-Table1[[#This Row],[Discount]])</f>
        <v>1197</v>
      </c>
      <c r="P179" s="2">
        <v>0.2</v>
      </c>
      <c r="Q179" s="1">
        <f>Table1[[#This Row],[Revenue]]*Table1[[#This Row],[VAT Rate]]</f>
        <v>239.4</v>
      </c>
      <c r="R179" s="1">
        <f>Table1[[#This Row],[Revenue]]+Table1[[#This Row],[VAT Charged]]</f>
        <v>1436.4</v>
      </c>
      <c r="S179" s="1" cm="1">
        <f t="array" ref="S179">_xlfn.SWITCH(Table1[[#This Row],[Product ID]],"P001",140,"P002",80,"P003",72,"P004",30,"P005",110,"P006",24,"P007",14,"P008",12,"P009",115,"P010",360)</f>
        <v>115</v>
      </c>
      <c r="T179" s="1" cm="1">
        <f t="array" ref="T179">(_xlfn.SWITCH(Table1[[#This Row],[Product ID]],"P001",140,"P002",80,"P003",72,"P004",30,"P005",110,"P006",24,"P007",14,"P008",12,"P009",115,"P010",360))*Table1[[#This Row],[Quantity]]</f>
        <v>805</v>
      </c>
      <c r="U179" s="1" cm="1">
        <f t="array" ref="U179">_xlfn.SWITCH(Table1[[#This Row],[Product ID]],"P001",15,"P002",0,"P003",8,"P004",8,"P005",0,"P006",7,"P007",7,"P008",6,"P009",45,"P010",60)</f>
        <v>45</v>
      </c>
      <c r="V179" s="1">
        <f>Table1[[#This Row],[Shipping per Unit]]*Table1[[#This Row],[Quantity]]</f>
        <v>315</v>
      </c>
      <c r="W179" s="2">
        <f>IF(Table1[[#This Row],[Total Shipping]]&gt;0.1,0.2,0)</f>
        <v>0.2</v>
      </c>
      <c r="X179" s="4">
        <f>Table1[[#This Row],[Total Shipping]]*Table1[[#This Row],[VAT on Shipping]]</f>
        <v>63</v>
      </c>
      <c r="Y179" s="1">
        <f>Table1[[#This Row],[Revenue]]-Table1[[#This Row],[COGS]]</f>
        <v>392</v>
      </c>
      <c r="Z179" s="3">
        <f>(Table1[[#This Row],[Profit]]/Table1[[#This Row],[Revenue]])</f>
        <v>0.32748538011695905</v>
      </c>
      <c r="AA179" s="1">
        <f>Table1[[#This Row],[Profit]]-Table1[[#This Row],[Total Shipping]]</f>
        <v>77</v>
      </c>
      <c r="AB179" s="3">
        <f>Table1[[#This Row],[Operating Profit]]/Table1[[#This Row],[Revenue]]</f>
        <v>6.4327485380116955E-2</v>
      </c>
    </row>
    <row r="180" spans="1:28" x14ac:dyDescent="0.25">
      <c r="A180" t="s">
        <v>150</v>
      </c>
      <c r="B180">
        <v>135</v>
      </c>
      <c r="C180" t="s">
        <v>71</v>
      </c>
      <c r="D180" t="s">
        <v>57</v>
      </c>
      <c r="E180" t="s">
        <v>49</v>
      </c>
      <c r="F180" t="s">
        <v>98</v>
      </c>
      <c r="G180" t="str" cm="1">
        <f t="array" ref="G180">_xlfn.SWITCH(F180,"Acme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180" t="s">
        <v>51</v>
      </c>
      <c r="I180" t="s">
        <v>34</v>
      </c>
      <c r="J180" t="str" cm="1">
        <f t="array" ref="J180">_xlfn.SWITCH(I180,"P001","Laptop","P002","Server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80" s="1" cm="1">
        <f t="array" ref="K180">_xlfn.SWITCH(Table1[[#This Row],[Product ID]],"P001",220,"P002",150,"P003",130,"P004",70,"P005",200,"P006",40,"P007",25,"P008",20,"P009",190,"P010",530)</f>
        <v>20</v>
      </c>
      <c r="L180">
        <v>18</v>
      </c>
      <c r="M180" s="1">
        <f>Table1[[#This Row],[Unit Price]]*Table1[[#This Row],[Quantity]]</f>
        <v>360</v>
      </c>
      <c r="N180" s="2">
        <v>0.02</v>
      </c>
      <c r="O180" s="1">
        <f>Table1[[#This Row],[Gross Value]]*(1-Table1[[#This Row],[Discount]])</f>
        <v>352.8</v>
      </c>
      <c r="P180" s="2">
        <v>0.2</v>
      </c>
      <c r="Q180" s="1">
        <f>Table1[[#This Row],[Revenue]]*Table1[[#This Row],[VAT Rate]]</f>
        <v>70.56</v>
      </c>
      <c r="R180" s="1">
        <f>Table1[[#This Row],[Revenue]]+Table1[[#This Row],[VAT Charged]]</f>
        <v>423.36</v>
      </c>
      <c r="S180" s="1" cm="1">
        <f t="array" ref="S180">_xlfn.SWITCH(Table1[[#This Row],[Product ID]],"P001",140,"P002",80,"P003",72,"P004",30,"P005",110,"P006",24,"P007",14,"P008",12,"P009",115,"P010",360)</f>
        <v>12</v>
      </c>
      <c r="T180" s="1" cm="1">
        <f t="array" ref="T180">(_xlfn.SWITCH(Table1[[#This Row],[Product ID]],"P001",140,"P002",80,"P003",72,"P004",30,"P005",110,"P006",24,"P007",14,"P008",12,"P009",115,"P010",360))*Table1[[#This Row],[Quantity]]</f>
        <v>216</v>
      </c>
      <c r="U180" s="1" cm="1">
        <f t="array" ref="U180">_xlfn.SWITCH(Table1[[#This Row],[Product ID]],"P001",15,"P002",0,"P003",8,"P004",8,"P005",0,"P006",7,"P007",7,"P008",6,"P009",45,"P010",60)</f>
        <v>6</v>
      </c>
      <c r="V180" s="1">
        <f>Table1[[#This Row],[Shipping per Unit]]*Table1[[#This Row],[Quantity]]</f>
        <v>108</v>
      </c>
      <c r="W180" s="2">
        <f>IF(Table1[[#This Row],[Total Shipping]]&gt;0.1,0.2,0)</f>
        <v>0.2</v>
      </c>
      <c r="X180" s="4">
        <f>Table1[[#This Row],[Total Shipping]]*Table1[[#This Row],[VAT on Shipping]]</f>
        <v>21.6</v>
      </c>
      <c r="Y180" s="1">
        <f>Table1[[#This Row],[Revenue]]-Table1[[#This Row],[COGS]]</f>
        <v>136.80000000000001</v>
      </c>
      <c r="Z180" s="3">
        <f>(Table1[[#This Row],[Profit]]/Table1[[#This Row],[Revenue]])</f>
        <v>0.38775510204081637</v>
      </c>
      <c r="AA180" s="1">
        <f>Table1[[#This Row],[Profit]]-Table1[[#This Row],[Total Shipping]]</f>
        <v>28.800000000000011</v>
      </c>
      <c r="AB180" s="3">
        <f>Table1[[#This Row],[Operating Profit]]/Table1[[#This Row],[Revenue]]</f>
        <v>8.1632653061224525E-2</v>
      </c>
    </row>
    <row r="181" spans="1:28" x14ac:dyDescent="0.25">
      <c r="A181" t="s">
        <v>150</v>
      </c>
      <c r="B181">
        <v>791</v>
      </c>
      <c r="C181" t="s">
        <v>65</v>
      </c>
      <c r="D181" t="s">
        <v>95</v>
      </c>
      <c r="E181" t="s">
        <v>40</v>
      </c>
      <c r="F181" t="s">
        <v>37</v>
      </c>
      <c r="G181" t="str" cm="1">
        <f t="array" ref="G181">_xlfn.SWITCH(F181,"Acme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181" t="s">
        <v>33</v>
      </c>
      <c r="I181" t="s">
        <v>55</v>
      </c>
      <c r="J181" t="str" cm="1">
        <f t="array" ref="J181">_xlfn.SWITCH(I181,"P001","Laptop","P002","Server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81" s="1" cm="1">
        <f t="array" ref="K181">_xlfn.SWITCH(Table1[[#This Row],[Product ID]],"P001",220,"P002",150,"P003",130,"P004",70,"P005",200,"P006",40,"P007",25,"P008",20,"P009",190,"P010",530)</f>
        <v>70</v>
      </c>
      <c r="L181">
        <v>9</v>
      </c>
      <c r="M181" s="1">
        <f>Table1[[#This Row],[Unit Price]]*Table1[[#This Row],[Quantity]]</f>
        <v>630</v>
      </c>
      <c r="N181" s="2">
        <v>0.08</v>
      </c>
      <c r="O181" s="1">
        <f>Table1[[#This Row],[Gross Value]]*(1-Table1[[#This Row],[Discount]])</f>
        <v>579.6</v>
      </c>
      <c r="P181" s="2">
        <v>0.2</v>
      </c>
      <c r="Q181" s="1">
        <f>Table1[[#This Row],[Revenue]]*Table1[[#This Row],[VAT Rate]]</f>
        <v>115.92000000000002</v>
      </c>
      <c r="R181" s="1">
        <f>Table1[[#This Row],[Revenue]]+Table1[[#This Row],[VAT Charged]]</f>
        <v>695.52</v>
      </c>
      <c r="S181" s="1" cm="1">
        <f t="array" ref="S181">_xlfn.SWITCH(Table1[[#This Row],[Product ID]],"P001",140,"P002",80,"P003",72,"P004",30,"P005",110,"P006",24,"P007",14,"P008",12,"P009",115,"P010",360)</f>
        <v>30</v>
      </c>
      <c r="T181" s="1" cm="1">
        <f t="array" ref="T181">(_xlfn.SWITCH(Table1[[#This Row],[Product ID]],"P001",140,"P002",80,"P003",72,"P004",30,"P005",110,"P006",24,"P007",14,"P008",12,"P009",115,"P010",360))*Table1[[#This Row],[Quantity]]</f>
        <v>270</v>
      </c>
      <c r="U181" s="1" cm="1">
        <f t="array" ref="U181">_xlfn.SWITCH(Table1[[#This Row],[Product ID]],"P001",15,"P002",0,"P003",8,"P004",8,"P005",0,"P006",7,"P007",7,"P008",6,"P009",45,"P010",60)</f>
        <v>8</v>
      </c>
      <c r="V181" s="1">
        <f>Table1[[#This Row],[Shipping per Unit]]*Table1[[#This Row],[Quantity]]</f>
        <v>72</v>
      </c>
      <c r="W181" s="2">
        <f>IF(Table1[[#This Row],[Total Shipping]]&gt;0.1,0.2,0)</f>
        <v>0.2</v>
      </c>
      <c r="X181" s="4">
        <f>Table1[[#This Row],[Total Shipping]]*Table1[[#This Row],[VAT on Shipping]]</f>
        <v>14.4</v>
      </c>
      <c r="Y181" s="1">
        <f>Table1[[#This Row],[Revenue]]-Table1[[#This Row],[COGS]]</f>
        <v>309.60000000000002</v>
      </c>
      <c r="Z181" s="3">
        <f>(Table1[[#This Row],[Profit]]/Table1[[#This Row],[Revenue]])</f>
        <v>0.53416149068322982</v>
      </c>
      <c r="AA181" s="1">
        <f>Table1[[#This Row],[Profit]]-Table1[[#This Row],[Total Shipping]]</f>
        <v>237.60000000000002</v>
      </c>
      <c r="AB181" s="3">
        <f>Table1[[#This Row],[Operating Profit]]/Table1[[#This Row],[Revenue]]</f>
        <v>0.40993788819875776</v>
      </c>
    </row>
    <row r="182" spans="1:28" x14ac:dyDescent="0.25">
      <c r="A182" t="s">
        <v>151</v>
      </c>
      <c r="B182">
        <v>142</v>
      </c>
      <c r="C182" t="s">
        <v>38</v>
      </c>
      <c r="D182" t="s">
        <v>53</v>
      </c>
      <c r="E182" t="s">
        <v>49</v>
      </c>
      <c r="F182" t="s">
        <v>66</v>
      </c>
      <c r="G182" t="str" cm="1">
        <f t="array" ref="G182">_xlfn.SWITCH(F182,"Acme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182" t="s">
        <v>33</v>
      </c>
      <c r="I182" t="s">
        <v>70</v>
      </c>
      <c r="J182" t="str" cm="1">
        <f t="array" ref="J182">_xlfn.SWITCH(I182,"P001","Laptop","P002","Server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82" s="1" cm="1">
        <f t="array" ref="K182">_xlfn.SWITCH(Table1[[#This Row],[Product ID]],"P001",220,"P002",150,"P003",130,"P004",70,"P005",200,"P006",40,"P007",25,"P008",20,"P009",190,"P010",530)</f>
        <v>150</v>
      </c>
      <c r="L182">
        <v>11</v>
      </c>
      <c r="M182" s="1">
        <f>Table1[[#This Row],[Unit Price]]*Table1[[#This Row],[Quantity]]</f>
        <v>1650</v>
      </c>
      <c r="N182" s="2">
        <v>0.08</v>
      </c>
      <c r="O182" s="1">
        <f>Table1[[#This Row],[Gross Value]]*(1-Table1[[#This Row],[Discount]])</f>
        <v>1518</v>
      </c>
      <c r="P182" s="2">
        <v>0.2</v>
      </c>
      <c r="Q182" s="1">
        <f>Table1[[#This Row],[Revenue]]*Table1[[#This Row],[VAT Rate]]</f>
        <v>303.60000000000002</v>
      </c>
      <c r="R182" s="1">
        <f>Table1[[#This Row],[Revenue]]+Table1[[#This Row],[VAT Charged]]</f>
        <v>1821.6</v>
      </c>
      <c r="S182" s="1" cm="1">
        <f t="array" ref="S182">_xlfn.SWITCH(Table1[[#This Row],[Product ID]],"P001",140,"P002",80,"P003",72,"P004",30,"P005",110,"P006",24,"P007",14,"P008",12,"P009",115,"P010",360)</f>
        <v>80</v>
      </c>
      <c r="T182" s="1" cm="1">
        <f t="array" ref="T182">(_xlfn.SWITCH(Table1[[#This Row],[Product ID]],"P001",140,"P002",80,"P003",72,"P004",30,"P005",110,"P006",24,"P007",14,"P008",12,"P009",115,"P010",360))*Table1[[#This Row],[Quantity]]</f>
        <v>880</v>
      </c>
      <c r="U182" s="1" cm="1">
        <f t="array" ref="U182">_xlfn.SWITCH(Table1[[#This Row],[Product ID]],"P001",15,"P002",0,"P003",8,"P004",8,"P005",0,"P006",7,"P007",7,"P008",6,"P009",45,"P010",60)</f>
        <v>0</v>
      </c>
      <c r="V182" s="1">
        <f>Table1[[#This Row],[Shipping per Unit]]*Table1[[#This Row],[Quantity]]</f>
        <v>0</v>
      </c>
      <c r="W182" s="2">
        <f>IF(Table1[[#This Row],[Total Shipping]]&gt;0.1,0.2,0)</f>
        <v>0</v>
      </c>
      <c r="X182" s="4">
        <f>Table1[[#This Row],[Total Shipping]]*Table1[[#This Row],[VAT on Shipping]]</f>
        <v>0</v>
      </c>
      <c r="Y182" s="1">
        <f>Table1[[#This Row],[Revenue]]-Table1[[#This Row],[COGS]]</f>
        <v>638</v>
      </c>
      <c r="Z182" s="3">
        <f>(Table1[[#This Row],[Profit]]/Table1[[#This Row],[Revenue]])</f>
        <v>0.42028985507246375</v>
      </c>
      <c r="AA182" s="1">
        <f>Table1[[#This Row],[Profit]]-Table1[[#This Row],[Total Shipping]]</f>
        <v>638</v>
      </c>
      <c r="AB182" s="3">
        <f>Table1[[#This Row],[Operating Profit]]/Table1[[#This Row],[Revenue]]</f>
        <v>0.42028985507246375</v>
      </c>
    </row>
    <row r="183" spans="1:28" x14ac:dyDescent="0.25">
      <c r="A183" t="s">
        <v>151</v>
      </c>
      <c r="B183">
        <v>485</v>
      </c>
      <c r="C183" t="s">
        <v>29</v>
      </c>
      <c r="D183" t="s">
        <v>63</v>
      </c>
      <c r="E183" t="s">
        <v>40</v>
      </c>
      <c r="F183" t="s">
        <v>86</v>
      </c>
      <c r="G183" t="str" cm="1">
        <f t="array" ref="G183">_xlfn.SWITCH(F183,"Acme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183" t="s">
        <v>45</v>
      </c>
      <c r="I183" t="s">
        <v>42</v>
      </c>
      <c r="J183" t="str" cm="1">
        <f t="array" ref="J183">_xlfn.SWITCH(I183,"P001","Laptop","P002","Server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83" s="1" cm="1">
        <f t="array" ref="K183">_xlfn.SWITCH(Table1[[#This Row],[Product ID]],"P001",220,"P002",150,"P003",130,"P004",70,"P005",200,"P006",40,"P007",25,"P008",20,"P009",190,"P010",530)</f>
        <v>40</v>
      </c>
      <c r="L183">
        <v>1</v>
      </c>
      <c r="M183" s="1">
        <f>Table1[[#This Row],[Unit Price]]*Table1[[#This Row],[Quantity]]</f>
        <v>40</v>
      </c>
      <c r="N183" s="2">
        <v>0.05</v>
      </c>
      <c r="O183" s="1">
        <f>Table1[[#This Row],[Gross Value]]*(1-Table1[[#This Row],[Discount]])</f>
        <v>38</v>
      </c>
      <c r="P183" s="2">
        <v>0.2</v>
      </c>
      <c r="Q183" s="1">
        <f>Table1[[#This Row],[Revenue]]*Table1[[#This Row],[VAT Rate]]</f>
        <v>7.6000000000000005</v>
      </c>
      <c r="R183" s="1">
        <f>Table1[[#This Row],[Revenue]]+Table1[[#This Row],[VAT Charged]]</f>
        <v>45.6</v>
      </c>
      <c r="S183" s="1" cm="1">
        <f t="array" ref="S183">_xlfn.SWITCH(Table1[[#This Row],[Product ID]],"P001",140,"P002",80,"P003",72,"P004",30,"P005",110,"P006",24,"P007",14,"P008",12,"P009",115,"P010",360)</f>
        <v>24</v>
      </c>
      <c r="T183" s="1" cm="1">
        <f t="array" ref="T183">(_xlfn.SWITCH(Table1[[#This Row],[Product ID]],"P001",140,"P002",80,"P003",72,"P004",30,"P005",110,"P006",24,"P007",14,"P008",12,"P009",115,"P010",360))*Table1[[#This Row],[Quantity]]</f>
        <v>24</v>
      </c>
      <c r="U183" s="1" cm="1">
        <f t="array" ref="U183">_xlfn.SWITCH(Table1[[#This Row],[Product ID]],"P001",15,"P002",0,"P003",8,"P004",8,"P005",0,"P006",7,"P007",7,"P008",6,"P009",45,"P010",60)</f>
        <v>7</v>
      </c>
      <c r="V183" s="1">
        <f>Table1[[#This Row],[Shipping per Unit]]*Table1[[#This Row],[Quantity]]</f>
        <v>7</v>
      </c>
      <c r="W183" s="2">
        <f>IF(Table1[[#This Row],[Total Shipping]]&gt;0.1,0.2,0)</f>
        <v>0.2</v>
      </c>
      <c r="X183" s="4">
        <f>Table1[[#This Row],[Total Shipping]]*Table1[[#This Row],[VAT on Shipping]]</f>
        <v>1.4000000000000001</v>
      </c>
      <c r="Y183" s="1">
        <f>Table1[[#This Row],[Revenue]]-Table1[[#This Row],[COGS]]</f>
        <v>14</v>
      </c>
      <c r="Z183" s="3">
        <f>(Table1[[#This Row],[Profit]]/Table1[[#This Row],[Revenue]])</f>
        <v>0.36842105263157893</v>
      </c>
      <c r="AA183" s="1">
        <f>Table1[[#This Row],[Profit]]-Table1[[#This Row],[Total Shipping]]</f>
        <v>7</v>
      </c>
      <c r="AB183" s="3">
        <f>Table1[[#This Row],[Operating Profit]]/Table1[[#This Row],[Revenue]]</f>
        <v>0.18421052631578946</v>
      </c>
    </row>
    <row r="184" spans="1:28" x14ac:dyDescent="0.25">
      <c r="A184" t="s">
        <v>152</v>
      </c>
      <c r="B184">
        <v>224</v>
      </c>
      <c r="C184" t="s">
        <v>35</v>
      </c>
      <c r="D184" t="s">
        <v>39</v>
      </c>
      <c r="E184" t="s">
        <v>49</v>
      </c>
      <c r="F184" t="s">
        <v>119</v>
      </c>
      <c r="G184" t="str" cm="1">
        <f t="array" ref="G184">_xlfn.SWITCH(F184,"Acme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184" t="s">
        <v>58</v>
      </c>
      <c r="I184" t="s">
        <v>91</v>
      </c>
      <c r="J184" t="str" cm="1">
        <f t="array" ref="J184">_xlfn.SWITCH(I184,"P001","Laptop","P002","Server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184" s="1" cm="1">
        <f t="array" ref="K184">_xlfn.SWITCH(Table1[[#This Row],[Product ID]],"P001",220,"P002",150,"P003",130,"P004",70,"P005",200,"P006",40,"P007",25,"P008",20,"P009",190,"P010",530)</f>
        <v>190</v>
      </c>
      <c r="L184">
        <v>13</v>
      </c>
      <c r="M184" s="1">
        <f>Table1[[#This Row],[Unit Price]]*Table1[[#This Row],[Quantity]]</f>
        <v>2470</v>
      </c>
      <c r="N184" s="2">
        <v>0.1</v>
      </c>
      <c r="O184" s="1">
        <f>Table1[[#This Row],[Gross Value]]*(1-Table1[[#This Row],[Discount]])</f>
        <v>2223</v>
      </c>
      <c r="P184" s="2">
        <v>0.2</v>
      </c>
      <c r="Q184" s="1">
        <f>Table1[[#This Row],[Revenue]]*Table1[[#This Row],[VAT Rate]]</f>
        <v>444.6</v>
      </c>
      <c r="R184" s="1">
        <f>Table1[[#This Row],[Revenue]]+Table1[[#This Row],[VAT Charged]]</f>
        <v>2667.6</v>
      </c>
      <c r="S184" s="1" cm="1">
        <f t="array" ref="S184">_xlfn.SWITCH(Table1[[#This Row],[Product ID]],"P001",140,"P002",80,"P003",72,"P004",30,"P005",110,"P006",24,"P007",14,"P008",12,"P009",115,"P010",360)</f>
        <v>115</v>
      </c>
      <c r="T184" s="1" cm="1">
        <f t="array" ref="T184">(_xlfn.SWITCH(Table1[[#This Row],[Product ID]],"P001",140,"P002",80,"P003",72,"P004",30,"P005",110,"P006",24,"P007",14,"P008",12,"P009",115,"P010",360))*Table1[[#This Row],[Quantity]]</f>
        <v>1495</v>
      </c>
      <c r="U184" s="1" cm="1">
        <f t="array" ref="U184">_xlfn.SWITCH(Table1[[#This Row],[Product ID]],"P001",15,"P002",0,"P003",8,"P004",8,"P005",0,"P006",7,"P007",7,"P008",6,"P009",45,"P010",60)</f>
        <v>45</v>
      </c>
      <c r="V184" s="1">
        <f>Table1[[#This Row],[Shipping per Unit]]*Table1[[#This Row],[Quantity]]</f>
        <v>585</v>
      </c>
      <c r="W184" s="2">
        <f>IF(Table1[[#This Row],[Total Shipping]]&gt;0.1,0.2,0)</f>
        <v>0.2</v>
      </c>
      <c r="X184" s="4">
        <f>Table1[[#This Row],[Total Shipping]]*Table1[[#This Row],[VAT on Shipping]]</f>
        <v>117</v>
      </c>
      <c r="Y184" s="1">
        <f>Table1[[#This Row],[Revenue]]-Table1[[#This Row],[COGS]]</f>
        <v>728</v>
      </c>
      <c r="Z184" s="3">
        <f>(Table1[[#This Row],[Profit]]/Table1[[#This Row],[Revenue]])</f>
        <v>0.32748538011695905</v>
      </c>
      <c r="AA184" s="1">
        <f>Table1[[#This Row],[Profit]]-Table1[[#This Row],[Total Shipping]]</f>
        <v>143</v>
      </c>
      <c r="AB184" s="3">
        <f>Table1[[#This Row],[Operating Profit]]/Table1[[#This Row],[Revenue]]</f>
        <v>6.4327485380116955E-2</v>
      </c>
    </row>
    <row r="185" spans="1:28" x14ac:dyDescent="0.25">
      <c r="A185" t="s">
        <v>152</v>
      </c>
      <c r="B185">
        <v>591</v>
      </c>
      <c r="C185" t="s">
        <v>38</v>
      </c>
      <c r="D185" t="s">
        <v>57</v>
      </c>
      <c r="E185" t="s">
        <v>31</v>
      </c>
      <c r="F185" t="s">
        <v>97</v>
      </c>
      <c r="G185" t="str" cm="1">
        <f t="array" ref="G185">_xlfn.SWITCH(F185,"Acme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185" t="s">
        <v>33</v>
      </c>
      <c r="I185" t="s">
        <v>70</v>
      </c>
      <c r="J185" t="str" cm="1">
        <f t="array" ref="J185">_xlfn.SWITCH(I185,"P001","Laptop","P002","Server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85" s="1" cm="1">
        <f t="array" ref="K185">_xlfn.SWITCH(Table1[[#This Row],[Product ID]],"P001",220,"P002",150,"P003",130,"P004",70,"P005",200,"P006",40,"P007",25,"P008",20,"P009",190,"P010",530)</f>
        <v>150</v>
      </c>
      <c r="L185">
        <v>3</v>
      </c>
      <c r="M185" s="1">
        <f>Table1[[#This Row],[Unit Price]]*Table1[[#This Row],[Quantity]]</f>
        <v>450</v>
      </c>
      <c r="N185" s="2">
        <v>0.03</v>
      </c>
      <c r="O185" s="1">
        <f>Table1[[#This Row],[Gross Value]]*(1-Table1[[#This Row],[Discount]])</f>
        <v>436.5</v>
      </c>
      <c r="P185" s="2">
        <v>0.2</v>
      </c>
      <c r="Q185" s="1">
        <f>Table1[[#This Row],[Revenue]]*Table1[[#This Row],[VAT Rate]]</f>
        <v>87.300000000000011</v>
      </c>
      <c r="R185" s="1">
        <f>Table1[[#This Row],[Revenue]]+Table1[[#This Row],[VAT Charged]]</f>
        <v>523.79999999999995</v>
      </c>
      <c r="S185" s="1" cm="1">
        <f t="array" ref="S185">_xlfn.SWITCH(Table1[[#This Row],[Product ID]],"P001",140,"P002",80,"P003",72,"P004",30,"P005",110,"P006",24,"P007",14,"P008",12,"P009",115,"P010",360)</f>
        <v>80</v>
      </c>
      <c r="T185" s="1" cm="1">
        <f t="array" ref="T185">(_xlfn.SWITCH(Table1[[#This Row],[Product ID]],"P001",140,"P002",80,"P003",72,"P004",30,"P005",110,"P006",24,"P007",14,"P008",12,"P009",115,"P010",360))*Table1[[#This Row],[Quantity]]</f>
        <v>240</v>
      </c>
      <c r="U185" s="1" cm="1">
        <f t="array" ref="U185">_xlfn.SWITCH(Table1[[#This Row],[Product ID]],"P001",15,"P002",0,"P003",8,"P004",8,"P005",0,"P006",7,"P007",7,"P008",6,"P009",45,"P010",60)</f>
        <v>0</v>
      </c>
      <c r="V185" s="1">
        <f>Table1[[#This Row],[Shipping per Unit]]*Table1[[#This Row],[Quantity]]</f>
        <v>0</v>
      </c>
      <c r="W185" s="2">
        <f>IF(Table1[[#This Row],[Total Shipping]]&gt;0.1,0.2,0)</f>
        <v>0</v>
      </c>
      <c r="X185" s="4">
        <f>Table1[[#This Row],[Total Shipping]]*Table1[[#This Row],[VAT on Shipping]]</f>
        <v>0</v>
      </c>
      <c r="Y185" s="1">
        <f>Table1[[#This Row],[Revenue]]-Table1[[#This Row],[COGS]]</f>
        <v>196.5</v>
      </c>
      <c r="Z185" s="3">
        <f>(Table1[[#This Row],[Profit]]/Table1[[#This Row],[Revenue]])</f>
        <v>0.45017182130584193</v>
      </c>
      <c r="AA185" s="1">
        <f>Table1[[#This Row],[Profit]]-Table1[[#This Row],[Total Shipping]]</f>
        <v>196.5</v>
      </c>
      <c r="AB185" s="3">
        <f>Table1[[#This Row],[Operating Profit]]/Table1[[#This Row],[Revenue]]</f>
        <v>0.45017182130584193</v>
      </c>
    </row>
    <row r="186" spans="1:28" x14ac:dyDescent="0.25">
      <c r="A186" t="s">
        <v>152</v>
      </c>
      <c r="B186">
        <v>760</v>
      </c>
      <c r="C186" t="s">
        <v>29</v>
      </c>
      <c r="D186" t="s">
        <v>39</v>
      </c>
      <c r="E186" t="s">
        <v>31</v>
      </c>
      <c r="F186" t="s">
        <v>66</v>
      </c>
      <c r="G186" t="str" cm="1">
        <f t="array" ref="G186">_xlfn.SWITCH(F186,"Acme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186" t="s">
        <v>58</v>
      </c>
      <c r="I186" t="s">
        <v>34</v>
      </c>
      <c r="J186" t="str" cm="1">
        <f t="array" ref="J186">_xlfn.SWITCH(I186,"P001","Laptop","P002","Server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86" s="1" cm="1">
        <f t="array" ref="K186">_xlfn.SWITCH(Table1[[#This Row],[Product ID]],"P001",220,"P002",150,"P003",130,"P004",70,"P005",200,"P006",40,"P007",25,"P008",20,"P009",190,"P010",530)</f>
        <v>20</v>
      </c>
      <c r="L186">
        <v>10</v>
      </c>
      <c r="M186" s="1">
        <f>Table1[[#This Row],[Unit Price]]*Table1[[#This Row],[Quantity]]</f>
        <v>200</v>
      </c>
      <c r="N186" s="2">
        <v>0.08</v>
      </c>
      <c r="O186" s="1">
        <f>Table1[[#This Row],[Gross Value]]*(1-Table1[[#This Row],[Discount]])</f>
        <v>184</v>
      </c>
      <c r="P186" s="2">
        <v>0.2</v>
      </c>
      <c r="Q186" s="1">
        <f>Table1[[#This Row],[Revenue]]*Table1[[#This Row],[VAT Rate]]</f>
        <v>36.800000000000004</v>
      </c>
      <c r="R186" s="1">
        <f>Table1[[#This Row],[Revenue]]+Table1[[#This Row],[VAT Charged]]</f>
        <v>220.8</v>
      </c>
      <c r="S186" s="1" cm="1">
        <f t="array" ref="S186">_xlfn.SWITCH(Table1[[#This Row],[Product ID]],"P001",140,"P002",80,"P003",72,"P004",30,"P005",110,"P006",24,"P007",14,"P008",12,"P009",115,"P010",360)</f>
        <v>12</v>
      </c>
      <c r="T186" s="1" cm="1">
        <f t="array" ref="T186">(_xlfn.SWITCH(Table1[[#This Row],[Product ID]],"P001",140,"P002",80,"P003",72,"P004",30,"P005",110,"P006",24,"P007",14,"P008",12,"P009",115,"P010",360))*Table1[[#This Row],[Quantity]]</f>
        <v>120</v>
      </c>
      <c r="U186" s="1" cm="1">
        <f t="array" ref="U186">_xlfn.SWITCH(Table1[[#This Row],[Product ID]],"P001",15,"P002",0,"P003",8,"P004",8,"P005",0,"P006",7,"P007",7,"P008",6,"P009",45,"P010",60)</f>
        <v>6</v>
      </c>
      <c r="V186" s="1">
        <f>Table1[[#This Row],[Shipping per Unit]]*Table1[[#This Row],[Quantity]]</f>
        <v>60</v>
      </c>
      <c r="W186" s="2">
        <f>IF(Table1[[#This Row],[Total Shipping]]&gt;0.1,0.2,0)</f>
        <v>0.2</v>
      </c>
      <c r="X186" s="4">
        <f>Table1[[#This Row],[Total Shipping]]*Table1[[#This Row],[VAT on Shipping]]</f>
        <v>12</v>
      </c>
      <c r="Y186" s="1">
        <f>Table1[[#This Row],[Revenue]]-Table1[[#This Row],[COGS]]</f>
        <v>64</v>
      </c>
      <c r="Z186" s="3">
        <f>(Table1[[#This Row],[Profit]]/Table1[[#This Row],[Revenue]])</f>
        <v>0.34782608695652173</v>
      </c>
      <c r="AA186" s="1">
        <f>Table1[[#This Row],[Profit]]-Table1[[#This Row],[Total Shipping]]</f>
        <v>4</v>
      </c>
      <c r="AB186" s="3">
        <f>Table1[[#This Row],[Operating Profit]]/Table1[[#This Row],[Revenue]]</f>
        <v>2.1739130434782608E-2</v>
      </c>
    </row>
    <row r="187" spans="1:28" x14ac:dyDescent="0.25">
      <c r="A187" t="s">
        <v>152</v>
      </c>
      <c r="B187">
        <v>886</v>
      </c>
      <c r="C187" t="s">
        <v>83</v>
      </c>
      <c r="D187" t="s">
        <v>95</v>
      </c>
      <c r="E187" t="s">
        <v>49</v>
      </c>
      <c r="F187" t="s">
        <v>50</v>
      </c>
      <c r="G187" t="str" cm="1">
        <f t="array" ref="G187">_xlfn.SWITCH(F187,"Acme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187" t="s">
        <v>58</v>
      </c>
      <c r="I187" t="s">
        <v>34</v>
      </c>
      <c r="J187" t="str" cm="1">
        <f t="array" ref="J187">_xlfn.SWITCH(I187,"P001","Laptop","P002","Server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87" s="1" cm="1">
        <f t="array" ref="K187">_xlfn.SWITCH(Table1[[#This Row],[Product ID]],"P001",220,"P002",150,"P003",130,"P004",70,"P005",200,"P006",40,"P007",25,"P008",20,"P009",190,"P010",530)</f>
        <v>20</v>
      </c>
      <c r="L187">
        <v>14</v>
      </c>
      <c r="M187" s="1">
        <f>Table1[[#This Row],[Unit Price]]*Table1[[#This Row],[Quantity]]</f>
        <v>280</v>
      </c>
      <c r="N187" s="2">
        <v>0.08</v>
      </c>
      <c r="O187" s="1">
        <f>Table1[[#This Row],[Gross Value]]*(1-Table1[[#This Row],[Discount]])</f>
        <v>257.60000000000002</v>
      </c>
      <c r="P187" s="2">
        <v>0.2</v>
      </c>
      <c r="Q187" s="1">
        <f>Table1[[#This Row],[Revenue]]*Table1[[#This Row],[VAT Rate]]</f>
        <v>51.52000000000001</v>
      </c>
      <c r="R187" s="1">
        <f>Table1[[#This Row],[Revenue]]+Table1[[#This Row],[VAT Charged]]</f>
        <v>309.12</v>
      </c>
      <c r="S187" s="1" cm="1">
        <f t="array" ref="S187">_xlfn.SWITCH(Table1[[#This Row],[Product ID]],"P001",140,"P002",80,"P003",72,"P004",30,"P005",110,"P006",24,"P007",14,"P008",12,"P009",115,"P010",360)</f>
        <v>12</v>
      </c>
      <c r="T187" s="1" cm="1">
        <f t="array" ref="T187">(_xlfn.SWITCH(Table1[[#This Row],[Product ID]],"P001",140,"P002",80,"P003",72,"P004",30,"P005",110,"P006",24,"P007",14,"P008",12,"P009",115,"P010",360))*Table1[[#This Row],[Quantity]]</f>
        <v>168</v>
      </c>
      <c r="U187" s="1" cm="1">
        <f t="array" ref="U187">_xlfn.SWITCH(Table1[[#This Row],[Product ID]],"P001",15,"P002",0,"P003",8,"P004",8,"P005",0,"P006",7,"P007",7,"P008",6,"P009",45,"P010",60)</f>
        <v>6</v>
      </c>
      <c r="V187" s="1">
        <f>Table1[[#This Row],[Shipping per Unit]]*Table1[[#This Row],[Quantity]]</f>
        <v>84</v>
      </c>
      <c r="W187" s="2">
        <f>IF(Table1[[#This Row],[Total Shipping]]&gt;0.1,0.2,0)</f>
        <v>0.2</v>
      </c>
      <c r="X187" s="4">
        <f>Table1[[#This Row],[Total Shipping]]*Table1[[#This Row],[VAT on Shipping]]</f>
        <v>16.8</v>
      </c>
      <c r="Y187" s="1">
        <f>Table1[[#This Row],[Revenue]]-Table1[[#This Row],[COGS]]</f>
        <v>89.600000000000023</v>
      </c>
      <c r="Z187" s="3">
        <f>(Table1[[#This Row],[Profit]]/Table1[[#This Row],[Revenue]])</f>
        <v>0.34782608695652178</v>
      </c>
      <c r="AA187" s="1">
        <f>Table1[[#This Row],[Profit]]-Table1[[#This Row],[Total Shipping]]</f>
        <v>5.6000000000000227</v>
      </c>
      <c r="AB187" s="3">
        <f>Table1[[#This Row],[Operating Profit]]/Table1[[#This Row],[Revenue]]</f>
        <v>2.1739130434782695E-2</v>
      </c>
    </row>
    <row r="188" spans="1:28" x14ac:dyDescent="0.25">
      <c r="A188" t="s">
        <v>153</v>
      </c>
      <c r="B188">
        <v>630</v>
      </c>
      <c r="C188" t="s">
        <v>38</v>
      </c>
      <c r="D188" t="s">
        <v>63</v>
      </c>
      <c r="E188" t="s">
        <v>31</v>
      </c>
      <c r="F188" t="s">
        <v>87</v>
      </c>
      <c r="G188" t="str" cm="1">
        <f t="array" ref="G188">_xlfn.SWITCH(F188,"Acme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188" t="s">
        <v>45</v>
      </c>
      <c r="I188" t="s">
        <v>68</v>
      </c>
      <c r="J188" t="str" cm="1">
        <f t="array" ref="J188">_xlfn.SWITCH(I188,"P001","Laptop","P002","Server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88" s="1" cm="1">
        <f t="array" ref="K188">_xlfn.SWITCH(Table1[[#This Row],[Product ID]],"P001",220,"P002",150,"P003",130,"P004",70,"P005",200,"P006",40,"P007",25,"P008",20,"P009",190,"P010",530)</f>
        <v>220</v>
      </c>
      <c r="L188">
        <v>14</v>
      </c>
      <c r="M188" s="1">
        <f>Table1[[#This Row],[Unit Price]]*Table1[[#This Row],[Quantity]]</f>
        <v>3080</v>
      </c>
      <c r="N188" s="2">
        <v>0.03</v>
      </c>
      <c r="O188" s="1">
        <f>Table1[[#This Row],[Gross Value]]*(1-Table1[[#This Row],[Discount]])</f>
        <v>2987.6</v>
      </c>
      <c r="P188" s="2">
        <v>0.2</v>
      </c>
      <c r="Q188" s="1">
        <f>Table1[[#This Row],[Revenue]]*Table1[[#This Row],[VAT Rate]]</f>
        <v>597.52</v>
      </c>
      <c r="R188" s="1">
        <f>Table1[[#This Row],[Revenue]]+Table1[[#This Row],[VAT Charged]]</f>
        <v>3585.12</v>
      </c>
      <c r="S188" s="1" cm="1">
        <f t="array" ref="S188">_xlfn.SWITCH(Table1[[#This Row],[Product ID]],"P001",140,"P002",80,"P003",72,"P004",30,"P005",110,"P006",24,"P007",14,"P008",12,"P009",115,"P010",360)</f>
        <v>140</v>
      </c>
      <c r="T188" s="1" cm="1">
        <f t="array" ref="T188">(_xlfn.SWITCH(Table1[[#This Row],[Product ID]],"P001",140,"P002",80,"P003",72,"P004",30,"P005",110,"P006",24,"P007",14,"P008",12,"P009",115,"P010",360))*Table1[[#This Row],[Quantity]]</f>
        <v>1960</v>
      </c>
      <c r="U188" s="1" cm="1">
        <f t="array" ref="U188">_xlfn.SWITCH(Table1[[#This Row],[Product ID]],"P001",15,"P002",0,"P003",8,"P004",8,"P005",0,"P006",7,"P007",7,"P008",6,"P009",45,"P010",60)</f>
        <v>15</v>
      </c>
      <c r="V188" s="1">
        <f>Table1[[#This Row],[Shipping per Unit]]*Table1[[#This Row],[Quantity]]</f>
        <v>210</v>
      </c>
      <c r="W188" s="2">
        <f>IF(Table1[[#This Row],[Total Shipping]]&gt;0.1,0.2,0)</f>
        <v>0.2</v>
      </c>
      <c r="X188" s="4">
        <f>Table1[[#This Row],[Total Shipping]]*Table1[[#This Row],[VAT on Shipping]]</f>
        <v>42</v>
      </c>
      <c r="Y188" s="1">
        <f>Table1[[#This Row],[Revenue]]-Table1[[#This Row],[COGS]]</f>
        <v>1027.5999999999999</v>
      </c>
      <c r="Z188" s="3">
        <f>(Table1[[#This Row],[Profit]]/Table1[[#This Row],[Revenue]])</f>
        <v>0.3439550140581068</v>
      </c>
      <c r="AA188" s="1">
        <f>Table1[[#This Row],[Profit]]-Table1[[#This Row],[Total Shipping]]</f>
        <v>817.59999999999991</v>
      </c>
      <c r="AB188" s="3">
        <f>Table1[[#This Row],[Operating Profit]]/Table1[[#This Row],[Revenue]]</f>
        <v>0.27366447985004683</v>
      </c>
    </row>
    <row r="189" spans="1:28" x14ac:dyDescent="0.25">
      <c r="A189" t="s">
        <v>153</v>
      </c>
      <c r="B189">
        <v>713</v>
      </c>
      <c r="C189" t="s">
        <v>62</v>
      </c>
      <c r="D189" t="s">
        <v>30</v>
      </c>
      <c r="E189" t="s">
        <v>49</v>
      </c>
      <c r="F189" t="s">
        <v>103</v>
      </c>
      <c r="G189" t="str" cm="1">
        <f t="array" ref="G189">_xlfn.SWITCH(F189,"Acme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189" t="s">
        <v>58</v>
      </c>
      <c r="I189" t="s">
        <v>42</v>
      </c>
      <c r="J189" t="str" cm="1">
        <f t="array" ref="J189">_xlfn.SWITCH(I189,"P001","Laptop","P002","Server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189" s="1" cm="1">
        <f t="array" ref="K189">_xlfn.SWITCH(Table1[[#This Row],[Product ID]],"P001",220,"P002",150,"P003",130,"P004",70,"P005",200,"P006",40,"P007",25,"P008",20,"P009",190,"P010",530)</f>
        <v>40</v>
      </c>
      <c r="L189">
        <v>14</v>
      </c>
      <c r="M189" s="1">
        <f>Table1[[#This Row],[Unit Price]]*Table1[[#This Row],[Quantity]]</f>
        <v>560</v>
      </c>
      <c r="N189" s="2">
        <v>7.0000000000000007E-2</v>
      </c>
      <c r="O189" s="1">
        <f>Table1[[#This Row],[Gross Value]]*(1-Table1[[#This Row],[Discount]])</f>
        <v>520.79999999999995</v>
      </c>
      <c r="P189" s="2">
        <v>0.2</v>
      </c>
      <c r="Q189" s="1">
        <f>Table1[[#This Row],[Revenue]]*Table1[[#This Row],[VAT Rate]]</f>
        <v>104.16</v>
      </c>
      <c r="R189" s="1">
        <f>Table1[[#This Row],[Revenue]]+Table1[[#This Row],[VAT Charged]]</f>
        <v>624.95999999999992</v>
      </c>
      <c r="S189" s="1" cm="1">
        <f t="array" ref="S189">_xlfn.SWITCH(Table1[[#This Row],[Product ID]],"P001",140,"P002",80,"P003",72,"P004",30,"P005",110,"P006",24,"P007",14,"P008",12,"P009",115,"P010",360)</f>
        <v>24</v>
      </c>
      <c r="T189" s="1" cm="1">
        <f t="array" ref="T189">(_xlfn.SWITCH(Table1[[#This Row],[Product ID]],"P001",140,"P002",80,"P003",72,"P004",30,"P005",110,"P006",24,"P007",14,"P008",12,"P009",115,"P010",360))*Table1[[#This Row],[Quantity]]</f>
        <v>336</v>
      </c>
      <c r="U189" s="1" cm="1">
        <f t="array" ref="U189">_xlfn.SWITCH(Table1[[#This Row],[Product ID]],"P001",15,"P002",0,"P003",8,"P004",8,"P005",0,"P006",7,"P007",7,"P008",6,"P009",45,"P010",60)</f>
        <v>7</v>
      </c>
      <c r="V189" s="1">
        <f>Table1[[#This Row],[Shipping per Unit]]*Table1[[#This Row],[Quantity]]</f>
        <v>98</v>
      </c>
      <c r="W189" s="2">
        <f>IF(Table1[[#This Row],[Total Shipping]]&gt;0.1,0.2,0)</f>
        <v>0.2</v>
      </c>
      <c r="X189" s="4">
        <f>Table1[[#This Row],[Total Shipping]]*Table1[[#This Row],[VAT on Shipping]]</f>
        <v>19.600000000000001</v>
      </c>
      <c r="Y189" s="1">
        <f>Table1[[#This Row],[Revenue]]-Table1[[#This Row],[COGS]]</f>
        <v>184.79999999999995</v>
      </c>
      <c r="Z189" s="3">
        <f>(Table1[[#This Row],[Profit]]/Table1[[#This Row],[Revenue]])</f>
        <v>0.35483870967741932</v>
      </c>
      <c r="AA189" s="1">
        <f>Table1[[#This Row],[Profit]]-Table1[[#This Row],[Total Shipping]]</f>
        <v>86.799999999999955</v>
      </c>
      <c r="AB189" s="3">
        <f>Table1[[#This Row],[Operating Profit]]/Table1[[#This Row],[Revenue]]</f>
        <v>0.1666666666666666</v>
      </c>
    </row>
    <row r="190" spans="1:28" x14ac:dyDescent="0.25">
      <c r="A190" t="s">
        <v>154</v>
      </c>
      <c r="B190">
        <v>158</v>
      </c>
      <c r="C190" t="s">
        <v>38</v>
      </c>
      <c r="D190" t="s">
        <v>30</v>
      </c>
      <c r="E190" t="s">
        <v>31</v>
      </c>
      <c r="F190" t="s">
        <v>50</v>
      </c>
      <c r="G190" t="str" cm="1">
        <f t="array" ref="G190">_xlfn.SWITCH(F190,"Acme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190" t="s">
        <v>69</v>
      </c>
      <c r="I190" t="s">
        <v>55</v>
      </c>
      <c r="J190" t="str" cm="1">
        <f t="array" ref="J190">_xlfn.SWITCH(I190,"P001","Laptop","P002","Server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90" s="1" cm="1">
        <f t="array" ref="K190">_xlfn.SWITCH(Table1[[#This Row],[Product ID]],"P001",220,"P002",150,"P003",130,"P004",70,"P005",200,"P006",40,"P007",25,"P008",20,"P009",190,"P010",530)</f>
        <v>70</v>
      </c>
      <c r="L190">
        <v>20</v>
      </c>
      <c r="M190" s="1">
        <f>Table1[[#This Row],[Unit Price]]*Table1[[#This Row],[Quantity]]</f>
        <v>1400</v>
      </c>
      <c r="N190" s="2">
        <v>0.05</v>
      </c>
      <c r="O190" s="1">
        <f>Table1[[#This Row],[Gross Value]]*(1-Table1[[#This Row],[Discount]])</f>
        <v>1330</v>
      </c>
      <c r="P190" s="2">
        <v>0.2</v>
      </c>
      <c r="Q190" s="1">
        <f>Table1[[#This Row],[Revenue]]*Table1[[#This Row],[VAT Rate]]</f>
        <v>266</v>
      </c>
      <c r="R190" s="1">
        <f>Table1[[#This Row],[Revenue]]+Table1[[#This Row],[VAT Charged]]</f>
        <v>1596</v>
      </c>
      <c r="S190" s="1" cm="1">
        <f t="array" ref="S190">_xlfn.SWITCH(Table1[[#This Row],[Product ID]],"P001",140,"P002",80,"P003",72,"P004",30,"P005",110,"P006",24,"P007",14,"P008",12,"P009",115,"P010",360)</f>
        <v>30</v>
      </c>
      <c r="T190" s="1" cm="1">
        <f t="array" ref="T190">(_xlfn.SWITCH(Table1[[#This Row],[Product ID]],"P001",140,"P002",80,"P003",72,"P004",30,"P005",110,"P006",24,"P007",14,"P008",12,"P009",115,"P010",360))*Table1[[#This Row],[Quantity]]</f>
        <v>600</v>
      </c>
      <c r="U190" s="1" cm="1">
        <f t="array" ref="U190">_xlfn.SWITCH(Table1[[#This Row],[Product ID]],"P001",15,"P002",0,"P003",8,"P004",8,"P005",0,"P006",7,"P007",7,"P008",6,"P009",45,"P010",60)</f>
        <v>8</v>
      </c>
      <c r="V190" s="1">
        <f>Table1[[#This Row],[Shipping per Unit]]*Table1[[#This Row],[Quantity]]</f>
        <v>160</v>
      </c>
      <c r="W190" s="2">
        <f>IF(Table1[[#This Row],[Total Shipping]]&gt;0.1,0.2,0)</f>
        <v>0.2</v>
      </c>
      <c r="X190" s="4">
        <f>Table1[[#This Row],[Total Shipping]]*Table1[[#This Row],[VAT on Shipping]]</f>
        <v>32</v>
      </c>
      <c r="Y190" s="1">
        <f>Table1[[#This Row],[Revenue]]-Table1[[#This Row],[COGS]]</f>
        <v>730</v>
      </c>
      <c r="Z190" s="3">
        <f>(Table1[[#This Row],[Profit]]/Table1[[#This Row],[Revenue]])</f>
        <v>0.54887218045112784</v>
      </c>
      <c r="AA190" s="1">
        <f>Table1[[#This Row],[Profit]]-Table1[[#This Row],[Total Shipping]]</f>
        <v>570</v>
      </c>
      <c r="AB190" s="3">
        <f>Table1[[#This Row],[Operating Profit]]/Table1[[#This Row],[Revenue]]</f>
        <v>0.42857142857142855</v>
      </c>
    </row>
    <row r="191" spans="1:28" x14ac:dyDescent="0.25">
      <c r="A191" t="s">
        <v>154</v>
      </c>
      <c r="B191">
        <v>180</v>
      </c>
      <c r="C191" t="s">
        <v>35</v>
      </c>
      <c r="D191" t="s">
        <v>30</v>
      </c>
      <c r="E191" t="s">
        <v>31</v>
      </c>
      <c r="F191" t="s">
        <v>50</v>
      </c>
      <c r="G191" t="str" cm="1">
        <f t="array" ref="G191">_xlfn.SWITCH(F191,"Acme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191" t="s">
        <v>58</v>
      </c>
      <c r="I191" t="s">
        <v>55</v>
      </c>
      <c r="J191" t="str" cm="1">
        <f t="array" ref="J191">_xlfn.SWITCH(I191,"P001","Laptop","P002","Server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91" s="1" cm="1">
        <f t="array" ref="K191">_xlfn.SWITCH(Table1[[#This Row],[Product ID]],"P001",220,"P002",150,"P003",130,"P004",70,"P005",200,"P006",40,"P007",25,"P008",20,"P009",190,"P010",530)</f>
        <v>70</v>
      </c>
      <c r="L191">
        <v>6</v>
      </c>
      <c r="M191" s="1">
        <f>Table1[[#This Row],[Unit Price]]*Table1[[#This Row],[Quantity]]</f>
        <v>420</v>
      </c>
      <c r="N191" s="2">
        <v>0.1</v>
      </c>
      <c r="O191" s="1">
        <f>Table1[[#This Row],[Gross Value]]*(1-Table1[[#This Row],[Discount]])</f>
        <v>378</v>
      </c>
      <c r="P191" s="2">
        <v>0.2</v>
      </c>
      <c r="Q191" s="1">
        <f>Table1[[#This Row],[Revenue]]*Table1[[#This Row],[VAT Rate]]</f>
        <v>75.600000000000009</v>
      </c>
      <c r="R191" s="1">
        <f>Table1[[#This Row],[Revenue]]+Table1[[#This Row],[VAT Charged]]</f>
        <v>453.6</v>
      </c>
      <c r="S191" s="1" cm="1">
        <f t="array" ref="S191">_xlfn.SWITCH(Table1[[#This Row],[Product ID]],"P001",140,"P002",80,"P003",72,"P004",30,"P005",110,"P006",24,"P007",14,"P008",12,"P009",115,"P010",360)</f>
        <v>30</v>
      </c>
      <c r="T191" s="1" cm="1">
        <f t="array" ref="T191">(_xlfn.SWITCH(Table1[[#This Row],[Product ID]],"P001",140,"P002",80,"P003",72,"P004",30,"P005",110,"P006",24,"P007",14,"P008",12,"P009",115,"P010",360))*Table1[[#This Row],[Quantity]]</f>
        <v>180</v>
      </c>
      <c r="U191" s="1" cm="1">
        <f t="array" ref="U191">_xlfn.SWITCH(Table1[[#This Row],[Product ID]],"P001",15,"P002",0,"P003",8,"P004",8,"P005",0,"P006",7,"P007",7,"P008",6,"P009",45,"P010",60)</f>
        <v>8</v>
      </c>
      <c r="V191" s="1">
        <f>Table1[[#This Row],[Shipping per Unit]]*Table1[[#This Row],[Quantity]]</f>
        <v>48</v>
      </c>
      <c r="W191" s="2">
        <f>IF(Table1[[#This Row],[Total Shipping]]&gt;0.1,0.2,0)</f>
        <v>0.2</v>
      </c>
      <c r="X191" s="4">
        <f>Table1[[#This Row],[Total Shipping]]*Table1[[#This Row],[VAT on Shipping]]</f>
        <v>9.6000000000000014</v>
      </c>
      <c r="Y191" s="1">
        <f>Table1[[#This Row],[Revenue]]-Table1[[#This Row],[COGS]]</f>
        <v>198</v>
      </c>
      <c r="Z191" s="3">
        <f>(Table1[[#This Row],[Profit]]/Table1[[#This Row],[Revenue]])</f>
        <v>0.52380952380952384</v>
      </c>
      <c r="AA191" s="1">
        <f>Table1[[#This Row],[Profit]]-Table1[[#This Row],[Total Shipping]]</f>
        <v>150</v>
      </c>
      <c r="AB191" s="3">
        <f>Table1[[#This Row],[Operating Profit]]/Table1[[#This Row],[Revenue]]</f>
        <v>0.3968253968253968</v>
      </c>
    </row>
    <row r="192" spans="1:28" x14ac:dyDescent="0.25">
      <c r="A192" t="s">
        <v>154</v>
      </c>
      <c r="B192">
        <v>207</v>
      </c>
      <c r="C192" t="s">
        <v>35</v>
      </c>
      <c r="D192" t="s">
        <v>72</v>
      </c>
      <c r="E192" t="s">
        <v>40</v>
      </c>
      <c r="F192" t="s">
        <v>44</v>
      </c>
      <c r="G192" t="str" cm="1">
        <f t="array" ref="G192">_xlfn.SWITCH(F192,"Acme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192" t="s">
        <v>45</v>
      </c>
      <c r="I192" t="s">
        <v>70</v>
      </c>
      <c r="J192" t="str" cm="1">
        <f t="array" ref="J192">_xlfn.SWITCH(I192,"P001","Laptop","P002","Server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192" s="1" cm="1">
        <f t="array" ref="K192">_xlfn.SWITCH(Table1[[#This Row],[Product ID]],"P001",220,"P002",150,"P003",130,"P004",70,"P005",200,"P006",40,"P007",25,"P008",20,"P009",190,"P010",530)</f>
        <v>150</v>
      </c>
      <c r="L192">
        <v>12</v>
      </c>
      <c r="M192" s="1">
        <f>Table1[[#This Row],[Unit Price]]*Table1[[#This Row],[Quantity]]</f>
        <v>1800</v>
      </c>
      <c r="N192" s="2">
        <v>0.05</v>
      </c>
      <c r="O192" s="1">
        <f>Table1[[#This Row],[Gross Value]]*(1-Table1[[#This Row],[Discount]])</f>
        <v>1710</v>
      </c>
      <c r="P192" s="2">
        <v>0.2</v>
      </c>
      <c r="Q192" s="1">
        <f>Table1[[#This Row],[Revenue]]*Table1[[#This Row],[VAT Rate]]</f>
        <v>342</v>
      </c>
      <c r="R192" s="1">
        <f>Table1[[#This Row],[Revenue]]+Table1[[#This Row],[VAT Charged]]</f>
        <v>2052</v>
      </c>
      <c r="S192" s="1" cm="1">
        <f t="array" ref="S192">_xlfn.SWITCH(Table1[[#This Row],[Product ID]],"P001",140,"P002",80,"P003",72,"P004",30,"P005",110,"P006",24,"P007",14,"P008",12,"P009",115,"P010",360)</f>
        <v>80</v>
      </c>
      <c r="T192" s="1" cm="1">
        <f t="array" ref="T192">(_xlfn.SWITCH(Table1[[#This Row],[Product ID]],"P001",140,"P002",80,"P003",72,"P004",30,"P005",110,"P006",24,"P007",14,"P008",12,"P009",115,"P010",360))*Table1[[#This Row],[Quantity]]</f>
        <v>960</v>
      </c>
      <c r="U192" s="1" cm="1">
        <f t="array" ref="U192">_xlfn.SWITCH(Table1[[#This Row],[Product ID]],"P001",15,"P002",0,"P003",8,"P004",8,"P005",0,"P006",7,"P007",7,"P008",6,"P009",45,"P010",60)</f>
        <v>0</v>
      </c>
      <c r="V192" s="1">
        <f>Table1[[#This Row],[Shipping per Unit]]*Table1[[#This Row],[Quantity]]</f>
        <v>0</v>
      </c>
      <c r="W192" s="2">
        <f>IF(Table1[[#This Row],[Total Shipping]]&gt;0.1,0.2,0)</f>
        <v>0</v>
      </c>
      <c r="X192" s="4">
        <f>Table1[[#This Row],[Total Shipping]]*Table1[[#This Row],[VAT on Shipping]]</f>
        <v>0</v>
      </c>
      <c r="Y192" s="1">
        <f>Table1[[#This Row],[Revenue]]-Table1[[#This Row],[COGS]]</f>
        <v>750</v>
      </c>
      <c r="Z192" s="3">
        <f>(Table1[[#This Row],[Profit]]/Table1[[#This Row],[Revenue]])</f>
        <v>0.43859649122807015</v>
      </c>
      <c r="AA192" s="1">
        <f>Table1[[#This Row],[Profit]]-Table1[[#This Row],[Total Shipping]]</f>
        <v>750</v>
      </c>
      <c r="AB192" s="3">
        <f>Table1[[#This Row],[Operating Profit]]/Table1[[#This Row],[Revenue]]</f>
        <v>0.43859649122807015</v>
      </c>
    </row>
    <row r="193" spans="1:28" x14ac:dyDescent="0.25">
      <c r="A193" t="s">
        <v>154</v>
      </c>
      <c r="B193">
        <v>243</v>
      </c>
      <c r="C193" t="s">
        <v>35</v>
      </c>
      <c r="D193" t="s">
        <v>67</v>
      </c>
      <c r="E193" t="s">
        <v>31</v>
      </c>
      <c r="F193" t="s">
        <v>64</v>
      </c>
      <c r="G193" t="str" cm="1">
        <f t="array" ref="G193">_xlfn.SWITCH(F193,"Acme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93" t="s">
        <v>69</v>
      </c>
      <c r="I193" t="s">
        <v>55</v>
      </c>
      <c r="J193" t="str" cm="1">
        <f t="array" ref="J193">_xlfn.SWITCH(I193,"P001","Laptop","P002","Server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93" s="1" cm="1">
        <f t="array" ref="K193">_xlfn.SWITCH(Table1[[#This Row],[Product ID]],"P001",220,"P002",150,"P003",130,"P004",70,"P005",200,"P006",40,"P007",25,"P008",20,"P009",190,"P010",530)</f>
        <v>70</v>
      </c>
      <c r="L193">
        <v>19</v>
      </c>
      <c r="M193" s="1">
        <f>Table1[[#This Row],[Unit Price]]*Table1[[#This Row],[Quantity]]</f>
        <v>1330</v>
      </c>
      <c r="N193" s="2">
        <v>0.04</v>
      </c>
      <c r="O193" s="1">
        <f>Table1[[#This Row],[Gross Value]]*(1-Table1[[#This Row],[Discount]])</f>
        <v>1276.8</v>
      </c>
      <c r="P193" s="2">
        <v>0.2</v>
      </c>
      <c r="Q193" s="1">
        <f>Table1[[#This Row],[Revenue]]*Table1[[#This Row],[VAT Rate]]</f>
        <v>255.36</v>
      </c>
      <c r="R193" s="1">
        <f>Table1[[#This Row],[Revenue]]+Table1[[#This Row],[VAT Charged]]</f>
        <v>1532.1599999999999</v>
      </c>
      <c r="S193" s="1" cm="1">
        <f t="array" ref="S193">_xlfn.SWITCH(Table1[[#This Row],[Product ID]],"P001",140,"P002",80,"P003",72,"P004",30,"P005",110,"P006",24,"P007",14,"P008",12,"P009",115,"P010",360)</f>
        <v>30</v>
      </c>
      <c r="T193" s="1" cm="1">
        <f t="array" ref="T193">(_xlfn.SWITCH(Table1[[#This Row],[Product ID]],"P001",140,"P002",80,"P003",72,"P004",30,"P005",110,"P006",24,"P007",14,"P008",12,"P009",115,"P010",360))*Table1[[#This Row],[Quantity]]</f>
        <v>570</v>
      </c>
      <c r="U193" s="1" cm="1">
        <f t="array" ref="U193">_xlfn.SWITCH(Table1[[#This Row],[Product ID]],"P001",15,"P002",0,"P003",8,"P004",8,"P005",0,"P006",7,"P007",7,"P008",6,"P009",45,"P010",60)</f>
        <v>8</v>
      </c>
      <c r="V193" s="1">
        <f>Table1[[#This Row],[Shipping per Unit]]*Table1[[#This Row],[Quantity]]</f>
        <v>152</v>
      </c>
      <c r="W193" s="2">
        <f>IF(Table1[[#This Row],[Total Shipping]]&gt;0.1,0.2,0)</f>
        <v>0.2</v>
      </c>
      <c r="X193" s="4">
        <f>Table1[[#This Row],[Total Shipping]]*Table1[[#This Row],[VAT on Shipping]]</f>
        <v>30.400000000000002</v>
      </c>
      <c r="Y193" s="1">
        <f>Table1[[#This Row],[Revenue]]-Table1[[#This Row],[COGS]]</f>
        <v>706.8</v>
      </c>
      <c r="Z193" s="3">
        <f>(Table1[[#This Row],[Profit]]/Table1[[#This Row],[Revenue]])</f>
        <v>0.5535714285714286</v>
      </c>
      <c r="AA193" s="1">
        <f>Table1[[#This Row],[Profit]]-Table1[[#This Row],[Total Shipping]]</f>
        <v>554.79999999999995</v>
      </c>
      <c r="AB193" s="3">
        <f>Table1[[#This Row],[Operating Profit]]/Table1[[#This Row],[Revenue]]</f>
        <v>0.43452380952380948</v>
      </c>
    </row>
    <row r="194" spans="1:28" x14ac:dyDescent="0.25">
      <c r="A194" t="s">
        <v>154</v>
      </c>
      <c r="B194">
        <v>818</v>
      </c>
      <c r="C194" t="s">
        <v>62</v>
      </c>
      <c r="D194" t="s">
        <v>39</v>
      </c>
      <c r="E194" t="s">
        <v>40</v>
      </c>
      <c r="F194" t="s">
        <v>113</v>
      </c>
      <c r="G194" t="str" cm="1">
        <f t="array" ref="G194">_xlfn.SWITCH(F194,"Acme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194" t="s">
        <v>45</v>
      </c>
      <c r="I194" t="s">
        <v>68</v>
      </c>
      <c r="J194" t="str" cm="1">
        <f t="array" ref="J194">_xlfn.SWITCH(I194,"P001","Laptop","P002","Server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194" s="1" cm="1">
        <f t="array" ref="K194">_xlfn.SWITCH(Table1[[#This Row],[Product ID]],"P001",220,"P002",150,"P003",130,"P004",70,"P005",200,"P006",40,"P007",25,"P008",20,"P009",190,"P010",530)</f>
        <v>220</v>
      </c>
      <c r="L194">
        <v>7</v>
      </c>
      <c r="M194" s="1">
        <f>Table1[[#This Row],[Unit Price]]*Table1[[#This Row],[Quantity]]</f>
        <v>1540</v>
      </c>
      <c r="N194" s="2">
        <v>0.01</v>
      </c>
      <c r="O194" s="1">
        <f>Table1[[#This Row],[Gross Value]]*(1-Table1[[#This Row],[Discount]])</f>
        <v>1524.6</v>
      </c>
      <c r="P194" s="2">
        <v>0.2</v>
      </c>
      <c r="Q194" s="1">
        <f>Table1[[#This Row],[Revenue]]*Table1[[#This Row],[VAT Rate]]</f>
        <v>304.92</v>
      </c>
      <c r="R194" s="1">
        <f>Table1[[#This Row],[Revenue]]+Table1[[#This Row],[VAT Charged]]</f>
        <v>1829.52</v>
      </c>
      <c r="S194" s="1" cm="1">
        <f t="array" ref="S194">_xlfn.SWITCH(Table1[[#This Row],[Product ID]],"P001",140,"P002",80,"P003",72,"P004",30,"P005",110,"P006",24,"P007",14,"P008",12,"P009",115,"P010",360)</f>
        <v>140</v>
      </c>
      <c r="T194" s="1" cm="1">
        <f t="array" ref="T194">(_xlfn.SWITCH(Table1[[#This Row],[Product ID]],"P001",140,"P002",80,"P003",72,"P004",30,"P005",110,"P006",24,"P007",14,"P008",12,"P009",115,"P010",360))*Table1[[#This Row],[Quantity]]</f>
        <v>980</v>
      </c>
      <c r="U194" s="1" cm="1">
        <f t="array" ref="U194">_xlfn.SWITCH(Table1[[#This Row],[Product ID]],"P001",15,"P002",0,"P003",8,"P004",8,"P005",0,"P006",7,"P007",7,"P008",6,"P009",45,"P010",60)</f>
        <v>15</v>
      </c>
      <c r="V194" s="1">
        <f>Table1[[#This Row],[Shipping per Unit]]*Table1[[#This Row],[Quantity]]</f>
        <v>105</v>
      </c>
      <c r="W194" s="2">
        <f>IF(Table1[[#This Row],[Total Shipping]]&gt;0.1,0.2,0)</f>
        <v>0.2</v>
      </c>
      <c r="X194" s="4">
        <f>Table1[[#This Row],[Total Shipping]]*Table1[[#This Row],[VAT on Shipping]]</f>
        <v>21</v>
      </c>
      <c r="Y194" s="1">
        <f>Table1[[#This Row],[Revenue]]-Table1[[#This Row],[COGS]]</f>
        <v>544.59999999999991</v>
      </c>
      <c r="Z194" s="3">
        <f>(Table1[[#This Row],[Profit]]/Table1[[#This Row],[Revenue]])</f>
        <v>0.35720844811753899</v>
      </c>
      <c r="AA194" s="1">
        <f>Table1[[#This Row],[Profit]]-Table1[[#This Row],[Total Shipping]]</f>
        <v>439.59999999999991</v>
      </c>
      <c r="AB194" s="3">
        <f>Table1[[#This Row],[Operating Profit]]/Table1[[#This Row],[Revenue]]</f>
        <v>0.288337924701561</v>
      </c>
    </row>
    <row r="195" spans="1:28" x14ac:dyDescent="0.25">
      <c r="A195" t="s">
        <v>155</v>
      </c>
      <c r="B195">
        <v>467</v>
      </c>
      <c r="C195" t="s">
        <v>62</v>
      </c>
      <c r="D195" t="s">
        <v>67</v>
      </c>
      <c r="E195" t="s">
        <v>49</v>
      </c>
      <c r="F195" t="s">
        <v>41</v>
      </c>
      <c r="G195" t="str" cm="1">
        <f t="array" ref="G195">_xlfn.SWITCH(F195,"Acme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195" t="s">
        <v>58</v>
      </c>
      <c r="I195" t="s">
        <v>55</v>
      </c>
      <c r="J195" t="str" cm="1">
        <f t="array" ref="J195">_xlfn.SWITCH(I195,"P001","Laptop","P002","Server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195" s="1" cm="1">
        <f t="array" ref="K195">_xlfn.SWITCH(Table1[[#This Row],[Product ID]],"P001",220,"P002",150,"P003",130,"P004",70,"P005",200,"P006",40,"P007",25,"P008",20,"P009",190,"P010",530)</f>
        <v>70</v>
      </c>
      <c r="L195">
        <v>19</v>
      </c>
      <c r="M195" s="1">
        <f>Table1[[#This Row],[Unit Price]]*Table1[[#This Row],[Quantity]]</f>
        <v>1330</v>
      </c>
      <c r="N195" s="2">
        <v>0.03</v>
      </c>
      <c r="O195" s="1">
        <f>Table1[[#This Row],[Gross Value]]*(1-Table1[[#This Row],[Discount]])</f>
        <v>1290.0999999999999</v>
      </c>
      <c r="P195" s="2">
        <v>0.2</v>
      </c>
      <c r="Q195" s="1">
        <f>Table1[[#This Row],[Revenue]]*Table1[[#This Row],[VAT Rate]]</f>
        <v>258.02</v>
      </c>
      <c r="R195" s="1">
        <f>Table1[[#This Row],[Revenue]]+Table1[[#This Row],[VAT Charged]]</f>
        <v>1548.12</v>
      </c>
      <c r="S195" s="1" cm="1">
        <f t="array" ref="S195">_xlfn.SWITCH(Table1[[#This Row],[Product ID]],"P001",140,"P002",80,"P003",72,"P004",30,"P005",110,"P006",24,"P007",14,"P008",12,"P009",115,"P010",360)</f>
        <v>30</v>
      </c>
      <c r="T195" s="1" cm="1">
        <f t="array" ref="T195">(_xlfn.SWITCH(Table1[[#This Row],[Product ID]],"P001",140,"P002",80,"P003",72,"P004",30,"P005",110,"P006",24,"P007",14,"P008",12,"P009",115,"P010",360))*Table1[[#This Row],[Quantity]]</f>
        <v>570</v>
      </c>
      <c r="U195" s="1" cm="1">
        <f t="array" ref="U195">_xlfn.SWITCH(Table1[[#This Row],[Product ID]],"P001",15,"P002",0,"P003",8,"P004",8,"P005",0,"P006",7,"P007",7,"P008",6,"P009",45,"P010",60)</f>
        <v>8</v>
      </c>
      <c r="V195" s="1">
        <f>Table1[[#This Row],[Shipping per Unit]]*Table1[[#This Row],[Quantity]]</f>
        <v>152</v>
      </c>
      <c r="W195" s="2">
        <f>IF(Table1[[#This Row],[Total Shipping]]&gt;0.1,0.2,0)</f>
        <v>0.2</v>
      </c>
      <c r="X195" s="4">
        <f>Table1[[#This Row],[Total Shipping]]*Table1[[#This Row],[VAT on Shipping]]</f>
        <v>30.400000000000002</v>
      </c>
      <c r="Y195" s="1">
        <f>Table1[[#This Row],[Revenue]]-Table1[[#This Row],[COGS]]</f>
        <v>720.09999999999991</v>
      </c>
      <c r="Z195" s="3">
        <f>(Table1[[#This Row],[Profit]]/Table1[[#This Row],[Revenue]])</f>
        <v>0.5581737849779087</v>
      </c>
      <c r="AA195" s="1">
        <f>Table1[[#This Row],[Profit]]-Table1[[#This Row],[Total Shipping]]</f>
        <v>568.09999999999991</v>
      </c>
      <c r="AB195" s="3">
        <f>Table1[[#This Row],[Operating Profit]]/Table1[[#This Row],[Revenue]]</f>
        <v>0.44035346097201761</v>
      </c>
    </row>
    <row r="196" spans="1:28" x14ac:dyDescent="0.25">
      <c r="A196" t="s">
        <v>156</v>
      </c>
      <c r="B196">
        <v>410</v>
      </c>
      <c r="C196" t="s">
        <v>35</v>
      </c>
      <c r="D196" t="s">
        <v>39</v>
      </c>
      <c r="E196" t="s">
        <v>40</v>
      </c>
      <c r="F196" t="s">
        <v>76</v>
      </c>
      <c r="G196" t="str" cm="1">
        <f t="array" ref="G196">_xlfn.SWITCH(F196,"Acme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196" t="s">
        <v>58</v>
      </c>
      <c r="I196" t="s">
        <v>34</v>
      </c>
      <c r="J196" t="str" cm="1">
        <f t="array" ref="J196">_xlfn.SWITCH(I196,"P001","Laptop","P002","Server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196" s="1" cm="1">
        <f t="array" ref="K196">_xlfn.SWITCH(Table1[[#This Row],[Product ID]],"P001",220,"P002",150,"P003",130,"P004",70,"P005",200,"P006",40,"P007",25,"P008",20,"P009",190,"P010",530)</f>
        <v>20</v>
      </c>
      <c r="L196">
        <v>19</v>
      </c>
      <c r="M196" s="1">
        <f>Table1[[#This Row],[Unit Price]]*Table1[[#This Row],[Quantity]]</f>
        <v>380</v>
      </c>
      <c r="N196" s="2">
        <v>0.1</v>
      </c>
      <c r="O196" s="1">
        <f>Table1[[#This Row],[Gross Value]]*(1-Table1[[#This Row],[Discount]])</f>
        <v>342</v>
      </c>
      <c r="P196" s="2">
        <v>0.2</v>
      </c>
      <c r="Q196" s="1">
        <f>Table1[[#This Row],[Revenue]]*Table1[[#This Row],[VAT Rate]]</f>
        <v>68.400000000000006</v>
      </c>
      <c r="R196" s="1">
        <f>Table1[[#This Row],[Revenue]]+Table1[[#This Row],[VAT Charged]]</f>
        <v>410.4</v>
      </c>
      <c r="S196" s="1" cm="1">
        <f t="array" ref="S196">_xlfn.SWITCH(Table1[[#This Row],[Product ID]],"P001",140,"P002",80,"P003",72,"P004",30,"P005",110,"P006",24,"P007",14,"P008",12,"P009",115,"P010",360)</f>
        <v>12</v>
      </c>
      <c r="T196" s="1" cm="1">
        <f t="array" ref="T196">(_xlfn.SWITCH(Table1[[#This Row],[Product ID]],"P001",140,"P002",80,"P003",72,"P004",30,"P005",110,"P006",24,"P007",14,"P008",12,"P009",115,"P010",360))*Table1[[#This Row],[Quantity]]</f>
        <v>228</v>
      </c>
      <c r="U196" s="1" cm="1">
        <f t="array" ref="U196">_xlfn.SWITCH(Table1[[#This Row],[Product ID]],"P001",15,"P002",0,"P003",8,"P004",8,"P005",0,"P006",7,"P007",7,"P008",6,"P009",45,"P010",60)</f>
        <v>6</v>
      </c>
      <c r="V196" s="1">
        <f>Table1[[#This Row],[Shipping per Unit]]*Table1[[#This Row],[Quantity]]</f>
        <v>114</v>
      </c>
      <c r="W196" s="2">
        <f>IF(Table1[[#This Row],[Total Shipping]]&gt;0.1,0.2,0)</f>
        <v>0.2</v>
      </c>
      <c r="X196" s="4">
        <f>Table1[[#This Row],[Total Shipping]]*Table1[[#This Row],[VAT on Shipping]]</f>
        <v>22.8</v>
      </c>
      <c r="Y196" s="1">
        <f>Table1[[#This Row],[Revenue]]-Table1[[#This Row],[COGS]]</f>
        <v>114</v>
      </c>
      <c r="Z196" s="3">
        <f>(Table1[[#This Row],[Profit]]/Table1[[#This Row],[Revenue]])</f>
        <v>0.33333333333333331</v>
      </c>
      <c r="AA196" s="1">
        <f>Table1[[#This Row],[Profit]]-Table1[[#This Row],[Total Shipping]]</f>
        <v>0</v>
      </c>
      <c r="AB196" s="3">
        <f>Table1[[#This Row],[Operating Profit]]/Table1[[#This Row],[Revenue]]</f>
        <v>0</v>
      </c>
    </row>
    <row r="197" spans="1:28" x14ac:dyDescent="0.25">
      <c r="A197" t="s">
        <v>156</v>
      </c>
      <c r="B197">
        <v>781</v>
      </c>
      <c r="C197" t="s">
        <v>38</v>
      </c>
      <c r="D197" t="s">
        <v>72</v>
      </c>
      <c r="E197" t="s">
        <v>40</v>
      </c>
      <c r="F197" t="s">
        <v>64</v>
      </c>
      <c r="G197" t="str" cm="1">
        <f t="array" ref="G197">_xlfn.SWITCH(F197,"Acme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197" t="s">
        <v>33</v>
      </c>
      <c r="I197" t="s">
        <v>91</v>
      </c>
      <c r="J197" t="str" cm="1">
        <f t="array" ref="J197">_xlfn.SWITCH(I197,"P001","Laptop","P002","Server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197" s="1" cm="1">
        <f t="array" ref="K197">_xlfn.SWITCH(Table1[[#This Row],[Product ID]],"P001",220,"P002",150,"P003",130,"P004",70,"P005",200,"P006",40,"P007",25,"P008",20,"P009",190,"P010",530)</f>
        <v>190</v>
      </c>
      <c r="L197">
        <v>1</v>
      </c>
      <c r="M197" s="1">
        <f>Table1[[#This Row],[Unit Price]]*Table1[[#This Row],[Quantity]]</f>
        <v>190</v>
      </c>
      <c r="N197" s="2">
        <v>0.08</v>
      </c>
      <c r="O197" s="1">
        <f>Table1[[#This Row],[Gross Value]]*(1-Table1[[#This Row],[Discount]])</f>
        <v>174.8</v>
      </c>
      <c r="P197" s="2">
        <v>0.2</v>
      </c>
      <c r="Q197" s="1">
        <f>Table1[[#This Row],[Revenue]]*Table1[[#This Row],[VAT Rate]]</f>
        <v>34.96</v>
      </c>
      <c r="R197" s="1">
        <f>Table1[[#This Row],[Revenue]]+Table1[[#This Row],[VAT Charged]]</f>
        <v>209.76000000000002</v>
      </c>
      <c r="S197" s="1" cm="1">
        <f t="array" ref="S197">_xlfn.SWITCH(Table1[[#This Row],[Product ID]],"P001",140,"P002",80,"P003",72,"P004",30,"P005",110,"P006",24,"P007",14,"P008",12,"P009",115,"P010",360)</f>
        <v>115</v>
      </c>
      <c r="T197" s="1" cm="1">
        <f t="array" ref="T197">(_xlfn.SWITCH(Table1[[#This Row],[Product ID]],"P001",140,"P002",80,"P003",72,"P004",30,"P005",110,"P006",24,"P007",14,"P008",12,"P009",115,"P010",360))*Table1[[#This Row],[Quantity]]</f>
        <v>115</v>
      </c>
      <c r="U197" s="1" cm="1">
        <f t="array" ref="U197">_xlfn.SWITCH(Table1[[#This Row],[Product ID]],"P001",15,"P002",0,"P003",8,"P004",8,"P005",0,"P006",7,"P007",7,"P008",6,"P009",45,"P010",60)</f>
        <v>45</v>
      </c>
      <c r="V197" s="1">
        <f>Table1[[#This Row],[Shipping per Unit]]*Table1[[#This Row],[Quantity]]</f>
        <v>45</v>
      </c>
      <c r="W197" s="2">
        <f>IF(Table1[[#This Row],[Total Shipping]]&gt;0.1,0.2,0)</f>
        <v>0.2</v>
      </c>
      <c r="X197" s="4">
        <f>Table1[[#This Row],[Total Shipping]]*Table1[[#This Row],[VAT on Shipping]]</f>
        <v>9</v>
      </c>
      <c r="Y197" s="1">
        <f>Table1[[#This Row],[Revenue]]-Table1[[#This Row],[COGS]]</f>
        <v>59.800000000000011</v>
      </c>
      <c r="Z197" s="3">
        <f>(Table1[[#This Row],[Profit]]/Table1[[#This Row],[Revenue]])</f>
        <v>0.3421052631578948</v>
      </c>
      <c r="AA197" s="1">
        <f>Table1[[#This Row],[Profit]]-Table1[[#This Row],[Total Shipping]]</f>
        <v>14.800000000000011</v>
      </c>
      <c r="AB197" s="3">
        <f>Table1[[#This Row],[Operating Profit]]/Table1[[#This Row],[Revenue]]</f>
        <v>8.4668192219679694E-2</v>
      </c>
    </row>
    <row r="198" spans="1:28" x14ac:dyDescent="0.25">
      <c r="A198" t="s">
        <v>156</v>
      </c>
      <c r="B198">
        <v>911</v>
      </c>
      <c r="C198" t="s">
        <v>35</v>
      </c>
      <c r="D198" t="s">
        <v>30</v>
      </c>
      <c r="E198" t="s">
        <v>31</v>
      </c>
      <c r="F198" t="s">
        <v>98</v>
      </c>
      <c r="G198" t="str" cm="1">
        <f t="array" ref="G198">_xlfn.SWITCH(F198,"Acme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198" t="s">
        <v>45</v>
      </c>
      <c r="I198" t="s">
        <v>46</v>
      </c>
      <c r="J198" t="str" cm="1">
        <f t="array" ref="J198">_xlfn.SWITCH(I198,"P001","Laptop","P002","Server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98" s="1" cm="1">
        <f t="array" ref="K198">_xlfn.SWITCH(Table1[[#This Row],[Product ID]],"P001",220,"P002",150,"P003",130,"P004",70,"P005",200,"P006",40,"P007",25,"P008",20,"P009",190,"P010",530)</f>
        <v>530</v>
      </c>
      <c r="L198">
        <v>20</v>
      </c>
      <c r="M198" s="1">
        <f>Table1[[#This Row],[Unit Price]]*Table1[[#This Row],[Quantity]]</f>
        <v>10600</v>
      </c>
      <c r="N198" s="2">
        <v>0.01</v>
      </c>
      <c r="O198" s="1">
        <f>Table1[[#This Row],[Gross Value]]*(1-Table1[[#This Row],[Discount]])</f>
        <v>10494</v>
      </c>
      <c r="P198" s="2">
        <v>0.2</v>
      </c>
      <c r="Q198" s="1">
        <f>Table1[[#This Row],[Revenue]]*Table1[[#This Row],[VAT Rate]]</f>
        <v>2098.8000000000002</v>
      </c>
      <c r="R198" s="1">
        <f>Table1[[#This Row],[Revenue]]+Table1[[#This Row],[VAT Charged]]</f>
        <v>12592.8</v>
      </c>
      <c r="S198" s="1" cm="1">
        <f t="array" ref="S198">_xlfn.SWITCH(Table1[[#This Row],[Product ID]],"P001",140,"P002",80,"P003",72,"P004",30,"P005",110,"P006",24,"P007",14,"P008",12,"P009",115,"P010",360)</f>
        <v>360</v>
      </c>
      <c r="T198" s="1" cm="1">
        <f t="array" ref="T198">(_xlfn.SWITCH(Table1[[#This Row],[Product ID]],"P001",140,"P002",80,"P003",72,"P004",30,"P005",110,"P006",24,"P007",14,"P008",12,"P009",115,"P010",360))*Table1[[#This Row],[Quantity]]</f>
        <v>7200</v>
      </c>
      <c r="U198" s="1" cm="1">
        <f t="array" ref="U198">_xlfn.SWITCH(Table1[[#This Row],[Product ID]],"P001",15,"P002",0,"P003",8,"P004",8,"P005",0,"P006",7,"P007",7,"P008",6,"P009",45,"P010",60)</f>
        <v>60</v>
      </c>
      <c r="V198" s="1">
        <f>Table1[[#This Row],[Shipping per Unit]]*Table1[[#This Row],[Quantity]]</f>
        <v>1200</v>
      </c>
      <c r="W198" s="2">
        <f>IF(Table1[[#This Row],[Total Shipping]]&gt;0.1,0.2,0)</f>
        <v>0.2</v>
      </c>
      <c r="X198" s="4">
        <f>Table1[[#This Row],[Total Shipping]]*Table1[[#This Row],[VAT on Shipping]]</f>
        <v>240</v>
      </c>
      <c r="Y198" s="1">
        <f>Table1[[#This Row],[Revenue]]-Table1[[#This Row],[COGS]]</f>
        <v>3294</v>
      </c>
      <c r="Z198" s="3">
        <f>(Table1[[#This Row],[Profit]]/Table1[[#This Row],[Revenue]])</f>
        <v>0.313893653516295</v>
      </c>
      <c r="AA198" s="1">
        <f>Table1[[#This Row],[Profit]]-Table1[[#This Row],[Total Shipping]]</f>
        <v>2094</v>
      </c>
      <c r="AB198" s="3">
        <f>Table1[[#This Row],[Operating Profit]]/Table1[[#This Row],[Revenue]]</f>
        <v>0.19954259576901087</v>
      </c>
    </row>
    <row r="199" spans="1:28" x14ac:dyDescent="0.25">
      <c r="A199" t="s">
        <v>157</v>
      </c>
      <c r="B199">
        <v>90</v>
      </c>
      <c r="C199" t="s">
        <v>38</v>
      </c>
      <c r="D199" t="s">
        <v>53</v>
      </c>
      <c r="E199" t="s">
        <v>31</v>
      </c>
      <c r="F199" t="s">
        <v>86</v>
      </c>
      <c r="G199" t="str" cm="1">
        <f t="array" ref="G199">_xlfn.SWITCH(F199,"Acme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199" t="s">
        <v>45</v>
      </c>
      <c r="I199" t="s">
        <v>75</v>
      </c>
      <c r="J199" t="str" cm="1">
        <f t="array" ref="J199">_xlfn.SWITCH(I199,"P001","Laptop","P002","Server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199" s="1" cm="1">
        <f t="array" ref="K199">_xlfn.SWITCH(Table1[[#This Row],[Product ID]],"P001",220,"P002",150,"P003",130,"P004",70,"P005",200,"P006",40,"P007",25,"P008",20,"P009",190,"P010",530)</f>
        <v>200</v>
      </c>
      <c r="L199">
        <v>11</v>
      </c>
      <c r="M199" s="1">
        <f>Table1[[#This Row],[Unit Price]]*Table1[[#This Row],[Quantity]]</f>
        <v>2200</v>
      </c>
      <c r="N199" s="2">
        <v>0.05</v>
      </c>
      <c r="O199" s="1">
        <f>Table1[[#This Row],[Gross Value]]*(1-Table1[[#This Row],[Discount]])</f>
        <v>2090</v>
      </c>
      <c r="P199" s="2">
        <v>0.2</v>
      </c>
      <c r="Q199" s="1">
        <f>Table1[[#This Row],[Revenue]]*Table1[[#This Row],[VAT Rate]]</f>
        <v>418</v>
      </c>
      <c r="R199" s="1">
        <f>Table1[[#This Row],[Revenue]]+Table1[[#This Row],[VAT Charged]]</f>
        <v>2508</v>
      </c>
      <c r="S199" s="1" cm="1">
        <f t="array" ref="S199">_xlfn.SWITCH(Table1[[#This Row],[Product ID]],"P001",140,"P002",80,"P003",72,"P004",30,"P005",110,"P006",24,"P007",14,"P008",12,"P009",115,"P010",360)</f>
        <v>110</v>
      </c>
      <c r="T199" s="1" cm="1">
        <f t="array" ref="T199">(_xlfn.SWITCH(Table1[[#This Row],[Product ID]],"P001",140,"P002",80,"P003",72,"P004",30,"P005",110,"P006",24,"P007",14,"P008",12,"P009",115,"P010",360))*Table1[[#This Row],[Quantity]]</f>
        <v>1210</v>
      </c>
      <c r="U199" s="1" cm="1">
        <f t="array" ref="U199">_xlfn.SWITCH(Table1[[#This Row],[Product ID]],"P001",15,"P002",0,"P003",8,"P004",8,"P005",0,"P006",7,"P007",7,"P008",6,"P009",45,"P010",60)</f>
        <v>0</v>
      </c>
      <c r="V199" s="1">
        <f>Table1[[#This Row],[Shipping per Unit]]*Table1[[#This Row],[Quantity]]</f>
        <v>0</v>
      </c>
      <c r="W199" s="2">
        <f>IF(Table1[[#This Row],[Total Shipping]]&gt;0.1,0.2,0)</f>
        <v>0</v>
      </c>
      <c r="X199" s="4">
        <f>Table1[[#This Row],[Total Shipping]]*Table1[[#This Row],[VAT on Shipping]]</f>
        <v>0</v>
      </c>
      <c r="Y199" s="1">
        <f>Table1[[#This Row],[Revenue]]-Table1[[#This Row],[COGS]]</f>
        <v>880</v>
      </c>
      <c r="Z199" s="3">
        <f>(Table1[[#This Row],[Profit]]/Table1[[#This Row],[Revenue]])</f>
        <v>0.42105263157894735</v>
      </c>
      <c r="AA199" s="1">
        <f>Table1[[#This Row],[Profit]]-Table1[[#This Row],[Total Shipping]]</f>
        <v>880</v>
      </c>
      <c r="AB199" s="3">
        <f>Table1[[#This Row],[Operating Profit]]/Table1[[#This Row],[Revenue]]</f>
        <v>0.42105263157894735</v>
      </c>
    </row>
    <row r="200" spans="1:28" x14ac:dyDescent="0.25">
      <c r="A200" t="s">
        <v>157</v>
      </c>
      <c r="B200">
        <v>296</v>
      </c>
      <c r="C200" t="s">
        <v>29</v>
      </c>
      <c r="D200" t="s">
        <v>36</v>
      </c>
      <c r="E200" t="s">
        <v>40</v>
      </c>
      <c r="F200" t="s">
        <v>54</v>
      </c>
      <c r="G200" t="str" cm="1">
        <f t="array" ref="G200">_xlfn.SWITCH(F200,"Acme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200" t="s">
        <v>45</v>
      </c>
      <c r="I200" t="s">
        <v>68</v>
      </c>
      <c r="J200" t="str" cm="1">
        <f t="array" ref="J200">_xlfn.SWITCH(I200,"P001","Laptop","P002","Server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200" s="1" cm="1">
        <f t="array" ref="K200">_xlfn.SWITCH(Table1[[#This Row],[Product ID]],"P001",220,"P002",150,"P003",130,"P004",70,"P005",200,"P006",40,"P007",25,"P008",20,"P009",190,"P010",530)</f>
        <v>220</v>
      </c>
      <c r="L200">
        <v>19</v>
      </c>
      <c r="M200" s="1">
        <f>Table1[[#This Row],[Unit Price]]*Table1[[#This Row],[Quantity]]</f>
        <v>4180</v>
      </c>
      <c r="N200" s="2">
        <v>7.0000000000000007E-2</v>
      </c>
      <c r="O200" s="1">
        <f>Table1[[#This Row],[Gross Value]]*(1-Table1[[#This Row],[Discount]])</f>
        <v>3887.3999999999996</v>
      </c>
      <c r="P200" s="2">
        <v>0.2</v>
      </c>
      <c r="Q200" s="1">
        <f>Table1[[#This Row],[Revenue]]*Table1[[#This Row],[VAT Rate]]</f>
        <v>777.48</v>
      </c>
      <c r="R200" s="1">
        <f>Table1[[#This Row],[Revenue]]+Table1[[#This Row],[VAT Charged]]</f>
        <v>4664.8799999999992</v>
      </c>
      <c r="S200" s="1" cm="1">
        <f t="array" ref="S200">_xlfn.SWITCH(Table1[[#This Row],[Product ID]],"P001",140,"P002",80,"P003",72,"P004",30,"P005",110,"P006",24,"P007",14,"P008",12,"P009",115,"P010",360)</f>
        <v>140</v>
      </c>
      <c r="T200" s="1" cm="1">
        <f t="array" ref="T200">(_xlfn.SWITCH(Table1[[#This Row],[Product ID]],"P001",140,"P002",80,"P003",72,"P004",30,"P005",110,"P006",24,"P007",14,"P008",12,"P009",115,"P010",360))*Table1[[#This Row],[Quantity]]</f>
        <v>2660</v>
      </c>
      <c r="U200" s="1" cm="1">
        <f t="array" ref="U200">_xlfn.SWITCH(Table1[[#This Row],[Product ID]],"P001",15,"P002",0,"P003",8,"P004",8,"P005",0,"P006",7,"P007",7,"P008",6,"P009",45,"P010",60)</f>
        <v>15</v>
      </c>
      <c r="V200" s="1">
        <f>Table1[[#This Row],[Shipping per Unit]]*Table1[[#This Row],[Quantity]]</f>
        <v>285</v>
      </c>
      <c r="W200" s="2">
        <f>IF(Table1[[#This Row],[Total Shipping]]&gt;0.1,0.2,0)</f>
        <v>0.2</v>
      </c>
      <c r="X200" s="4">
        <f>Table1[[#This Row],[Total Shipping]]*Table1[[#This Row],[VAT on Shipping]]</f>
        <v>57</v>
      </c>
      <c r="Y200" s="1">
        <f>Table1[[#This Row],[Revenue]]-Table1[[#This Row],[COGS]]</f>
        <v>1227.3999999999996</v>
      </c>
      <c r="Z200" s="3">
        <f>(Table1[[#This Row],[Profit]]/Table1[[#This Row],[Revenue]])</f>
        <v>0.31573802541544471</v>
      </c>
      <c r="AA200" s="1">
        <f>Table1[[#This Row],[Profit]]-Table1[[#This Row],[Total Shipping]]</f>
        <v>942.39999999999964</v>
      </c>
      <c r="AB200" s="3">
        <f>Table1[[#This Row],[Operating Profit]]/Table1[[#This Row],[Revenue]]</f>
        <v>0.24242424242424235</v>
      </c>
    </row>
    <row r="201" spans="1:28" x14ac:dyDescent="0.25">
      <c r="A201" t="s">
        <v>157</v>
      </c>
      <c r="B201">
        <v>493</v>
      </c>
      <c r="C201" t="s">
        <v>56</v>
      </c>
      <c r="D201" t="s">
        <v>57</v>
      </c>
      <c r="E201" t="s">
        <v>31</v>
      </c>
      <c r="F201" t="s">
        <v>113</v>
      </c>
      <c r="G201" t="str" cm="1">
        <f t="array" ref="G201">_xlfn.SWITCH(F201,"Acme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201" t="s">
        <v>33</v>
      </c>
      <c r="I201" t="s">
        <v>70</v>
      </c>
      <c r="J201" t="str" cm="1">
        <f t="array" ref="J201">_xlfn.SWITCH(I201,"P001","Laptop","P002","Server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01" s="1" cm="1">
        <f t="array" ref="K201">_xlfn.SWITCH(Table1[[#This Row],[Product ID]],"P001",220,"P002",150,"P003",130,"P004",70,"P005",200,"P006",40,"P007",25,"P008",20,"P009",190,"P010",530)</f>
        <v>150</v>
      </c>
      <c r="L201">
        <v>13</v>
      </c>
      <c r="M201" s="1">
        <f>Table1[[#This Row],[Unit Price]]*Table1[[#This Row],[Quantity]]</f>
        <v>1950</v>
      </c>
      <c r="N201" s="2">
        <v>0.05</v>
      </c>
      <c r="O201" s="1">
        <f>Table1[[#This Row],[Gross Value]]*(1-Table1[[#This Row],[Discount]])</f>
        <v>1852.5</v>
      </c>
      <c r="P201" s="2">
        <v>0.2</v>
      </c>
      <c r="Q201" s="1">
        <f>Table1[[#This Row],[Revenue]]*Table1[[#This Row],[VAT Rate]]</f>
        <v>370.5</v>
      </c>
      <c r="R201" s="1">
        <f>Table1[[#This Row],[Revenue]]+Table1[[#This Row],[VAT Charged]]</f>
        <v>2223</v>
      </c>
      <c r="S201" s="1" cm="1">
        <f t="array" ref="S201">_xlfn.SWITCH(Table1[[#This Row],[Product ID]],"P001",140,"P002",80,"P003",72,"P004",30,"P005",110,"P006",24,"P007",14,"P008",12,"P009",115,"P010",360)</f>
        <v>80</v>
      </c>
      <c r="T201" s="1" cm="1">
        <f t="array" ref="T201">(_xlfn.SWITCH(Table1[[#This Row],[Product ID]],"P001",140,"P002",80,"P003",72,"P004",30,"P005",110,"P006",24,"P007",14,"P008",12,"P009",115,"P010",360))*Table1[[#This Row],[Quantity]]</f>
        <v>1040</v>
      </c>
      <c r="U201" s="1" cm="1">
        <f t="array" ref="U201">_xlfn.SWITCH(Table1[[#This Row],[Product ID]],"P001",15,"P002",0,"P003",8,"P004",8,"P005",0,"P006",7,"P007",7,"P008",6,"P009",45,"P010",60)</f>
        <v>0</v>
      </c>
      <c r="V201" s="1">
        <f>Table1[[#This Row],[Shipping per Unit]]*Table1[[#This Row],[Quantity]]</f>
        <v>0</v>
      </c>
      <c r="W201" s="2">
        <f>IF(Table1[[#This Row],[Total Shipping]]&gt;0.1,0.2,0)</f>
        <v>0</v>
      </c>
      <c r="X201" s="4">
        <f>Table1[[#This Row],[Total Shipping]]*Table1[[#This Row],[VAT on Shipping]]</f>
        <v>0</v>
      </c>
      <c r="Y201" s="1">
        <f>Table1[[#This Row],[Revenue]]-Table1[[#This Row],[COGS]]</f>
        <v>812.5</v>
      </c>
      <c r="Z201" s="3">
        <f>(Table1[[#This Row],[Profit]]/Table1[[#This Row],[Revenue]])</f>
        <v>0.43859649122807015</v>
      </c>
      <c r="AA201" s="1">
        <f>Table1[[#This Row],[Profit]]-Table1[[#This Row],[Total Shipping]]</f>
        <v>812.5</v>
      </c>
      <c r="AB201" s="3">
        <f>Table1[[#This Row],[Operating Profit]]/Table1[[#This Row],[Revenue]]</f>
        <v>0.43859649122807015</v>
      </c>
    </row>
    <row r="202" spans="1:28" x14ac:dyDescent="0.25">
      <c r="A202" t="s">
        <v>157</v>
      </c>
      <c r="B202">
        <v>516</v>
      </c>
      <c r="C202" t="s">
        <v>62</v>
      </c>
      <c r="D202" t="s">
        <v>39</v>
      </c>
      <c r="E202" t="s">
        <v>49</v>
      </c>
      <c r="F202" t="s">
        <v>126</v>
      </c>
      <c r="G202" t="str" cm="1">
        <f t="array" ref="G202">_xlfn.SWITCH(F202,"Acme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202" t="s">
        <v>33</v>
      </c>
      <c r="I202" t="s">
        <v>75</v>
      </c>
      <c r="J202" t="str" cm="1">
        <f t="array" ref="J202">_xlfn.SWITCH(I202,"P001","Laptop","P002","Server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202" s="1" cm="1">
        <f t="array" ref="K202">_xlfn.SWITCH(Table1[[#This Row],[Product ID]],"P001",220,"P002",150,"P003",130,"P004",70,"P005",200,"P006",40,"P007",25,"P008",20,"P009",190,"P010",530)</f>
        <v>200</v>
      </c>
      <c r="L202">
        <v>3</v>
      </c>
      <c r="M202" s="1">
        <f>Table1[[#This Row],[Unit Price]]*Table1[[#This Row],[Quantity]]</f>
        <v>600</v>
      </c>
      <c r="N202" s="2">
        <v>0.05</v>
      </c>
      <c r="O202" s="1">
        <f>Table1[[#This Row],[Gross Value]]*(1-Table1[[#This Row],[Discount]])</f>
        <v>570</v>
      </c>
      <c r="P202" s="2">
        <v>0.2</v>
      </c>
      <c r="Q202" s="1">
        <f>Table1[[#This Row],[Revenue]]*Table1[[#This Row],[VAT Rate]]</f>
        <v>114</v>
      </c>
      <c r="R202" s="1">
        <f>Table1[[#This Row],[Revenue]]+Table1[[#This Row],[VAT Charged]]</f>
        <v>684</v>
      </c>
      <c r="S202" s="1" cm="1">
        <f t="array" ref="S202">_xlfn.SWITCH(Table1[[#This Row],[Product ID]],"P001",140,"P002",80,"P003",72,"P004",30,"P005",110,"P006",24,"P007",14,"P008",12,"P009",115,"P010",360)</f>
        <v>110</v>
      </c>
      <c r="T202" s="1" cm="1">
        <f t="array" ref="T202">(_xlfn.SWITCH(Table1[[#This Row],[Product ID]],"P001",140,"P002",80,"P003",72,"P004",30,"P005",110,"P006",24,"P007",14,"P008",12,"P009",115,"P010",360))*Table1[[#This Row],[Quantity]]</f>
        <v>330</v>
      </c>
      <c r="U202" s="1" cm="1">
        <f t="array" ref="U202">_xlfn.SWITCH(Table1[[#This Row],[Product ID]],"P001",15,"P002",0,"P003",8,"P004",8,"P005",0,"P006",7,"P007",7,"P008",6,"P009",45,"P010",60)</f>
        <v>0</v>
      </c>
      <c r="V202" s="1">
        <f>Table1[[#This Row],[Shipping per Unit]]*Table1[[#This Row],[Quantity]]</f>
        <v>0</v>
      </c>
      <c r="W202" s="2">
        <f>IF(Table1[[#This Row],[Total Shipping]]&gt;0.1,0.2,0)</f>
        <v>0</v>
      </c>
      <c r="X202" s="4">
        <f>Table1[[#This Row],[Total Shipping]]*Table1[[#This Row],[VAT on Shipping]]</f>
        <v>0</v>
      </c>
      <c r="Y202" s="1">
        <f>Table1[[#This Row],[Revenue]]-Table1[[#This Row],[COGS]]</f>
        <v>240</v>
      </c>
      <c r="Z202" s="3">
        <f>(Table1[[#This Row],[Profit]]/Table1[[#This Row],[Revenue]])</f>
        <v>0.42105263157894735</v>
      </c>
      <c r="AA202" s="1">
        <f>Table1[[#This Row],[Profit]]-Table1[[#This Row],[Total Shipping]]</f>
        <v>240</v>
      </c>
      <c r="AB202" s="3">
        <f>Table1[[#This Row],[Operating Profit]]/Table1[[#This Row],[Revenue]]</f>
        <v>0.42105263157894735</v>
      </c>
    </row>
    <row r="203" spans="1:28" x14ac:dyDescent="0.25">
      <c r="A203" t="s">
        <v>158</v>
      </c>
      <c r="B203">
        <v>613</v>
      </c>
      <c r="C203" t="s">
        <v>83</v>
      </c>
      <c r="D203" t="s">
        <v>67</v>
      </c>
      <c r="E203" t="s">
        <v>31</v>
      </c>
      <c r="F203" t="s">
        <v>50</v>
      </c>
      <c r="G203" t="str" cm="1">
        <f t="array" ref="G203">_xlfn.SWITCH(F203,"Acme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203" t="s">
        <v>104</v>
      </c>
      <c r="I203" t="s">
        <v>46</v>
      </c>
      <c r="J203" t="str" cm="1">
        <f t="array" ref="J203">_xlfn.SWITCH(I203,"P001","Laptop","P002","Server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03" s="1" cm="1">
        <f t="array" ref="K203">_xlfn.SWITCH(Table1[[#This Row],[Product ID]],"P001",220,"P002",150,"P003",130,"P004",70,"P005",200,"P006",40,"P007",25,"P008",20,"P009",190,"P010",530)</f>
        <v>530</v>
      </c>
      <c r="L203">
        <v>14</v>
      </c>
      <c r="M203" s="1">
        <f>Table1[[#This Row],[Unit Price]]*Table1[[#This Row],[Quantity]]</f>
        <v>7420</v>
      </c>
      <c r="N203" s="2">
        <v>0.02</v>
      </c>
      <c r="O203" s="1">
        <f>Table1[[#This Row],[Gross Value]]*(1-Table1[[#This Row],[Discount]])</f>
        <v>7271.5999999999995</v>
      </c>
      <c r="P203" s="2">
        <v>0.2</v>
      </c>
      <c r="Q203" s="1">
        <f>Table1[[#This Row],[Revenue]]*Table1[[#This Row],[VAT Rate]]</f>
        <v>1454.32</v>
      </c>
      <c r="R203" s="1">
        <f>Table1[[#This Row],[Revenue]]+Table1[[#This Row],[VAT Charged]]</f>
        <v>8725.92</v>
      </c>
      <c r="S203" s="1" cm="1">
        <f t="array" ref="S203">_xlfn.SWITCH(Table1[[#This Row],[Product ID]],"P001",140,"P002",80,"P003",72,"P004",30,"P005",110,"P006",24,"P007",14,"P008",12,"P009",115,"P010",360)</f>
        <v>360</v>
      </c>
      <c r="T203" s="1" cm="1">
        <f t="array" ref="T203">(_xlfn.SWITCH(Table1[[#This Row],[Product ID]],"P001",140,"P002",80,"P003",72,"P004",30,"P005",110,"P006",24,"P007",14,"P008",12,"P009",115,"P010",360))*Table1[[#This Row],[Quantity]]</f>
        <v>5040</v>
      </c>
      <c r="U203" s="1" cm="1">
        <f t="array" ref="U203">_xlfn.SWITCH(Table1[[#This Row],[Product ID]],"P001",15,"P002",0,"P003",8,"P004",8,"P005",0,"P006",7,"P007",7,"P008",6,"P009",45,"P010",60)</f>
        <v>60</v>
      </c>
      <c r="V203" s="1">
        <f>Table1[[#This Row],[Shipping per Unit]]*Table1[[#This Row],[Quantity]]</f>
        <v>840</v>
      </c>
      <c r="W203" s="2">
        <f>IF(Table1[[#This Row],[Total Shipping]]&gt;0.1,0.2,0)</f>
        <v>0.2</v>
      </c>
      <c r="X203" s="4">
        <f>Table1[[#This Row],[Total Shipping]]*Table1[[#This Row],[VAT on Shipping]]</f>
        <v>168</v>
      </c>
      <c r="Y203" s="1">
        <f>Table1[[#This Row],[Revenue]]-Table1[[#This Row],[COGS]]</f>
        <v>2231.5999999999995</v>
      </c>
      <c r="Z203" s="3">
        <f>(Table1[[#This Row],[Profit]]/Table1[[#This Row],[Revenue]])</f>
        <v>0.30689256834809392</v>
      </c>
      <c r="AA203" s="1">
        <f>Table1[[#This Row],[Profit]]-Table1[[#This Row],[Total Shipping]]</f>
        <v>1391.5999999999995</v>
      </c>
      <c r="AB203" s="3">
        <f>Table1[[#This Row],[Operating Profit]]/Table1[[#This Row],[Revenue]]</f>
        <v>0.19137466307277623</v>
      </c>
    </row>
    <row r="204" spans="1:28" x14ac:dyDescent="0.25">
      <c r="A204" t="s">
        <v>158</v>
      </c>
      <c r="B204">
        <v>662</v>
      </c>
      <c r="C204" t="s">
        <v>38</v>
      </c>
      <c r="D204" t="s">
        <v>30</v>
      </c>
      <c r="E204" t="s">
        <v>40</v>
      </c>
      <c r="F204" t="s">
        <v>97</v>
      </c>
      <c r="G204" t="str" cm="1">
        <f t="array" ref="G204">_xlfn.SWITCH(F204,"Acme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204" t="s">
        <v>45</v>
      </c>
      <c r="I204" t="s">
        <v>60</v>
      </c>
      <c r="J204" t="str" cm="1">
        <f t="array" ref="J204">_xlfn.SWITCH(I204,"P001","Laptop","P002","Server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04" s="1" cm="1">
        <f t="array" ref="K204">_xlfn.SWITCH(Table1[[#This Row],[Product ID]],"P001",220,"P002",150,"P003",130,"P004",70,"P005",200,"P006",40,"P007",25,"P008",20,"P009",190,"P010",530)</f>
        <v>25</v>
      </c>
      <c r="L204">
        <v>7</v>
      </c>
      <c r="M204" s="1">
        <f>Table1[[#This Row],[Unit Price]]*Table1[[#This Row],[Quantity]]</f>
        <v>175</v>
      </c>
      <c r="N204" s="2">
        <v>0.02</v>
      </c>
      <c r="O204" s="1">
        <f>Table1[[#This Row],[Gross Value]]*(1-Table1[[#This Row],[Discount]])</f>
        <v>171.5</v>
      </c>
      <c r="P204" s="2">
        <v>0.2</v>
      </c>
      <c r="Q204" s="1">
        <f>Table1[[#This Row],[Revenue]]*Table1[[#This Row],[VAT Rate]]</f>
        <v>34.300000000000004</v>
      </c>
      <c r="R204" s="1">
        <f>Table1[[#This Row],[Revenue]]+Table1[[#This Row],[VAT Charged]]</f>
        <v>205.8</v>
      </c>
      <c r="S204" s="1" cm="1">
        <f t="array" ref="S204">_xlfn.SWITCH(Table1[[#This Row],[Product ID]],"P001",140,"P002",80,"P003",72,"P004",30,"P005",110,"P006",24,"P007",14,"P008",12,"P009",115,"P010",360)</f>
        <v>14</v>
      </c>
      <c r="T204" s="1" cm="1">
        <f t="array" ref="T204">(_xlfn.SWITCH(Table1[[#This Row],[Product ID]],"P001",140,"P002",80,"P003",72,"P004",30,"P005",110,"P006",24,"P007",14,"P008",12,"P009",115,"P010",360))*Table1[[#This Row],[Quantity]]</f>
        <v>98</v>
      </c>
      <c r="U204" s="1" cm="1">
        <f t="array" ref="U204">_xlfn.SWITCH(Table1[[#This Row],[Product ID]],"P001",15,"P002",0,"P003",8,"P004",8,"P005",0,"P006",7,"P007",7,"P008",6,"P009",45,"P010",60)</f>
        <v>7</v>
      </c>
      <c r="V204" s="1">
        <f>Table1[[#This Row],[Shipping per Unit]]*Table1[[#This Row],[Quantity]]</f>
        <v>49</v>
      </c>
      <c r="W204" s="2">
        <f>IF(Table1[[#This Row],[Total Shipping]]&gt;0.1,0.2,0)</f>
        <v>0.2</v>
      </c>
      <c r="X204" s="4">
        <f>Table1[[#This Row],[Total Shipping]]*Table1[[#This Row],[VAT on Shipping]]</f>
        <v>9.8000000000000007</v>
      </c>
      <c r="Y204" s="1">
        <f>Table1[[#This Row],[Revenue]]-Table1[[#This Row],[COGS]]</f>
        <v>73.5</v>
      </c>
      <c r="Z204" s="3">
        <f>(Table1[[#This Row],[Profit]]/Table1[[#This Row],[Revenue]])</f>
        <v>0.42857142857142855</v>
      </c>
      <c r="AA204" s="1">
        <f>Table1[[#This Row],[Profit]]-Table1[[#This Row],[Total Shipping]]</f>
        <v>24.5</v>
      </c>
      <c r="AB204" s="3">
        <f>Table1[[#This Row],[Operating Profit]]/Table1[[#This Row],[Revenue]]</f>
        <v>0.14285714285714285</v>
      </c>
    </row>
    <row r="205" spans="1:28" x14ac:dyDescent="0.25">
      <c r="A205" t="s">
        <v>158</v>
      </c>
      <c r="B205">
        <v>941</v>
      </c>
      <c r="C205" t="s">
        <v>71</v>
      </c>
      <c r="D205" t="s">
        <v>30</v>
      </c>
      <c r="E205" t="s">
        <v>40</v>
      </c>
      <c r="F205" t="s">
        <v>37</v>
      </c>
      <c r="G205" t="str" cm="1">
        <f t="array" ref="G205">_xlfn.SWITCH(F205,"Acme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205" t="s">
        <v>45</v>
      </c>
      <c r="I205" t="s">
        <v>91</v>
      </c>
      <c r="J205" t="str" cm="1">
        <f t="array" ref="J205">_xlfn.SWITCH(I205,"P001","Laptop","P002","Server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05" s="1" cm="1">
        <f t="array" ref="K205">_xlfn.SWITCH(Table1[[#This Row],[Product ID]],"P001",220,"P002",150,"P003",130,"P004",70,"P005",200,"P006",40,"P007",25,"P008",20,"P009",190,"P010",530)</f>
        <v>190</v>
      </c>
      <c r="L205">
        <v>15</v>
      </c>
      <c r="M205" s="1">
        <f>Table1[[#This Row],[Unit Price]]*Table1[[#This Row],[Quantity]]</f>
        <v>2850</v>
      </c>
      <c r="N205" s="2">
        <v>0.02</v>
      </c>
      <c r="O205" s="1">
        <f>Table1[[#This Row],[Gross Value]]*(1-Table1[[#This Row],[Discount]])</f>
        <v>2793</v>
      </c>
      <c r="P205" s="2">
        <v>0.2</v>
      </c>
      <c r="Q205" s="1">
        <f>Table1[[#This Row],[Revenue]]*Table1[[#This Row],[VAT Rate]]</f>
        <v>558.6</v>
      </c>
      <c r="R205" s="1">
        <f>Table1[[#This Row],[Revenue]]+Table1[[#This Row],[VAT Charged]]</f>
        <v>3351.6</v>
      </c>
      <c r="S205" s="1" cm="1">
        <f t="array" ref="S205">_xlfn.SWITCH(Table1[[#This Row],[Product ID]],"P001",140,"P002",80,"P003",72,"P004",30,"P005",110,"P006",24,"P007",14,"P008",12,"P009",115,"P010",360)</f>
        <v>115</v>
      </c>
      <c r="T205" s="1" cm="1">
        <f t="array" ref="T205">(_xlfn.SWITCH(Table1[[#This Row],[Product ID]],"P001",140,"P002",80,"P003",72,"P004",30,"P005",110,"P006",24,"P007",14,"P008",12,"P009",115,"P010",360))*Table1[[#This Row],[Quantity]]</f>
        <v>1725</v>
      </c>
      <c r="U205" s="1" cm="1">
        <f t="array" ref="U205">_xlfn.SWITCH(Table1[[#This Row],[Product ID]],"P001",15,"P002",0,"P003",8,"P004",8,"P005",0,"P006",7,"P007",7,"P008",6,"P009",45,"P010",60)</f>
        <v>45</v>
      </c>
      <c r="V205" s="1">
        <f>Table1[[#This Row],[Shipping per Unit]]*Table1[[#This Row],[Quantity]]</f>
        <v>675</v>
      </c>
      <c r="W205" s="2">
        <f>IF(Table1[[#This Row],[Total Shipping]]&gt;0.1,0.2,0)</f>
        <v>0.2</v>
      </c>
      <c r="X205" s="4">
        <f>Table1[[#This Row],[Total Shipping]]*Table1[[#This Row],[VAT on Shipping]]</f>
        <v>135</v>
      </c>
      <c r="Y205" s="1">
        <f>Table1[[#This Row],[Revenue]]-Table1[[#This Row],[COGS]]</f>
        <v>1068</v>
      </c>
      <c r="Z205" s="3">
        <f>(Table1[[#This Row],[Profit]]/Table1[[#This Row],[Revenue]])</f>
        <v>0.38238453276047263</v>
      </c>
      <c r="AA205" s="1">
        <f>Table1[[#This Row],[Profit]]-Table1[[#This Row],[Total Shipping]]</f>
        <v>393</v>
      </c>
      <c r="AB205" s="3">
        <f>Table1[[#This Row],[Operating Profit]]/Table1[[#This Row],[Revenue]]</f>
        <v>0.14070891514500536</v>
      </c>
    </row>
    <row r="206" spans="1:28" x14ac:dyDescent="0.25">
      <c r="A206" t="s">
        <v>159</v>
      </c>
      <c r="B206">
        <v>127</v>
      </c>
      <c r="C206" t="s">
        <v>56</v>
      </c>
      <c r="D206" t="s">
        <v>48</v>
      </c>
      <c r="E206" t="s">
        <v>40</v>
      </c>
      <c r="F206" t="s">
        <v>102</v>
      </c>
      <c r="G206" t="str" cm="1">
        <f t="array" ref="G206">_xlfn.SWITCH(F206,"Acme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206" t="s">
        <v>45</v>
      </c>
      <c r="I206" t="s">
        <v>42</v>
      </c>
      <c r="J206" t="str" cm="1">
        <f t="array" ref="J206">_xlfn.SWITCH(I206,"P001","Laptop","P002","Server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06" s="1" cm="1">
        <f t="array" ref="K206">_xlfn.SWITCH(Table1[[#This Row],[Product ID]],"P001",220,"P002",150,"P003",130,"P004",70,"P005",200,"P006",40,"P007",25,"P008",20,"P009",190,"P010",530)</f>
        <v>40</v>
      </c>
      <c r="L206">
        <v>12</v>
      </c>
      <c r="M206" s="1">
        <f>Table1[[#This Row],[Unit Price]]*Table1[[#This Row],[Quantity]]</f>
        <v>480</v>
      </c>
      <c r="N206" s="2">
        <v>0.05</v>
      </c>
      <c r="O206" s="1">
        <f>Table1[[#This Row],[Gross Value]]*(1-Table1[[#This Row],[Discount]])</f>
        <v>456</v>
      </c>
      <c r="P206" s="2">
        <v>0.2</v>
      </c>
      <c r="Q206" s="1">
        <f>Table1[[#This Row],[Revenue]]*Table1[[#This Row],[VAT Rate]]</f>
        <v>91.2</v>
      </c>
      <c r="R206" s="1">
        <f>Table1[[#This Row],[Revenue]]+Table1[[#This Row],[VAT Charged]]</f>
        <v>547.20000000000005</v>
      </c>
      <c r="S206" s="1" cm="1">
        <f t="array" ref="S206">_xlfn.SWITCH(Table1[[#This Row],[Product ID]],"P001",140,"P002",80,"P003",72,"P004",30,"P005",110,"P006",24,"P007",14,"P008",12,"P009",115,"P010",360)</f>
        <v>24</v>
      </c>
      <c r="T206" s="1" cm="1">
        <f t="array" ref="T206">(_xlfn.SWITCH(Table1[[#This Row],[Product ID]],"P001",140,"P002",80,"P003",72,"P004",30,"P005",110,"P006",24,"P007",14,"P008",12,"P009",115,"P010",360))*Table1[[#This Row],[Quantity]]</f>
        <v>288</v>
      </c>
      <c r="U206" s="1" cm="1">
        <f t="array" ref="U206">_xlfn.SWITCH(Table1[[#This Row],[Product ID]],"P001",15,"P002",0,"P003",8,"P004",8,"P005",0,"P006",7,"P007",7,"P008",6,"P009",45,"P010",60)</f>
        <v>7</v>
      </c>
      <c r="V206" s="1">
        <f>Table1[[#This Row],[Shipping per Unit]]*Table1[[#This Row],[Quantity]]</f>
        <v>84</v>
      </c>
      <c r="W206" s="2">
        <f>IF(Table1[[#This Row],[Total Shipping]]&gt;0.1,0.2,0)</f>
        <v>0.2</v>
      </c>
      <c r="X206" s="4">
        <f>Table1[[#This Row],[Total Shipping]]*Table1[[#This Row],[VAT on Shipping]]</f>
        <v>16.8</v>
      </c>
      <c r="Y206" s="1">
        <f>Table1[[#This Row],[Revenue]]-Table1[[#This Row],[COGS]]</f>
        <v>168</v>
      </c>
      <c r="Z206" s="3">
        <f>(Table1[[#This Row],[Profit]]/Table1[[#This Row],[Revenue]])</f>
        <v>0.36842105263157893</v>
      </c>
      <c r="AA206" s="1">
        <f>Table1[[#This Row],[Profit]]-Table1[[#This Row],[Total Shipping]]</f>
        <v>84</v>
      </c>
      <c r="AB206" s="3">
        <f>Table1[[#This Row],[Operating Profit]]/Table1[[#This Row],[Revenue]]</f>
        <v>0.18421052631578946</v>
      </c>
    </row>
    <row r="207" spans="1:28" x14ac:dyDescent="0.25">
      <c r="A207" t="s">
        <v>159</v>
      </c>
      <c r="B207">
        <v>148</v>
      </c>
      <c r="C207" t="s">
        <v>38</v>
      </c>
      <c r="D207" t="s">
        <v>53</v>
      </c>
      <c r="E207" t="s">
        <v>31</v>
      </c>
      <c r="F207" t="s">
        <v>50</v>
      </c>
      <c r="G207" t="str" cm="1">
        <f t="array" ref="G207">_xlfn.SWITCH(F207,"Acme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207" t="s">
        <v>58</v>
      </c>
      <c r="I207" t="s">
        <v>75</v>
      </c>
      <c r="J207" t="str" cm="1">
        <f t="array" ref="J207">_xlfn.SWITCH(I207,"P001","Laptop","P002","Server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207" s="1" cm="1">
        <f t="array" ref="K207">_xlfn.SWITCH(Table1[[#This Row],[Product ID]],"P001",220,"P002",150,"P003",130,"P004",70,"P005",200,"P006",40,"P007",25,"P008",20,"P009",190,"P010",530)</f>
        <v>200</v>
      </c>
      <c r="L207">
        <v>12</v>
      </c>
      <c r="M207" s="1">
        <f>Table1[[#This Row],[Unit Price]]*Table1[[#This Row],[Quantity]]</f>
        <v>2400</v>
      </c>
      <c r="N207" s="2">
        <v>0.02</v>
      </c>
      <c r="O207" s="1">
        <f>Table1[[#This Row],[Gross Value]]*(1-Table1[[#This Row],[Discount]])</f>
        <v>2352</v>
      </c>
      <c r="P207" s="2">
        <v>0.2</v>
      </c>
      <c r="Q207" s="1">
        <f>Table1[[#This Row],[Revenue]]*Table1[[#This Row],[VAT Rate]]</f>
        <v>470.40000000000003</v>
      </c>
      <c r="R207" s="1">
        <f>Table1[[#This Row],[Revenue]]+Table1[[#This Row],[VAT Charged]]</f>
        <v>2822.4</v>
      </c>
      <c r="S207" s="1" cm="1">
        <f t="array" ref="S207">_xlfn.SWITCH(Table1[[#This Row],[Product ID]],"P001",140,"P002",80,"P003",72,"P004",30,"P005",110,"P006",24,"P007",14,"P008",12,"P009",115,"P010",360)</f>
        <v>110</v>
      </c>
      <c r="T207" s="1" cm="1">
        <f t="array" ref="T207">(_xlfn.SWITCH(Table1[[#This Row],[Product ID]],"P001",140,"P002",80,"P003",72,"P004",30,"P005",110,"P006",24,"P007",14,"P008",12,"P009",115,"P010",360))*Table1[[#This Row],[Quantity]]</f>
        <v>1320</v>
      </c>
      <c r="U207" s="1" cm="1">
        <f t="array" ref="U207">_xlfn.SWITCH(Table1[[#This Row],[Product ID]],"P001",15,"P002",0,"P003",8,"P004",8,"P005",0,"P006",7,"P007",7,"P008",6,"P009",45,"P010",60)</f>
        <v>0</v>
      </c>
      <c r="V207" s="1">
        <f>Table1[[#This Row],[Shipping per Unit]]*Table1[[#This Row],[Quantity]]</f>
        <v>0</v>
      </c>
      <c r="W207" s="2">
        <f>IF(Table1[[#This Row],[Total Shipping]]&gt;0.1,0.2,0)</f>
        <v>0</v>
      </c>
      <c r="X207" s="4">
        <f>Table1[[#This Row],[Total Shipping]]*Table1[[#This Row],[VAT on Shipping]]</f>
        <v>0</v>
      </c>
      <c r="Y207" s="1">
        <f>Table1[[#This Row],[Revenue]]-Table1[[#This Row],[COGS]]</f>
        <v>1032</v>
      </c>
      <c r="Z207" s="3">
        <f>(Table1[[#This Row],[Profit]]/Table1[[#This Row],[Revenue]])</f>
        <v>0.43877551020408162</v>
      </c>
      <c r="AA207" s="1">
        <f>Table1[[#This Row],[Profit]]-Table1[[#This Row],[Total Shipping]]</f>
        <v>1032</v>
      </c>
      <c r="AB207" s="3">
        <f>Table1[[#This Row],[Operating Profit]]/Table1[[#This Row],[Revenue]]</f>
        <v>0.43877551020408162</v>
      </c>
    </row>
    <row r="208" spans="1:28" x14ac:dyDescent="0.25">
      <c r="A208" t="s">
        <v>159</v>
      </c>
      <c r="B208">
        <v>403</v>
      </c>
      <c r="C208" t="s">
        <v>83</v>
      </c>
      <c r="D208" t="s">
        <v>67</v>
      </c>
      <c r="E208" t="s">
        <v>40</v>
      </c>
      <c r="F208" t="s">
        <v>86</v>
      </c>
      <c r="G208" t="str" cm="1">
        <f t="array" ref="G208">_xlfn.SWITCH(F208,"Acme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208" t="s">
        <v>51</v>
      </c>
      <c r="I208" t="s">
        <v>60</v>
      </c>
      <c r="J208" t="str" cm="1">
        <f t="array" ref="J208">_xlfn.SWITCH(I208,"P001","Laptop","P002","Server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08" s="1" cm="1">
        <f t="array" ref="K208">_xlfn.SWITCH(Table1[[#This Row],[Product ID]],"P001",220,"P002",150,"P003",130,"P004",70,"P005",200,"P006",40,"P007",25,"P008",20,"P009",190,"P010",530)</f>
        <v>25</v>
      </c>
      <c r="L208">
        <v>19</v>
      </c>
      <c r="M208" s="1">
        <f>Table1[[#This Row],[Unit Price]]*Table1[[#This Row],[Quantity]]</f>
        <v>475</v>
      </c>
      <c r="N208" s="2">
        <v>7.0000000000000007E-2</v>
      </c>
      <c r="O208" s="1">
        <f>Table1[[#This Row],[Gross Value]]*(1-Table1[[#This Row],[Discount]])</f>
        <v>441.74999999999994</v>
      </c>
      <c r="P208" s="2">
        <v>0.2</v>
      </c>
      <c r="Q208" s="1">
        <f>Table1[[#This Row],[Revenue]]*Table1[[#This Row],[VAT Rate]]</f>
        <v>88.35</v>
      </c>
      <c r="R208" s="1">
        <f>Table1[[#This Row],[Revenue]]+Table1[[#This Row],[VAT Charged]]</f>
        <v>530.09999999999991</v>
      </c>
      <c r="S208" s="1" cm="1">
        <f t="array" ref="S208">_xlfn.SWITCH(Table1[[#This Row],[Product ID]],"P001",140,"P002",80,"P003",72,"P004",30,"P005",110,"P006",24,"P007",14,"P008",12,"P009",115,"P010",360)</f>
        <v>14</v>
      </c>
      <c r="T208" s="1" cm="1">
        <f t="array" ref="T208">(_xlfn.SWITCH(Table1[[#This Row],[Product ID]],"P001",140,"P002",80,"P003",72,"P004",30,"P005",110,"P006",24,"P007",14,"P008",12,"P009",115,"P010",360))*Table1[[#This Row],[Quantity]]</f>
        <v>266</v>
      </c>
      <c r="U208" s="1" cm="1">
        <f t="array" ref="U208">_xlfn.SWITCH(Table1[[#This Row],[Product ID]],"P001",15,"P002",0,"P003",8,"P004",8,"P005",0,"P006",7,"P007",7,"P008",6,"P009",45,"P010",60)</f>
        <v>7</v>
      </c>
      <c r="V208" s="1">
        <f>Table1[[#This Row],[Shipping per Unit]]*Table1[[#This Row],[Quantity]]</f>
        <v>133</v>
      </c>
      <c r="W208" s="2">
        <f>IF(Table1[[#This Row],[Total Shipping]]&gt;0.1,0.2,0)</f>
        <v>0.2</v>
      </c>
      <c r="X208" s="4">
        <f>Table1[[#This Row],[Total Shipping]]*Table1[[#This Row],[VAT on Shipping]]</f>
        <v>26.6</v>
      </c>
      <c r="Y208" s="1">
        <f>Table1[[#This Row],[Revenue]]-Table1[[#This Row],[COGS]]</f>
        <v>175.74999999999994</v>
      </c>
      <c r="Z208" s="3">
        <f>(Table1[[#This Row],[Profit]]/Table1[[#This Row],[Revenue]])</f>
        <v>0.39784946236559132</v>
      </c>
      <c r="AA208" s="1">
        <f>Table1[[#This Row],[Profit]]-Table1[[#This Row],[Total Shipping]]</f>
        <v>42.749999999999943</v>
      </c>
      <c r="AB208" s="3">
        <f>Table1[[#This Row],[Operating Profit]]/Table1[[#This Row],[Revenue]]</f>
        <v>9.6774193548386983E-2</v>
      </c>
    </row>
    <row r="209" spans="1:28" x14ac:dyDescent="0.25">
      <c r="A209" t="s">
        <v>159</v>
      </c>
      <c r="B209">
        <v>600</v>
      </c>
      <c r="C209" t="s">
        <v>38</v>
      </c>
      <c r="D209" t="s">
        <v>67</v>
      </c>
      <c r="E209" t="s">
        <v>31</v>
      </c>
      <c r="F209" t="s">
        <v>92</v>
      </c>
      <c r="G209" t="str" cm="1">
        <f t="array" ref="G209">_xlfn.SWITCH(F209,"Acme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209" t="s">
        <v>69</v>
      </c>
      <c r="I209" t="s">
        <v>34</v>
      </c>
      <c r="J209" t="str" cm="1">
        <f t="array" ref="J209">_xlfn.SWITCH(I209,"P001","Laptop","P002","Server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09" s="1" cm="1">
        <f t="array" ref="K209">_xlfn.SWITCH(Table1[[#This Row],[Product ID]],"P001",220,"P002",150,"P003",130,"P004",70,"P005",200,"P006",40,"P007",25,"P008",20,"P009",190,"P010",530)</f>
        <v>20</v>
      </c>
      <c r="L209">
        <v>1</v>
      </c>
      <c r="M209" s="1">
        <f>Table1[[#This Row],[Unit Price]]*Table1[[#This Row],[Quantity]]</f>
        <v>20</v>
      </c>
      <c r="N209" s="2">
        <v>0.02</v>
      </c>
      <c r="O209" s="1">
        <f>Table1[[#This Row],[Gross Value]]*(1-Table1[[#This Row],[Discount]])</f>
        <v>19.600000000000001</v>
      </c>
      <c r="P209" s="2">
        <v>0.2</v>
      </c>
      <c r="Q209" s="1">
        <f>Table1[[#This Row],[Revenue]]*Table1[[#This Row],[VAT Rate]]</f>
        <v>3.9200000000000004</v>
      </c>
      <c r="R209" s="1">
        <f>Table1[[#This Row],[Revenue]]+Table1[[#This Row],[VAT Charged]]</f>
        <v>23.520000000000003</v>
      </c>
      <c r="S209" s="1" cm="1">
        <f t="array" ref="S209">_xlfn.SWITCH(Table1[[#This Row],[Product ID]],"P001",140,"P002",80,"P003",72,"P004",30,"P005",110,"P006",24,"P007",14,"P008",12,"P009",115,"P010",360)</f>
        <v>12</v>
      </c>
      <c r="T209" s="1" cm="1">
        <f t="array" ref="T209">(_xlfn.SWITCH(Table1[[#This Row],[Product ID]],"P001",140,"P002",80,"P003",72,"P004",30,"P005",110,"P006",24,"P007",14,"P008",12,"P009",115,"P010",360))*Table1[[#This Row],[Quantity]]</f>
        <v>12</v>
      </c>
      <c r="U209" s="1" cm="1">
        <f t="array" ref="U209">_xlfn.SWITCH(Table1[[#This Row],[Product ID]],"P001",15,"P002",0,"P003",8,"P004",8,"P005",0,"P006",7,"P007",7,"P008",6,"P009",45,"P010",60)</f>
        <v>6</v>
      </c>
      <c r="V209" s="1">
        <f>Table1[[#This Row],[Shipping per Unit]]*Table1[[#This Row],[Quantity]]</f>
        <v>6</v>
      </c>
      <c r="W209" s="2">
        <f>IF(Table1[[#This Row],[Total Shipping]]&gt;0.1,0.2,0)</f>
        <v>0.2</v>
      </c>
      <c r="X209" s="4">
        <f>Table1[[#This Row],[Total Shipping]]*Table1[[#This Row],[VAT on Shipping]]</f>
        <v>1.2000000000000002</v>
      </c>
      <c r="Y209" s="1">
        <f>Table1[[#This Row],[Revenue]]-Table1[[#This Row],[COGS]]</f>
        <v>7.6000000000000014</v>
      </c>
      <c r="Z209" s="3">
        <f>(Table1[[#This Row],[Profit]]/Table1[[#This Row],[Revenue]])</f>
        <v>0.38775510204081637</v>
      </c>
      <c r="AA209" s="1">
        <f>Table1[[#This Row],[Profit]]-Table1[[#This Row],[Total Shipping]]</f>
        <v>1.6000000000000014</v>
      </c>
      <c r="AB209" s="3">
        <f>Table1[[#This Row],[Operating Profit]]/Table1[[#This Row],[Revenue]]</f>
        <v>8.1632653061224553E-2</v>
      </c>
    </row>
    <row r="210" spans="1:28" x14ac:dyDescent="0.25">
      <c r="A210" t="s">
        <v>160</v>
      </c>
      <c r="B210">
        <v>35</v>
      </c>
      <c r="C210" t="s">
        <v>62</v>
      </c>
      <c r="D210" t="s">
        <v>30</v>
      </c>
      <c r="E210" t="s">
        <v>49</v>
      </c>
      <c r="F210" t="s">
        <v>92</v>
      </c>
      <c r="G210" t="str" cm="1">
        <f t="array" ref="G210">_xlfn.SWITCH(F210,"Acme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210" t="s">
        <v>33</v>
      </c>
      <c r="I210" t="s">
        <v>34</v>
      </c>
      <c r="J210" t="str" cm="1">
        <f t="array" ref="J210">_xlfn.SWITCH(I210,"P001","Laptop","P002","Server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10" s="1" cm="1">
        <f t="array" ref="K210">_xlfn.SWITCH(Table1[[#This Row],[Product ID]],"P001",220,"P002",150,"P003",130,"P004",70,"P005",200,"P006",40,"P007",25,"P008",20,"P009",190,"P010",530)</f>
        <v>20</v>
      </c>
      <c r="L210">
        <v>13</v>
      </c>
      <c r="M210" s="1">
        <f>Table1[[#This Row],[Unit Price]]*Table1[[#This Row],[Quantity]]</f>
        <v>260</v>
      </c>
      <c r="N210" s="2">
        <v>0.1</v>
      </c>
      <c r="O210" s="1">
        <f>Table1[[#This Row],[Gross Value]]*(1-Table1[[#This Row],[Discount]])</f>
        <v>234</v>
      </c>
      <c r="P210" s="2">
        <v>0.2</v>
      </c>
      <c r="Q210" s="1">
        <f>Table1[[#This Row],[Revenue]]*Table1[[#This Row],[VAT Rate]]</f>
        <v>46.800000000000004</v>
      </c>
      <c r="R210" s="1">
        <f>Table1[[#This Row],[Revenue]]+Table1[[#This Row],[VAT Charged]]</f>
        <v>280.8</v>
      </c>
      <c r="S210" s="1" cm="1">
        <f t="array" ref="S210">_xlfn.SWITCH(Table1[[#This Row],[Product ID]],"P001",140,"P002",80,"P003",72,"P004",30,"P005",110,"P006",24,"P007",14,"P008",12,"P009",115,"P010",360)</f>
        <v>12</v>
      </c>
      <c r="T210" s="1" cm="1">
        <f t="array" ref="T210">(_xlfn.SWITCH(Table1[[#This Row],[Product ID]],"P001",140,"P002",80,"P003",72,"P004",30,"P005",110,"P006",24,"P007",14,"P008",12,"P009",115,"P010",360))*Table1[[#This Row],[Quantity]]</f>
        <v>156</v>
      </c>
      <c r="U210" s="1" cm="1">
        <f t="array" ref="U210">_xlfn.SWITCH(Table1[[#This Row],[Product ID]],"P001",15,"P002",0,"P003",8,"P004",8,"P005",0,"P006",7,"P007",7,"P008",6,"P009",45,"P010",60)</f>
        <v>6</v>
      </c>
      <c r="V210" s="1">
        <f>Table1[[#This Row],[Shipping per Unit]]*Table1[[#This Row],[Quantity]]</f>
        <v>78</v>
      </c>
      <c r="W210" s="2">
        <f>IF(Table1[[#This Row],[Total Shipping]]&gt;0.1,0.2,0)</f>
        <v>0.2</v>
      </c>
      <c r="X210" s="4">
        <f>Table1[[#This Row],[Total Shipping]]*Table1[[#This Row],[VAT on Shipping]]</f>
        <v>15.600000000000001</v>
      </c>
      <c r="Y210" s="1">
        <f>Table1[[#This Row],[Revenue]]-Table1[[#This Row],[COGS]]</f>
        <v>78</v>
      </c>
      <c r="Z210" s="3">
        <f>(Table1[[#This Row],[Profit]]/Table1[[#This Row],[Revenue]])</f>
        <v>0.33333333333333331</v>
      </c>
      <c r="AA210" s="1">
        <f>Table1[[#This Row],[Profit]]-Table1[[#This Row],[Total Shipping]]</f>
        <v>0</v>
      </c>
      <c r="AB210" s="3">
        <f>Table1[[#This Row],[Operating Profit]]/Table1[[#This Row],[Revenue]]</f>
        <v>0</v>
      </c>
    </row>
    <row r="211" spans="1:28" x14ac:dyDescent="0.25">
      <c r="A211" t="s">
        <v>160</v>
      </c>
      <c r="B211">
        <v>289</v>
      </c>
      <c r="C211" t="s">
        <v>62</v>
      </c>
      <c r="D211" t="s">
        <v>95</v>
      </c>
      <c r="E211" t="s">
        <v>49</v>
      </c>
      <c r="F211" t="s">
        <v>119</v>
      </c>
      <c r="G211" t="str" cm="1">
        <f t="array" ref="G211">_xlfn.SWITCH(F211,"Acme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211" t="s">
        <v>69</v>
      </c>
      <c r="I211" t="s">
        <v>42</v>
      </c>
      <c r="J211" t="str" cm="1">
        <f t="array" ref="J211">_xlfn.SWITCH(I211,"P001","Laptop","P002","Server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11" s="1" cm="1">
        <f t="array" ref="K211">_xlfn.SWITCH(Table1[[#This Row],[Product ID]],"P001",220,"P002",150,"P003",130,"P004",70,"P005",200,"P006",40,"P007",25,"P008",20,"P009",190,"P010",530)</f>
        <v>40</v>
      </c>
      <c r="L211">
        <v>16</v>
      </c>
      <c r="M211" s="1">
        <f>Table1[[#This Row],[Unit Price]]*Table1[[#This Row],[Quantity]]</f>
        <v>640</v>
      </c>
      <c r="N211" s="2">
        <v>0.03</v>
      </c>
      <c r="O211" s="1">
        <f>Table1[[#This Row],[Gross Value]]*(1-Table1[[#This Row],[Discount]])</f>
        <v>620.79999999999995</v>
      </c>
      <c r="P211" s="2">
        <v>0.2</v>
      </c>
      <c r="Q211" s="1">
        <f>Table1[[#This Row],[Revenue]]*Table1[[#This Row],[VAT Rate]]</f>
        <v>124.16</v>
      </c>
      <c r="R211" s="1">
        <f>Table1[[#This Row],[Revenue]]+Table1[[#This Row],[VAT Charged]]</f>
        <v>744.95999999999992</v>
      </c>
      <c r="S211" s="1" cm="1">
        <f t="array" ref="S211">_xlfn.SWITCH(Table1[[#This Row],[Product ID]],"P001",140,"P002",80,"P003",72,"P004",30,"P005",110,"P006",24,"P007",14,"P008",12,"P009",115,"P010",360)</f>
        <v>24</v>
      </c>
      <c r="T211" s="1" cm="1">
        <f t="array" ref="T211">(_xlfn.SWITCH(Table1[[#This Row],[Product ID]],"P001",140,"P002",80,"P003",72,"P004",30,"P005",110,"P006",24,"P007",14,"P008",12,"P009",115,"P010",360))*Table1[[#This Row],[Quantity]]</f>
        <v>384</v>
      </c>
      <c r="U211" s="1" cm="1">
        <f t="array" ref="U211">_xlfn.SWITCH(Table1[[#This Row],[Product ID]],"P001",15,"P002",0,"P003",8,"P004",8,"P005",0,"P006",7,"P007",7,"P008",6,"P009",45,"P010",60)</f>
        <v>7</v>
      </c>
      <c r="V211" s="1">
        <f>Table1[[#This Row],[Shipping per Unit]]*Table1[[#This Row],[Quantity]]</f>
        <v>112</v>
      </c>
      <c r="W211" s="2">
        <f>IF(Table1[[#This Row],[Total Shipping]]&gt;0.1,0.2,0)</f>
        <v>0.2</v>
      </c>
      <c r="X211" s="4">
        <f>Table1[[#This Row],[Total Shipping]]*Table1[[#This Row],[VAT on Shipping]]</f>
        <v>22.400000000000002</v>
      </c>
      <c r="Y211" s="1">
        <f>Table1[[#This Row],[Revenue]]-Table1[[#This Row],[COGS]]</f>
        <v>236.79999999999995</v>
      </c>
      <c r="Z211" s="3">
        <f>(Table1[[#This Row],[Profit]]/Table1[[#This Row],[Revenue]])</f>
        <v>0.38144329896907214</v>
      </c>
      <c r="AA211" s="1">
        <f>Table1[[#This Row],[Profit]]-Table1[[#This Row],[Total Shipping]]</f>
        <v>124.79999999999995</v>
      </c>
      <c r="AB211" s="3">
        <f>Table1[[#This Row],[Operating Profit]]/Table1[[#This Row],[Revenue]]</f>
        <v>0.2010309278350515</v>
      </c>
    </row>
    <row r="212" spans="1:28" x14ac:dyDescent="0.25">
      <c r="A212" t="s">
        <v>160</v>
      </c>
      <c r="B212">
        <v>745</v>
      </c>
      <c r="C212" t="s">
        <v>56</v>
      </c>
      <c r="D212" t="s">
        <v>67</v>
      </c>
      <c r="E212" t="s">
        <v>40</v>
      </c>
      <c r="F212" t="s">
        <v>97</v>
      </c>
      <c r="G212" t="str" cm="1">
        <f t="array" ref="G212">_xlfn.SWITCH(F212,"Acme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212" t="s">
        <v>33</v>
      </c>
      <c r="I212" t="s">
        <v>42</v>
      </c>
      <c r="J212" t="str" cm="1">
        <f t="array" ref="J212">_xlfn.SWITCH(I212,"P001","Laptop","P002","Server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12" s="1" cm="1">
        <f t="array" ref="K212">_xlfn.SWITCH(Table1[[#This Row],[Product ID]],"P001",220,"P002",150,"P003",130,"P004",70,"P005",200,"P006",40,"P007",25,"P008",20,"P009",190,"P010",530)</f>
        <v>40</v>
      </c>
      <c r="L212">
        <v>9</v>
      </c>
      <c r="M212" s="1">
        <f>Table1[[#This Row],[Unit Price]]*Table1[[#This Row],[Quantity]]</f>
        <v>360</v>
      </c>
      <c r="N212" s="2">
        <v>0.02</v>
      </c>
      <c r="O212" s="1">
        <f>Table1[[#This Row],[Gross Value]]*(1-Table1[[#This Row],[Discount]])</f>
        <v>352.8</v>
      </c>
      <c r="P212" s="2">
        <v>0.2</v>
      </c>
      <c r="Q212" s="1">
        <f>Table1[[#This Row],[Revenue]]*Table1[[#This Row],[VAT Rate]]</f>
        <v>70.56</v>
      </c>
      <c r="R212" s="1">
        <f>Table1[[#This Row],[Revenue]]+Table1[[#This Row],[VAT Charged]]</f>
        <v>423.36</v>
      </c>
      <c r="S212" s="1" cm="1">
        <f t="array" ref="S212">_xlfn.SWITCH(Table1[[#This Row],[Product ID]],"P001",140,"P002",80,"P003",72,"P004",30,"P005",110,"P006",24,"P007",14,"P008",12,"P009",115,"P010",360)</f>
        <v>24</v>
      </c>
      <c r="T212" s="1" cm="1">
        <f t="array" ref="T212">(_xlfn.SWITCH(Table1[[#This Row],[Product ID]],"P001",140,"P002",80,"P003",72,"P004",30,"P005",110,"P006",24,"P007",14,"P008",12,"P009",115,"P010",360))*Table1[[#This Row],[Quantity]]</f>
        <v>216</v>
      </c>
      <c r="U212" s="1" cm="1">
        <f t="array" ref="U212">_xlfn.SWITCH(Table1[[#This Row],[Product ID]],"P001",15,"P002",0,"P003",8,"P004",8,"P005",0,"P006",7,"P007",7,"P008",6,"P009",45,"P010",60)</f>
        <v>7</v>
      </c>
      <c r="V212" s="1">
        <f>Table1[[#This Row],[Shipping per Unit]]*Table1[[#This Row],[Quantity]]</f>
        <v>63</v>
      </c>
      <c r="W212" s="2">
        <f>IF(Table1[[#This Row],[Total Shipping]]&gt;0.1,0.2,0)</f>
        <v>0.2</v>
      </c>
      <c r="X212" s="4">
        <f>Table1[[#This Row],[Total Shipping]]*Table1[[#This Row],[VAT on Shipping]]</f>
        <v>12.600000000000001</v>
      </c>
      <c r="Y212" s="1">
        <f>Table1[[#This Row],[Revenue]]-Table1[[#This Row],[COGS]]</f>
        <v>136.80000000000001</v>
      </c>
      <c r="Z212" s="3">
        <f>(Table1[[#This Row],[Profit]]/Table1[[#This Row],[Revenue]])</f>
        <v>0.38775510204081637</v>
      </c>
      <c r="AA212" s="1">
        <f>Table1[[#This Row],[Profit]]-Table1[[#This Row],[Total Shipping]]</f>
        <v>73.800000000000011</v>
      </c>
      <c r="AB212" s="3">
        <f>Table1[[#This Row],[Operating Profit]]/Table1[[#This Row],[Revenue]]</f>
        <v>0.20918367346938779</v>
      </c>
    </row>
    <row r="213" spans="1:28" x14ac:dyDescent="0.25">
      <c r="A213" t="s">
        <v>161</v>
      </c>
      <c r="B213">
        <v>908</v>
      </c>
      <c r="C213" t="s">
        <v>29</v>
      </c>
      <c r="D213" t="s">
        <v>30</v>
      </c>
      <c r="E213" t="s">
        <v>40</v>
      </c>
      <c r="F213" t="s">
        <v>74</v>
      </c>
      <c r="G213" t="str" cm="1">
        <f t="array" ref="G213">_xlfn.SWITCH(F213,"Acme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213" t="s">
        <v>33</v>
      </c>
      <c r="I213" t="s">
        <v>70</v>
      </c>
      <c r="J213" t="str" cm="1">
        <f t="array" ref="J213">_xlfn.SWITCH(I213,"P001","Laptop","P002","Server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13" s="1" cm="1">
        <f t="array" ref="K213">_xlfn.SWITCH(Table1[[#This Row],[Product ID]],"P001",220,"P002",150,"P003",130,"P004",70,"P005",200,"P006",40,"P007",25,"P008",20,"P009",190,"P010",530)</f>
        <v>150</v>
      </c>
      <c r="L213">
        <v>7</v>
      </c>
      <c r="M213" s="1">
        <f>Table1[[#This Row],[Unit Price]]*Table1[[#This Row],[Quantity]]</f>
        <v>1050</v>
      </c>
      <c r="N213" s="2">
        <v>0.03</v>
      </c>
      <c r="O213" s="1">
        <f>Table1[[#This Row],[Gross Value]]*(1-Table1[[#This Row],[Discount]])</f>
        <v>1018.5</v>
      </c>
      <c r="P213" s="2">
        <v>0.2</v>
      </c>
      <c r="Q213" s="1">
        <f>Table1[[#This Row],[Revenue]]*Table1[[#This Row],[VAT Rate]]</f>
        <v>203.70000000000002</v>
      </c>
      <c r="R213" s="1">
        <f>Table1[[#This Row],[Revenue]]+Table1[[#This Row],[VAT Charged]]</f>
        <v>1222.2</v>
      </c>
      <c r="S213" s="1" cm="1">
        <f t="array" ref="S213">_xlfn.SWITCH(Table1[[#This Row],[Product ID]],"P001",140,"P002",80,"P003",72,"P004",30,"P005",110,"P006",24,"P007",14,"P008",12,"P009",115,"P010",360)</f>
        <v>80</v>
      </c>
      <c r="T213" s="1" cm="1">
        <f t="array" ref="T213">(_xlfn.SWITCH(Table1[[#This Row],[Product ID]],"P001",140,"P002",80,"P003",72,"P004",30,"P005",110,"P006",24,"P007",14,"P008",12,"P009",115,"P010",360))*Table1[[#This Row],[Quantity]]</f>
        <v>560</v>
      </c>
      <c r="U213" s="1" cm="1">
        <f t="array" ref="U213">_xlfn.SWITCH(Table1[[#This Row],[Product ID]],"P001",15,"P002",0,"P003",8,"P004",8,"P005",0,"P006",7,"P007",7,"P008",6,"P009",45,"P010",60)</f>
        <v>0</v>
      </c>
      <c r="V213" s="1">
        <f>Table1[[#This Row],[Shipping per Unit]]*Table1[[#This Row],[Quantity]]</f>
        <v>0</v>
      </c>
      <c r="W213" s="2">
        <f>IF(Table1[[#This Row],[Total Shipping]]&gt;0.1,0.2,0)</f>
        <v>0</v>
      </c>
      <c r="X213" s="4">
        <f>Table1[[#This Row],[Total Shipping]]*Table1[[#This Row],[VAT on Shipping]]</f>
        <v>0</v>
      </c>
      <c r="Y213" s="1">
        <f>Table1[[#This Row],[Revenue]]-Table1[[#This Row],[COGS]]</f>
        <v>458.5</v>
      </c>
      <c r="Z213" s="3">
        <f>(Table1[[#This Row],[Profit]]/Table1[[#This Row],[Revenue]])</f>
        <v>0.45017182130584193</v>
      </c>
      <c r="AA213" s="1">
        <f>Table1[[#This Row],[Profit]]-Table1[[#This Row],[Total Shipping]]</f>
        <v>458.5</v>
      </c>
      <c r="AB213" s="3">
        <f>Table1[[#This Row],[Operating Profit]]/Table1[[#This Row],[Revenue]]</f>
        <v>0.45017182130584193</v>
      </c>
    </row>
    <row r="214" spans="1:28" x14ac:dyDescent="0.25">
      <c r="A214" t="s">
        <v>162</v>
      </c>
      <c r="B214">
        <v>105</v>
      </c>
      <c r="C214" t="s">
        <v>56</v>
      </c>
      <c r="D214" t="s">
        <v>57</v>
      </c>
      <c r="E214" t="s">
        <v>31</v>
      </c>
      <c r="F214" t="s">
        <v>78</v>
      </c>
      <c r="G214" t="str" cm="1">
        <f t="array" ref="G214">_xlfn.SWITCH(F214,"Acme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214" t="s">
        <v>33</v>
      </c>
      <c r="I214" t="s">
        <v>42</v>
      </c>
      <c r="J214" t="str" cm="1">
        <f t="array" ref="J214">_xlfn.SWITCH(I214,"P001","Laptop","P002","Server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14" s="1" cm="1">
        <f t="array" ref="K214">_xlfn.SWITCH(Table1[[#This Row],[Product ID]],"P001",220,"P002",150,"P003",130,"P004",70,"P005",200,"P006",40,"P007",25,"P008",20,"P009",190,"P010",530)</f>
        <v>40</v>
      </c>
      <c r="L214">
        <v>16</v>
      </c>
      <c r="M214" s="1">
        <f>Table1[[#This Row],[Unit Price]]*Table1[[#This Row],[Quantity]]</f>
        <v>640</v>
      </c>
      <c r="N214" s="2">
        <v>0.01</v>
      </c>
      <c r="O214" s="1">
        <f>Table1[[#This Row],[Gross Value]]*(1-Table1[[#This Row],[Discount]])</f>
        <v>633.6</v>
      </c>
      <c r="P214" s="2">
        <v>0.2</v>
      </c>
      <c r="Q214" s="1">
        <f>Table1[[#This Row],[Revenue]]*Table1[[#This Row],[VAT Rate]]</f>
        <v>126.72000000000001</v>
      </c>
      <c r="R214" s="1">
        <f>Table1[[#This Row],[Revenue]]+Table1[[#This Row],[VAT Charged]]</f>
        <v>760.32</v>
      </c>
      <c r="S214" s="1" cm="1">
        <f t="array" ref="S214">_xlfn.SWITCH(Table1[[#This Row],[Product ID]],"P001",140,"P002",80,"P003",72,"P004",30,"P005",110,"P006",24,"P007",14,"P008",12,"P009",115,"P010",360)</f>
        <v>24</v>
      </c>
      <c r="T214" s="1" cm="1">
        <f t="array" ref="T214">(_xlfn.SWITCH(Table1[[#This Row],[Product ID]],"P001",140,"P002",80,"P003",72,"P004",30,"P005",110,"P006",24,"P007",14,"P008",12,"P009",115,"P010",360))*Table1[[#This Row],[Quantity]]</f>
        <v>384</v>
      </c>
      <c r="U214" s="1" cm="1">
        <f t="array" ref="U214">_xlfn.SWITCH(Table1[[#This Row],[Product ID]],"P001",15,"P002",0,"P003",8,"P004",8,"P005",0,"P006",7,"P007",7,"P008",6,"P009",45,"P010",60)</f>
        <v>7</v>
      </c>
      <c r="V214" s="1">
        <f>Table1[[#This Row],[Shipping per Unit]]*Table1[[#This Row],[Quantity]]</f>
        <v>112</v>
      </c>
      <c r="W214" s="2">
        <f>IF(Table1[[#This Row],[Total Shipping]]&gt;0.1,0.2,0)</f>
        <v>0.2</v>
      </c>
      <c r="X214" s="4">
        <f>Table1[[#This Row],[Total Shipping]]*Table1[[#This Row],[VAT on Shipping]]</f>
        <v>22.400000000000002</v>
      </c>
      <c r="Y214" s="1">
        <f>Table1[[#This Row],[Revenue]]-Table1[[#This Row],[COGS]]</f>
        <v>249.60000000000002</v>
      </c>
      <c r="Z214" s="3">
        <f>(Table1[[#This Row],[Profit]]/Table1[[#This Row],[Revenue]])</f>
        <v>0.39393939393939398</v>
      </c>
      <c r="AA214" s="1">
        <f>Table1[[#This Row],[Profit]]-Table1[[#This Row],[Total Shipping]]</f>
        <v>137.60000000000002</v>
      </c>
      <c r="AB214" s="3">
        <f>Table1[[#This Row],[Operating Profit]]/Table1[[#This Row],[Revenue]]</f>
        <v>0.21717171717171721</v>
      </c>
    </row>
    <row r="215" spans="1:28" x14ac:dyDescent="0.25">
      <c r="A215" t="s">
        <v>162</v>
      </c>
      <c r="B215">
        <v>152</v>
      </c>
      <c r="C215" t="s">
        <v>56</v>
      </c>
      <c r="D215" t="s">
        <v>39</v>
      </c>
      <c r="E215" t="s">
        <v>49</v>
      </c>
      <c r="F215" t="s">
        <v>97</v>
      </c>
      <c r="G215" t="str" cm="1">
        <f t="array" ref="G215">_xlfn.SWITCH(F215,"Acme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215" t="s">
        <v>69</v>
      </c>
      <c r="I215" t="s">
        <v>91</v>
      </c>
      <c r="J215" t="str" cm="1">
        <f t="array" ref="J215">_xlfn.SWITCH(I215,"P001","Laptop","P002","Server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15" s="1" cm="1">
        <f t="array" ref="K215">_xlfn.SWITCH(Table1[[#This Row],[Product ID]],"P001",220,"P002",150,"P003",130,"P004",70,"P005",200,"P006",40,"P007",25,"P008",20,"P009",190,"P010",530)</f>
        <v>190</v>
      </c>
      <c r="L215">
        <v>16</v>
      </c>
      <c r="M215" s="1">
        <f>Table1[[#This Row],[Unit Price]]*Table1[[#This Row],[Quantity]]</f>
        <v>3040</v>
      </c>
      <c r="N215" s="2">
        <v>0.05</v>
      </c>
      <c r="O215" s="1">
        <f>Table1[[#This Row],[Gross Value]]*(1-Table1[[#This Row],[Discount]])</f>
        <v>2888</v>
      </c>
      <c r="P215" s="2">
        <v>0.2</v>
      </c>
      <c r="Q215" s="1">
        <f>Table1[[#This Row],[Revenue]]*Table1[[#This Row],[VAT Rate]]</f>
        <v>577.6</v>
      </c>
      <c r="R215" s="1">
        <f>Table1[[#This Row],[Revenue]]+Table1[[#This Row],[VAT Charged]]</f>
        <v>3465.6</v>
      </c>
      <c r="S215" s="1" cm="1">
        <f t="array" ref="S215">_xlfn.SWITCH(Table1[[#This Row],[Product ID]],"P001",140,"P002",80,"P003",72,"P004",30,"P005",110,"P006",24,"P007",14,"P008",12,"P009",115,"P010",360)</f>
        <v>115</v>
      </c>
      <c r="T215" s="1" cm="1">
        <f t="array" ref="T215">(_xlfn.SWITCH(Table1[[#This Row],[Product ID]],"P001",140,"P002",80,"P003",72,"P004",30,"P005",110,"P006",24,"P007",14,"P008",12,"P009",115,"P010",360))*Table1[[#This Row],[Quantity]]</f>
        <v>1840</v>
      </c>
      <c r="U215" s="1" cm="1">
        <f t="array" ref="U215">_xlfn.SWITCH(Table1[[#This Row],[Product ID]],"P001",15,"P002",0,"P003",8,"P004",8,"P005",0,"P006",7,"P007",7,"P008",6,"P009",45,"P010",60)</f>
        <v>45</v>
      </c>
      <c r="V215" s="1">
        <f>Table1[[#This Row],[Shipping per Unit]]*Table1[[#This Row],[Quantity]]</f>
        <v>720</v>
      </c>
      <c r="W215" s="2">
        <f>IF(Table1[[#This Row],[Total Shipping]]&gt;0.1,0.2,0)</f>
        <v>0.2</v>
      </c>
      <c r="X215" s="4">
        <f>Table1[[#This Row],[Total Shipping]]*Table1[[#This Row],[VAT on Shipping]]</f>
        <v>144</v>
      </c>
      <c r="Y215" s="1">
        <f>Table1[[#This Row],[Revenue]]-Table1[[#This Row],[COGS]]</f>
        <v>1048</v>
      </c>
      <c r="Z215" s="3">
        <f>(Table1[[#This Row],[Profit]]/Table1[[#This Row],[Revenue]])</f>
        <v>0.36288088642659277</v>
      </c>
      <c r="AA215" s="1">
        <f>Table1[[#This Row],[Profit]]-Table1[[#This Row],[Total Shipping]]</f>
        <v>328</v>
      </c>
      <c r="AB215" s="3">
        <f>Table1[[#This Row],[Operating Profit]]/Table1[[#This Row],[Revenue]]</f>
        <v>0.11357340720221606</v>
      </c>
    </row>
    <row r="216" spans="1:28" x14ac:dyDescent="0.25">
      <c r="A216" t="s">
        <v>162</v>
      </c>
      <c r="B216">
        <v>635</v>
      </c>
      <c r="C216" t="s">
        <v>35</v>
      </c>
      <c r="D216" t="s">
        <v>57</v>
      </c>
      <c r="E216" t="s">
        <v>31</v>
      </c>
      <c r="F216" t="s">
        <v>59</v>
      </c>
      <c r="G216" t="str" cm="1">
        <f t="array" ref="G216">_xlfn.SWITCH(F216,"Acme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216" t="s">
        <v>104</v>
      </c>
      <c r="I216" t="s">
        <v>70</v>
      </c>
      <c r="J216" t="str" cm="1">
        <f t="array" ref="J216">_xlfn.SWITCH(I216,"P001","Laptop","P002","Server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16" s="1" cm="1">
        <f t="array" ref="K216">_xlfn.SWITCH(Table1[[#This Row],[Product ID]],"P001",220,"P002",150,"P003",130,"P004",70,"P005",200,"P006",40,"P007",25,"P008",20,"P009",190,"P010",530)</f>
        <v>150</v>
      </c>
      <c r="L216">
        <v>1</v>
      </c>
      <c r="M216" s="1">
        <f>Table1[[#This Row],[Unit Price]]*Table1[[#This Row],[Quantity]]</f>
        <v>150</v>
      </c>
      <c r="N216" s="2">
        <v>7.0000000000000007E-2</v>
      </c>
      <c r="O216" s="1">
        <f>Table1[[#This Row],[Gross Value]]*(1-Table1[[#This Row],[Discount]])</f>
        <v>139.5</v>
      </c>
      <c r="P216" s="2">
        <v>0.2</v>
      </c>
      <c r="Q216" s="1">
        <f>Table1[[#This Row],[Revenue]]*Table1[[#This Row],[VAT Rate]]</f>
        <v>27.900000000000002</v>
      </c>
      <c r="R216" s="1">
        <f>Table1[[#This Row],[Revenue]]+Table1[[#This Row],[VAT Charged]]</f>
        <v>167.4</v>
      </c>
      <c r="S216" s="1" cm="1">
        <f t="array" ref="S216">_xlfn.SWITCH(Table1[[#This Row],[Product ID]],"P001",140,"P002",80,"P003",72,"P004",30,"P005",110,"P006",24,"P007",14,"P008",12,"P009",115,"P010",360)</f>
        <v>80</v>
      </c>
      <c r="T216" s="1" cm="1">
        <f t="array" ref="T216">(_xlfn.SWITCH(Table1[[#This Row],[Product ID]],"P001",140,"P002",80,"P003",72,"P004",30,"P005",110,"P006",24,"P007",14,"P008",12,"P009",115,"P010",360))*Table1[[#This Row],[Quantity]]</f>
        <v>80</v>
      </c>
      <c r="U216" s="1" cm="1">
        <f t="array" ref="U216">_xlfn.SWITCH(Table1[[#This Row],[Product ID]],"P001",15,"P002",0,"P003",8,"P004",8,"P005",0,"P006",7,"P007",7,"P008",6,"P009",45,"P010",60)</f>
        <v>0</v>
      </c>
      <c r="V216" s="1">
        <f>Table1[[#This Row],[Shipping per Unit]]*Table1[[#This Row],[Quantity]]</f>
        <v>0</v>
      </c>
      <c r="W216" s="2">
        <f>IF(Table1[[#This Row],[Total Shipping]]&gt;0.1,0.2,0)</f>
        <v>0</v>
      </c>
      <c r="X216" s="4">
        <f>Table1[[#This Row],[Total Shipping]]*Table1[[#This Row],[VAT on Shipping]]</f>
        <v>0</v>
      </c>
      <c r="Y216" s="1">
        <f>Table1[[#This Row],[Revenue]]-Table1[[#This Row],[COGS]]</f>
        <v>59.5</v>
      </c>
      <c r="Z216" s="3">
        <f>(Table1[[#This Row],[Profit]]/Table1[[#This Row],[Revenue]])</f>
        <v>0.4265232974910394</v>
      </c>
      <c r="AA216" s="1">
        <f>Table1[[#This Row],[Profit]]-Table1[[#This Row],[Total Shipping]]</f>
        <v>59.5</v>
      </c>
      <c r="AB216" s="3">
        <f>Table1[[#This Row],[Operating Profit]]/Table1[[#This Row],[Revenue]]</f>
        <v>0.4265232974910394</v>
      </c>
    </row>
    <row r="217" spans="1:28" x14ac:dyDescent="0.25">
      <c r="A217" t="s">
        <v>163</v>
      </c>
      <c r="B217">
        <v>75</v>
      </c>
      <c r="C217" t="s">
        <v>71</v>
      </c>
      <c r="D217" t="s">
        <v>57</v>
      </c>
      <c r="E217" t="s">
        <v>49</v>
      </c>
      <c r="F217" t="s">
        <v>44</v>
      </c>
      <c r="G217" t="str" cm="1">
        <f t="array" ref="G217">_xlfn.SWITCH(F217,"Acme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217" t="s">
        <v>45</v>
      </c>
      <c r="I217" t="s">
        <v>70</v>
      </c>
      <c r="J217" t="str" cm="1">
        <f t="array" ref="J217">_xlfn.SWITCH(I217,"P001","Laptop","P002","Server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17" s="1" cm="1">
        <f t="array" ref="K217">_xlfn.SWITCH(Table1[[#This Row],[Product ID]],"P001",220,"P002",150,"P003",130,"P004",70,"P005",200,"P006",40,"P007",25,"P008",20,"P009",190,"P010",530)</f>
        <v>150</v>
      </c>
      <c r="L217">
        <v>1</v>
      </c>
      <c r="M217" s="1">
        <f>Table1[[#This Row],[Unit Price]]*Table1[[#This Row],[Quantity]]</f>
        <v>150</v>
      </c>
      <c r="N217" s="2">
        <v>0.03</v>
      </c>
      <c r="O217" s="1">
        <f>Table1[[#This Row],[Gross Value]]*(1-Table1[[#This Row],[Discount]])</f>
        <v>145.5</v>
      </c>
      <c r="P217" s="2">
        <v>0.2</v>
      </c>
      <c r="Q217" s="1">
        <f>Table1[[#This Row],[Revenue]]*Table1[[#This Row],[VAT Rate]]</f>
        <v>29.1</v>
      </c>
      <c r="R217" s="1">
        <f>Table1[[#This Row],[Revenue]]+Table1[[#This Row],[VAT Charged]]</f>
        <v>174.6</v>
      </c>
      <c r="S217" s="1" cm="1">
        <f t="array" ref="S217">_xlfn.SWITCH(Table1[[#This Row],[Product ID]],"P001",140,"P002",80,"P003",72,"P004",30,"P005",110,"P006",24,"P007",14,"P008",12,"P009",115,"P010",360)</f>
        <v>80</v>
      </c>
      <c r="T217" s="1" cm="1">
        <f t="array" ref="T217">(_xlfn.SWITCH(Table1[[#This Row],[Product ID]],"P001",140,"P002",80,"P003",72,"P004",30,"P005",110,"P006",24,"P007",14,"P008",12,"P009",115,"P010",360))*Table1[[#This Row],[Quantity]]</f>
        <v>80</v>
      </c>
      <c r="U217" s="1" cm="1">
        <f t="array" ref="U217">_xlfn.SWITCH(Table1[[#This Row],[Product ID]],"P001",15,"P002",0,"P003",8,"P004",8,"P005",0,"P006",7,"P007",7,"P008",6,"P009",45,"P010",60)</f>
        <v>0</v>
      </c>
      <c r="V217" s="1">
        <f>Table1[[#This Row],[Shipping per Unit]]*Table1[[#This Row],[Quantity]]</f>
        <v>0</v>
      </c>
      <c r="W217" s="2">
        <f>IF(Table1[[#This Row],[Total Shipping]]&gt;0.1,0.2,0)</f>
        <v>0</v>
      </c>
      <c r="X217" s="4">
        <f>Table1[[#This Row],[Total Shipping]]*Table1[[#This Row],[VAT on Shipping]]</f>
        <v>0</v>
      </c>
      <c r="Y217" s="1">
        <f>Table1[[#This Row],[Revenue]]-Table1[[#This Row],[COGS]]</f>
        <v>65.5</v>
      </c>
      <c r="Z217" s="3">
        <f>(Table1[[#This Row],[Profit]]/Table1[[#This Row],[Revenue]])</f>
        <v>0.45017182130584193</v>
      </c>
      <c r="AA217" s="1">
        <f>Table1[[#This Row],[Profit]]-Table1[[#This Row],[Total Shipping]]</f>
        <v>65.5</v>
      </c>
      <c r="AB217" s="3">
        <f>Table1[[#This Row],[Operating Profit]]/Table1[[#This Row],[Revenue]]</f>
        <v>0.45017182130584193</v>
      </c>
    </row>
    <row r="218" spans="1:28" x14ac:dyDescent="0.25">
      <c r="A218" t="s">
        <v>163</v>
      </c>
      <c r="B218">
        <v>78</v>
      </c>
      <c r="C218" t="s">
        <v>83</v>
      </c>
      <c r="D218" t="s">
        <v>57</v>
      </c>
      <c r="E218" t="s">
        <v>40</v>
      </c>
      <c r="F218" t="s">
        <v>64</v>
      </c>
      <c r="G218" t="str" cm="1">
        <f t="array" ref="G218">_xlfn.SWITCH(F218,"Acme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218" t="s">
        <v>33</v>
      </c>
      <c r="I218" t="s">
        <v>46</v>
      </c>
      <c r="J218" t="str" cm="1">
        <f t="array" ref="J218">_xlfn.SWITCH(I218,"P001","Laptop","P002","Server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18" s="1" cm="1">
        <f t="array" ref="K218">_xlfn.SWITCH(Table1[[#This Row],[Product ID]],"P001",220,"P002",150,"P003",130,"P004",70,"P005",200,"P006",40,"P007",25,"P008",20,"P009",190,"P010",530)</f>
        <v>530</v>
      </c>
      <c r="L218">
        <v>12</v>
      </c>
      <c r="M218" s="1">
        <f>Table1[[#This Row],[Unit Price]]*Table1[[#This Row],[Quantity]]</f>
        <v>6360</v>
      </c>
      <c r="N218" s="2">
        <v>0.08</v>
      </c>
      <c r="O218" s="1">
        <f>Table1[[#This Row],[Gross Value]]*(1-Table1[[#This Row],[Discount]])</f>
        <v>5851.2</v>
      </c>
      <c r="P218" s="2">
        <v>0.2</v>
      </c>
      <c r="Q218" s="1">
        <f>Table1[[#This Row],[Revenue]]*Table1[[#This Row],[VAT Rate]]</f>
        <v>1170.24</v>
      </c>
      <c r="R218" s="1">
        <f>Table1[[#This Row],[Revenue]]+Table1[[#This Row],[VAT Charged]]</f>
        <v>7021.44</v>
      </c>
      <c r="S218" s="1" cm="1">
        <f t="array" ref="S218">_xlfn.SWITCH(Table1[[#This Row],[Product ID]],"P001",140,"P002",80,"P003",72,"P004",30,"P005",110,"P006",24,"P007",14,"P008",12,"P009",115,"P010",360)</f>
        <v>360</v>
      </c>
      <c r="T218" s="1" cm="1">
        <f t="array" ref="T218">(_xlfn.SWITCH(Table1[[#This Row],[Product ID]],"P001",140,"P002",80,"P003",72,"P004",30,"P005",110,"P006",24,"P007",14,"P008",12,"P009",115,"P010",360))*Table1[[#This Row],[Quantity]]</f>
        <v>4320</v>
      </c>
      <c r="U218" s="1" cm="1">
        <f t="array" ref="U218">_xlfn.SWITCH(Table1[[#This Row],[Product ID]],"P001",15,"P002",0,"P003",8,"P004",8,"P005",0,"P006",7,"P007",7,"P008",6,"P009",45,"P010",60)</f>
        <v>60</v>
      </c>
      <c r="V218" s="1">
        <f>Table1[[#This Row],[Shipping per Unit]]*Table1[[#This Row],[Quantity]]</f>
        <v>720</v>
      </c>
      <c r="W218" s="2">
        <f>IF(Table1[[#This Row],[Total Shipping]]&gt;0.1,0.2,0)</f>
        <v>0.2</v>
      </c>
      <c r="X218" s="4">
        <f>Table1[[#This Row],[Total Shipping]]*Table1[[#This Row],[VAT on Shipping]]</f>
        <v>144</v>
      </c>
      <c r="Y218" s="1">
        <f>Table1[[#This Row],[Revenue]]-Table1[[#This Row],[COGS]]</f>
        <v>1531.1999999999998</v>
      </c>
      <c r="Z218" s="3">
        <f>(Table1[[#This Row],[Profit]]/Table1[[#This Row],[Revenue]])</f>
        <v>0.26168990976210005</v>
      </c>
      <c r="AA218" s="1">
        <f>Table1[[#This Row],[Profit]]-Table1[[#This Row],[Total Shipping]]</f>
        <v>811.19999999999982</v>
      </c>
      <c r="AB218" s="3">
        <f>Table1[[#This Row],[Operating Profit]]/Table1[[#This Row],[Revenue]]</f>
        <v>0.13863822805578341</v>
      </c>
    </row>
    <row r="219" spans="1:28" x14ac:dyDescent="0.25">
      <c r="A219" t="s">
        <v>163</v>
      </c>
      <c r="B219">
        <v>387</v>
      </c>
      <c r="C219" t="s">
        <v>71</v>
      </c>
      <c r="D219" t="s">
        <v>48</v>
      </c>
      <c r="E219" t="s">
        <v>31</v>
      </c>
      <c r="F219" t="s">
        <v>32</v>
      </c>
      <c r="G219" t="str" cm="1">
        <f t="array" ref="G219">_xlfn.SWITCH(F219,"Acme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219" t="s">
        <v>33</v>
      </c>
      <c r="I219" t="s">
        <v>42</v>
      </c>
      <c r="J219" t="str" cm="1">
        <f t="array" ref="J219">_xlfn.SWITCH(I219,"P001","Laptop","P002","Server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19" s="1" cm="1">
        <f t="array" ref="K219">_xlfn.SWITCH(Table1[[#This Row],[Product ID]],"P001",220,"P002",150,"P003",130,"P004",70,"P005",200,"P006",40,"P007",25,"P008",20,"P009",190,"P010",530)</f>
        <v>40</v>
      </c>
      <c r="L219">
        <v>1</v>
      </c>
      <c r="M219" s="1">
        <f>Table1[[#This Row],[Unit Price]]*Table1[[#This Row],[Quantity]]</f>
        <v>40</v>
      </c>
      <c r="N219" s="2">
        <v>7.0000000000000007E-2</v>
      </c>
      <c r="O219" s="1">
        <f>Table1[[#This Row],[Gross Value]]*(1-Table1[[#This Row],[Discount]])</f>
        <v>37.199999999999996</v>
      </c>
      <c r="P219" s="2">
        <v>0.2</v>
      </c>
      <c r="Q219" s="1">
        <f>Table1[[#This Row],[Revenue]]*Table1[[#This Row],[VAT Rate]]</f>
        <v>7.4399999999999995</v>
      </c>
      <c r="R219" s="1">
        <f>Table1[[#This Row],[Revenue]]+Table1[[#This Row],[VAT Charged]]</f>
        <v>44.639999999999993</v>
      </c>
      <c r="S219" s="1" cm="1">
        <f t="array" ref="S219">_xlfn.SWITCH(Table1[[#This Row],[Product ID]],"P001",140,"P002",80,"P003",72,"P004",30,"P005",110,"P006",24,"P007",14,"P008",12,"P009",115,"P010",360)</f>
        <v>24</v>
      </c>
      <c r="T219" s="1" cm="1">
        <f t="array" ref="T219">(_xlfn.SWITCH(Table1[[#This Row],[Product ID]],"P001",140,"P002",80,"P003",72,"P004",30,"P005",110,"P006",24,"P007",14,"P008",12,"P009",115,"P010",360))*Table1[[#This Row],[Quantity]]</f>
        <v>24</v>
      </c>
      <c r="U219" s="1" cm="1">
        <f t="array" ref="U219">_xlfn.SWITCH(Table1[[#This Row],[Product ID]],"P001",15,"P002",0,"P003",8,"P004",8,"P005",0,"P006",7,"P007",7,"P008",6,"P009",45,"P010",60)</f>
        <v>7</v>
      </c>
      <c r="V219" s="1">
        <f>Table1[[#This Row],[Shipping per Unit]]*Table1[[#This Row],[Quantity]]</f>
        <v>7</v>
      </c>
      <c r="W219" s="2">
        <f>IF(Table1[[#This Row],[Total Shipping]]&gt;0.1,0.2,0)</f>
        <v>0.2</v>
      </c>
      <c r="X219" s="4">
        <f>Table1[[#This Row],[Total Shipping]]*Table1[[#This Row],[VAT on Shipping]]</f>
        <v>1.4000000000000001</v>
      </c>
      <c r="Y219" s="1">
        <f>Table1[[#This Row],[Revenue]]-Table1[[#This Row],[COGS]]</f>
        <v>13.199999999999996</v>
      </c>
      <c r="Z219" s="3">
        <f>(Table1[[#This Row],[Profit]]/Table1[[#This Row],[Revenue]])</f>
        <v>0.35483870967741926</v>
      </c>
      <c r="AA219" s="1">
        <f>Table1[[#This Row],[Profit]]-Table1[[#This Row],[Total Shipping]]</f>
        <v>6.1999999999999957</v>
      </c>
      <c r="AB219" s="3">
        <f>Table1[[#This Row],[Operating Profit]]/Table1[[#This Row],[Revenue]]</f>
        <v>0.16666666666666657</v>
      </c>
    </row>
    <row r="220" spans="1:28" x14ac:dyDescent="0.25">
      <c r="A220" t="s">
        <v>164</v>
      </c>
      <c r="B220">
        <v>778</v>
      </c>
      <c r="C220" t="s">
        <v>38</v>
      </c>
      <c r="D220" t="s">
        <v>53</v>
      </c>
      <c r="E220" t="s">
        <v>49</v>
      </c>
      <c r="F220" t="s">
        <v>74</v>
      </c>
      <c r="G220" t="str" cm="1">
        <f t="array" ref="G220">_xlfn.SWITCH(F220,"Acme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220" t="s">
        <v>33</v>
      </c>
      <c r="I220" t="s">
        <v>42</v>
      </c>
      <c r="J220" t="str" cm="1">
        <f t="array" ref="J220">_xlfn.SWITCH(I220,"P001","Laptop","P002","Server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20" s="1" cm="1">
        <f t="array" ref="K220">_xlfn.SWITCH(Table1[[#This Row],[Product ID]],"P001",220,"P002",150,"P003",130,"P004",70,"P005",200,"P006",40,"P007",25,"P008",20,"P009",190,"P010",530)</f>
        <v>40</v>
      </c>
      <c r="L220">
        <v>17</v>
      </c>
      <c r="M220" s="1">
        <f>Table1[[#This Row],[Unit Price]]*Table1[[#This Row],[Quantity]]</f>
        <v>680</v>
      </c>
      <c r="N220" s="2">
        <v>0.05</v>
      </c>
      <c r="O220" s="1">
        <f>Table1[[#This Row],[Gross Value]]*(1-Table1[[#This Row],[Discount]])</f>
        <v>646</v>
      </c>
      <c r="P220" s="2">
        <v>0.2</v>
      </c>
      <c r="Q220" s="1">
        <f>Table1[[#This Row],[Revenue]]*Table1[[#This Row],[VAT Rate]]</f>
        <v>129.20000000000002</v>
      </c>
      <c r="R220" s="1">
        <f>Table1[[#This Row],[Revenue]]+Table1[[#This Row],[VAT Charged]]</f>
        <v>775.2</v>
      </c>
      <c r="S220" s="1" cm="1">
        <f t="array" ref="S220">_xlfn.SWITCH(Table1[[#This Row],[Product ID]],"P001",140,"P002",80,"P003",72,"P004",30,"P005",110,"P006",24,"P007",14,"P008",12,"P009",115,"P010",360)</f>
        <v>24</v>
      </c>
      <c r="T220" s="1" cm="1">
        <f t="array" ref="T220">(_xlfn.SWITCH(Table1[[#This Row],[Product ID]],"P001",140,"P002",80,"P003",72,"P004",30,"P005",110,"P006",24,"P007",14,"P008",12,"P009",115,"P010",360))*Table1[[#This Row],[Quantity]]</f>
        <v>408</v>
      </c>
      <c r="U220" s="1" cm="1">
        <f t="array" ref="U220">_xlfn.SWITCH(Table1[[#This Row],[Product ID]],"P001",15,"P002",0,"P003",8,"P004",8,"P005",0,"P006",7,"P007",7,"P008",6,"P009",45,"P010",60)</f>
        <v>7</v>
      </c>
      <c r="V220" s="1">
        <f>Table1[[#This Row],[Shipping per Unit]]*Table1[[#This Row],[Quantity]]</f>
        <v>119</v>
      </c>
      <c r="W220" s="2">
        <f>IF(Table1[[#This Row],[Total Shipping]]&gt;0.1,0.2,0)</f>
        <v>0.2</v>
      </c>
      <c r="X220" s="4">
        <f>Table1[[#This Row],[Total Shipping]]*Table1[[#This Row],[VAT on Shipping]]</f>
        <v>23.8</v>
      </c>
      <c r="Y220" s="1">
        <f>Table1[[#This Row],[Revenue]]-Table1[[#This Row],[COGS]]</f>
        <v>238</v>
      </c>
      <c r="Z220" s="3">
        <f>(Table1[[#This Row],[Profit]]/Table1[[#This Row],[Revenue]])</f>
        <v>0.36842105263157893</v>
      </c>
      <c r="AA220" s="1">
        <f>Table1[[#This Row],[Profit]]-Table1[[#This Row],[Total Shipping]]</f>
        <v>119</v>
      </c>
      <c r="AB220" s="3">
        <f>Table1[[#This Row],[Operating Profit]]/Table1[[#This Row],[Revenue]]</f>
        <v>0.18421052631578946</v>
      </c>
    </row>
    <row r="221" spans="1:28" x14ac:dyDescent="0.25">
      <c r="A221" t="s">
        <v>164</v>
      </c>
      <c r="B221">
        <v>980</v>
      </c>
      <c r="C221" t="s">
        <v>35</v>
      </c>
      <c r="D221" t="s">
        <v>36</v>
      </c>
      <c r="E221" t="s">
        <v>31</v>
      </c>
      <c r="F221" t="s">
        <v>97</v>
      </c>
      <c r="G221" t="str" cm="1">
        <f t="array" ref="G221">_xlfn.SWITCH(F221,"Acme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221" t="s">
        <v>45</v>
      </c>
      <c r="I221" t="s">
        <v>55</v>
      </c>
      <c r="J221" t="str" cm="1">
        <f t="array" ref="J221">_xlfn.SWITCH(I221,"P001","Laptop","P002","Server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21" s="1" cm="1">
        <f t="array" ref="K221">_xlfn.SWITCH(Table1[[#This Row],[Product ID]],"P001",220,"P002",150,"P003",130,"P004",70,"P005",200,"P006",40,"P007",25,"P008",20,"P009",190,"P010",530)</f>
        <v>70</v>
      </c>
      <c r="L221">
        <v>1</v>
      </c>
      <c r="M221" s="1">
        <f>Table1[[#This Row],[Unit Price]]*Table1[[#This Row],[Quantity]]</f>
        <v>70</v>
      </c>
      <c r="N221" s="2">
        <v>0.06</v>
      </c>
      <c r="O221" s="1">
        <f>Table1[[#This Row],[Gross Value]]*(1-Table1[[#This Row],[Discount]])</f>
        <v>65.8</v>
      </c>
      <c r="P221" s="2">
        <v>0.2</v>
      </c>
      <c r="Q221" s="1">
        <f>Table1[[#This Row],[Revenue]]*Table1[[#This Row],[VAT Rate]]</f>
        <v>13.16</v>
      </c>
      <c r="R221" s="1">
        <f>Table1[[#This Row],[Revenue]]+Table1[[#This Row],[VAT Charged]]</f>
        <v>78.959999999999994</v>
      </c>
      <c r="S221" s="1" cm="1">
        <f t="array" ref="S221">_xlfn.SWITCH(Table1[[#This Row],[Product ID]],"P001",140,"P002",80,"P003",72,"P004",30,"P005",110,"P006",24,"P007",14,"P008",12,"P009",115,"P010",360)</f>
        <v>30</v>
      </c>
      <c r="T221" s="1" cm="1">
        <f t="array" ref="T221">(_xlfn.SWITCH(Table1[[#This Row],[Product ID]],"P001",140,"P002",80,"P003",72,"P004",30,"P005",110,"P006",24,"P007",14,"P008",12,"P009",115,"P010",360))*Table1[[#This Row],[Quantity]]</f>
        <v>30</v>
      </c>
      <c r="U221" s="1" cm="1">
        <f t="array" ref="U221">_xlfn.SWITCH(Table1[[#This Row],[Product ID]],"P001",15,"P002",0,"P003",8,"P004",8,"P005",0,"P006",7,"P007",7,"P008",6,"P009",45,"P010",60)</f>
        <v>8</v>
      </c>
      <c r="V221" s="1">
        <f>Table1[[#This Row],[Shipping per Unit]]*Table1[[#This Row],[Quantity]]</f>
        <v>8</v>
      </c>
      <c r="W221" s="2">
        <f>IF(Table1[[#This Row],[Total Shipping]]&gt;0.1,0.2,0)</f>
        <v>0.2</v>
      </c>
      <c r="X221" s="4">
        <f>Table1[[#This Row],[Total Shipping]]*Table1[[#This Row],[VAT on Shipping]]</f>
        <v>1.6</v>
      </c>
      <c r="Y221" s="1">
        <f>Table1[[#This Row],[Revenue]]-Table1[[#This Row],[COGS]]</f>
        <v>35.799999999999997</v>
      </c>
      <c r="Z221" s="3">
        <f>(Table1[[#This Row],[Profit]]/Table1[[#This Row],[Revenue]])</f>
        <v>0.54407294832826747</v>
      </c>
      <c r="AA221" s="1">
        <f>Table1[[#This Row],[Profit]]-Table1[[#This Row],[Total Shipping]]</f>
        <v>27.799999999999997</v>
      </c>
      <c r="AB221" s="3">
        <f>Table1[[#This Row],[Operating Profit]]/Table1[[#This Row],[Revenue]]</f>
        <v>0.42249240121580545</v>
      </c>
    </row>
    <row r="222" spans="1:28" x14ac:dyDescent="0.25">
      <c r="A222" t="s">
        <v>165</v>
      </c>
      <c r="B222">
        <v>47</v>
      </c>
      <c r="C222" t="s">
        <v>29</v>
      </c>
      <c r="D222" t="s">
        <v>48</v>
      </c>
      <c r="E222" t="s">
        <v>49</v>
      </c>
      <c r="F222" t="s">
        <v>97</v>
      </c>
      <c r="G222" t="str" cm="1">
        <f t="array" ref="G222">_xlfn.SWITCH(F222,"Acme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222" t="s">
        <v>45</v>
      </c>
      <c r="I222" t="s">
        <v>46</v>
      </c>
      <c r="J222" t="str" cm="1">
        <f t="array" ref="J222">_xlfn.SWITCH(I222,"P001","Laptop","P002","Server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22" s="1" cm="1">
        <f t="array" ref="K222">_xlfn.SWITCH(Table1[[#This Row],[Product ID]],"P001",220,"P002",150,"P003",130,"P004",70,"P005",200,"P006",40,"P007",25,"P008",20,"P009",190,"P010",530)</f>
        <v>530</v>
      </c>
      <c r="L222">
        <v>20</v>
      </c>
      <c r="M222" s="1">
        <f>Table1[[#This Row],[Unit Price]]*Table1[[#This Row],[Quantity]]</f>
        <v>10600</v>
      </c>
      <c r="N222" s="2">
        <v>0.08</v>
      </c>
      <c r="O222" s="1">
        <f>Table1[[#This Row],[Gross Value]]*(1-Table1[[#This Row],[Discount]])</f>
        <v>9752</v>
      </c>
      <c r="P222" s="2">
        <v>0.2</v>
      </c>
      <c r="Q222" s="1">
        <f>Table1[[#This Row],[Revenue]]*Table1[[#This Row],[VAT Rate]]</f>
        <v>1950.4</v>
      </c>
      <c r="R222" s="1">
        <f>Table1[[#This Row],[Revenue]]+Table1[[#This Row],[VAT Charged]]</f>
        <v>11702.4</v>
      </c>
      <c r="S222" s="1" cm="1">
        <f t="array" ref="S222">_xlfn.SWITCH(Table1[[#This Row],[Product ID]],"P001",140,"P002",80,"P003",72,"P004",30,"P005",110,"P006",24,"P007",14,"P008",12,"P009",115,"P010",360)</f>
        <v>360</v>
      </c>
      <c r="T222" s="1" cm="1">
        <f t="array" ref="T222">(_xlfn.SWITCH(Table1[[#This Row],[Product ID]],"P001",140,"P002",80,"P003",72,"P004",30,"P005",110,"P006",24,"P007",14,"P008",12,"P009",115,"P010",360))*Table1[[#This Row],[Quantity]]</f>
        <v>7200</v>
      </c>
      <c r="U222" s="1" cm="1">
        <f t="array" ref="U222">_xlfn.SWITCH(Table1[[#This Row],[Product ID]],"P001",15,"P002",0,"P003",8,"P004",8,"P005",0,"P006",7,"P007",7,"P008",6,"P009",45,"P010",60)</f>
        <v>60</v>
      </c>
      <c r="V222" s="1">
        <f>Table1[[#This Row],[Shipping per Unit]]*Table1[[#This Row],[Quantity]]</f>
        <v>1200</v>
      </c>
      <c r="W222" s="2">
        <f>IF(Table1[[#This Row],[Total Shipping]]&gt;0.1,0.2,0)</f>
        <v>0.2</v>
      </c>
      <c r="X222" s="4">
        <f>Table1[[#This Row],[Total Shipping]]*Table1[[#This Row],[VAT on Shipping]]</f>
        <v>240</v>
      </c>
      <c r="Y222" s="1">
        <f>Table1[[#This Row],[Revenue]]-Table1[[#This Row],[COGS]]</f>
        <v>2552</v>
      </c>
      <c r="Z222" s="3">
        <f>(Table1[[#This Row],[Profit]]/Table1[[#This Row],[Revenue]])</f>
        <v>0.2616899097621001</v>
      </c>
      <c r="AA222" s="1">
        <f>Table1[[#This Row],[Profit]]-Table1[[#This Row],[Total Shipping]]</f>
        <v>1352</v>
      </c>
      <c r="AB222" s="3">
        <f>Table1[[#This Row],[Operating Profit]]/Table1[[#This Row],[Revenue]]</f>
        <v>0.13863822805578344</v>
      </c>
    </row>
    <row r="223" spans="1:28" x14ac:dyDescent="0.25">
      <c r="A223" t="s">
        <v>165</v>
      </c>
      <c r="B223">
        <v>401</v>
      </c>
      <c r="C223" t="s">
        <v>29</v>
      </c>
      <c r="D223" t="s">
        <v>72</v>
      </c>
      <c r="E223" t="s">
        <v>49</v>
      </c>
      <c r="F223" t="s">
        <v>74</v>
      </c>
      <c r="G223" t="str" cm="1">
        <f t="array" ref="G223">_xlfn.SWITCH(F223,"Acme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223" t="s">
        <v>58</v>
      </c>
      <c r="I223" t="s">
        <v>42</v>
      </c>
      <c r="J223" t="str" cm="1">
        <f t="array" ref="J223">_xlfn.SWITCH(I223,"P001","Laptop","P002","Server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23" s="1" cm="1">
        <f t="array" ref="K223">_xlfn.SWITCH(Table1[[#This Row],[Product ID]],"P001",220,"P002",150,"P003",130,"P004",70,"P005",200,"P006",40,"P007",25,"P008",20,"P009",190,"P010",530)</f>
        <v>40</v>
      </c>
      <c r="L223">
        <v>8</v>
      </c>
      <c r="M223" s="1">
        <f>Table1[[#This Row],[Unit Price]]*Table1[[#This Row],[Quantity]]</f>
        <v>320</v>
      </c>
      <c r="N223" s="2">
        <v>0.06</v>
      </c>
      <c r="O223" s="1">
        <f>Table1[[#This Row],[Gross Value]]*(1-Table1[[#This Row],[Discount]])</f>
        <v>300.79999999999995</v>
      </c>
      <c r="P223" s="2">
        <v>0.2</v>
      </c>
      <c r="Q223" s="1">
        <f>Table1[[#This Row],[Revenue]]*Table1[[#This Row],[VAT Rate]]</f>
        <v>60.16</v>
      </c>
      <c r="R223" s="1">
        <f>Table1[[#This Row],[Revenue]]+Table1[[#This Row],[VAT Charged]]</f>
        <v>360.95999999999992</v>
      </c>
      <c r="S223" s="1" cm="1">
        <f t="array" ref="S223">_xlfn.SWITCH(Table1[[#This Row],[Product ID]],"P001",140,"P002",80,"P003",72,"P004",30,"P005",110,"P006",24,"P007",14,"P008",12,"P009",115,"P010",360)</f>
        <v>24</v>
      </c>
      <c r="T223" s="1" cm="1">
        <f t="array" ref="T223">(_xlfn.SWITCH(Table1[[#This Row],[Product ID]],"P001",140,"P002",80,"P003",72,"P004",30,"P005",110,"P006",24,"P007",14,"P008",12,"P009",115,"P010",360))*Table1[[#This Row],[Quantity]]</f>
        <v>192</v>
      </c>
      <c r="U223" s="1" cm="1">
        <f t="array" ref="U223">_xlfn.SWITCH(Table1[[#This Row],[Product ID]],"P001",15,"P002",0,"P003",8,"P004",8,"P005",0,"P006",7,"P007",7,"P008",6,"P009",45,"P010",60)</f>
        <v>7</v>
      </c>
      <c r="V223" s="1">
        <f>Table1[[#This Row],[Shipping per Unit]]*Table1[[#This Row],[Quantity]]</f>
        <v>56</v>
      </c>
      <c r="W223" s="2">
        <f>IF(Table1[[#This Row],[Total Shipping]]&gt;0.1,0.2,0)</f>
        <v>0.2</v>
      </c>
      <c r="X223" s="4">
        <f>Table1[[#This Row],[Total Shipping]]*Table1[[#This Row],[VAT on Shipping]]</f>
        <v>11.200000000000001</v>
      </c>
      <c r="Y223" s="1">
        <f>Table1[[#This Row],[Revenue]]-Table1[[#This Row],[COGS]]</f>
        <v>108.79999999999995</v>
      </c>
      <c r="Z223" s="3">
        <f>(Table1[[#This Row],[Profit]]/Table1[[#This Row],[Revenue]])</f>
        <v>0.36170212765957438</v>
      </c>
      <c r="AA223" s="1">
        <f>Table1[[#This Row],[Profit]]-Table1[[#This Row],[Total Shipping]]</f>
        <v>52.799999999999955</v>
      </c>
      <c r="AB223" s="3">
        <f>Table1[[#This Row],[Operating Profit]]/Table1[[#This Row],[Revenue]]</f>
        <v>0.17553191489361689</v>
      </c>
    </row>
    <row r="224" spans="1:28" x14ac:dyDescent="0.25">
      <c r="A224" t="s">
        <v>165</v>
      </c>
      <c r="B224">
        <v>446</v>
      </c>
      <c r="C224" t="s">
        <v>56</v>
      </c>
      <c r="D224" t="s">
        <v>30</v>
      </c>
      <c r="E224" t="s">
        <v>31</v>
      </c>
      <c r="F224" t="s">
        <v>50</v>
      </c>
      <c r="G224" t="str" cm="1">
        <f t="array" ref="G224">_xlfn.SWITCH(F224,"Acme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224" t="s">
        <v>45</v>
      </c>
      <c r="I224" t="s">
        <v>42</v>
      </c>
      <c r="J224" t="str" cm="1">
        <f t="array" ref="J224">_xlfn.SWITCH(I224,"P001","Laptop","P002","Server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24" s="1" cm="1">
        <f t="array" ref="K224">_xlfn.SWITCH(Table1[[#This Row],[Product ID]],"P001",220,"P002",150,"P003",130,"P004",70,"P005",200,"P006",40,"P007",25,"P008",20,"P009",190,"P010",530)</f>
        <v>40</v>
      </c>
      <c r="L224">
        <v>4</v>
      </c>
      <c r="M224" s="1">
        <f>Table1[[#This Row],[Unit Price]]*Table1[[#This Row],[Quantity]]</f>
        <v>160</v>
      </c>
      <c r="N224" s="2">
        <v>0.01</v>
      </c>
      <c r="O224" s="1">
        <f>Table1[[#This Row],[Gross Value]]*(1-Table1[[#This Row],[Discount]])</f>
        <v>158.4</v>
      </c>
      <c r="P224" s="2">
        <v>0.2</v>
      </c>
      <c r="Q224" s="1">
        <f>Table1[[#This Row],[Revenue]]*Table1[[#This Row],[VAT Rate]]</f>
        <v>31.680000000000003</v>
      </c>
      <c r="R224" s="1">
        <f>Table1[[#This Row],[Revenue]]+Table1[[#This Row],[VAT Charged]]</f>
        <v>190.08</v>
      </c>
      <c r="S224" s="1" cm="1">
        <f t="array" ref="S224">_xlfn.SWITCH(Table1[[#This Row],[Product ID]],"P001",140,"P002",80,"P003",72,"P004",30,"P005",110,"P006",24,"P007",14,"P008",12,"P009",115,"P010",360)</f>
        <v>24</v>
      </c>
      <c r="T224" s="1" cm="1">
        <f t="array" ref="T224">(_xlfn.SWITCH(Table1[[#This Row],[Product ID]],"P001",140,"P002",80,"P003",72,"P004",30,"P005",110,"P006",24,"P007",14,"P008",12,"P009",115,"P010",360))*Table1[[#This Row],[Quantity]]</f>
        <v>96</v>
      </c>
      <c r="U224" s="1" cm="1">
        <f t="array" ref="U224">_xlfn.SWITCH(Table1[[#This Row],[Product ID]],"P001",15,"P002",0,"P003",8,"P004",8,"P005",0,"P006",7,"P007",7,"P008",6,"P009",45,"P010",60)</f>
        <v>7</v>
      </c>
      <c r="V224" s="1">
        <f>Table1[[#This Row],[Shipping per Unit]]*Table1[[#This Row],[Quantity]]</f>
        <v>28</v>
      </c>
      <c r="W224" s="2">
        <f>IF(Table1[[#This Row],[Total Shipping]]&gt;0.1,0.2,0)</f>
        <v>0.2</v>
      </c>
      <c r="X224" s="4">
        <f>Table1[[#This Row],[Total Shipping]]*Table1[[#This Row],[VAT on Shipping]]</f>
        <v>5.6000000000000005</v>
      </c>
      <c r="Y224" s="1">
        <f>Table1[[#This Row],[Revenue]]-Table1[[#This Row],[COGS]]</f>
        <v>62.400000000000006</v>
      </c>
      <c r="Z224" s="3">
        <f>(Table1[[#This Row],[Profit]]/Table1[[#This Row],[Revenue]])</f>
        <v>0.39393939393939398</v>
      </c>
      <c r="AA224" s="1">
        <f>Table1[[#This Row],[Profit]]-Table1[[#This Row],[Total Shipping]]</f>
        <v>34.400000000000006</v>
      </c>
      <c r="AB224" s="3">
        <f>Table1[[#This Row],[Operating Profit]]/Table1[[#This Row],[Revenue]]</f>
        <v>0.21717171717171721</v>
      </c>
    </row>
    <row r="225" spans="1:28" x14ac:dyDescent="0.25">
      <c r="A225" t="s">
        <v>165</v>
      </c>
      <c r="B225">
        <v>587</v>
      </c>
      <c r="C225" t="s">
        <v>38</v>
      </c>
      <c r="D225" t="s">
        <v>67</v>
      </c>
      <c r="E225" t="s">
        <v>31</v>
      </c>
      <c r="F225" t="s">
        <v>79</v>
      </c>
      <c r="G225" t="str" cm="1">
        <f t="array" ref="G225">_xlfn.SWITCH(F225,"Acme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225" t="s">
        <v>45</v>
      </c>
      <c r="I225" t="s">
        <v>70</v>
      </c>
      <c r="J225" t="str" cm="1">
        <f t="array" ref="J225">_xlfn.SWITCH(I225,"P001","Laptop","P002","Server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25" s="1" cm="1">
        <f t="array" ref="K225">_xlfn.SWITCH(Table1[[#This Row],[Product ID]],"P001",220,"P002",150,"P003",130,"P004",70,"P005",200,"P006",40,"P007",25,"P008",20,"P009",190,"P010",530)</f>
        <v>150</v>
      </c>
      <c r="L225">
        <v>14</v>
      </c>
      <c r="M225" s="1">
        <f>Table1[[#This Row],[Unit Price]]*Table1[[#This Row],[Quantity]]</f>
        <v>2100</v>
      </c>
      <c r="N225" s="2">
        <v>0.06</v>
      </c>
      <c r="O225" s="1">
        <f>Table1[[#This Row],[Gross Value]]*(1-Table1[[#This Row],[Discount]])</f>
        <v>1974</v>
      </c>
      <c r="P225" s="2">
        <v>0.2</v>
      </c>
      <c r="Q225" s="1">
        <f>Table1[[#This Row],[Revenue]]*Table1[[#This Row],[VAT Rate]]</f>
        <v>394.8</v>
      </c>
      <c r="R225" s="1">
        <f>Table1[[#This Row],[Revenue]]+Table1[[#This Row],[VAT Charged]]</f>
        <v>2368.8000000000002</v>
      </c>
      <c r="S225" s="1" cm="1">
        <f t="array" ref="S225">_xlfn.SWITCH(Table1[[#This Row],[Product ID]],"P001",140,"P002",80,"P003",72,"P004",30,"P005",110,"P006",24,"P007",14,"P008",12,"P009",115,"P010",360)</f>
        <v>80</v>
      </c>
      <c r="T225" s="1" cm="1">
        <f t="array" ref="T225">(_xlfn.SWITCH(Table1[[#This Row],[Product ID]],"P001",140,"P002",80,"P003",72,"P004",30,"P005",110,"P006",24,"P007",14,"P008",12,"P009",115,"P010",360))*Table1[[#This Row],[Quantity]]</f>
        <v>1120</v>
      </c>
      <c r="U225" s="1" cm="1">
        <f t="array" ref="U225">_xlfn.SWITCH(Table1[[#This Row],[Product ID]],"P001",15,"P002",0,"P003",8,"P004",8,"P005",0,"P006",7,"P007",7,"P008",6,"P009",45,"P010",60)</f>
        <v>0</v>
      </c>
      <c r="V225" s="1">
        <f>Table1[[#This Row],[Shipping per Unit]]*Table1[[#This Row],[Quantity]]</f>
        <v>0</v>
      </c>
      <c r="W225" s="2">
        <f>IF(Table1[[#This Row],[Total Shipping]]&gt;0.1,0.2,0)</f>
        <v>0</v>
      </c>
      <c r="X225" s="4">
        <f>Table1[[#This Row],[Total Shipping]]*Table1[[#This Row],[VAT on Shipping]]</f>
        <v>0</v>
      </c>
      <c r="Y225" s="1">
        <f>Table1[[#This Row],[Revenue]]-Table1[[#This Row],[COGS]]</f>
        <v>854</v>
      </c>
      <c r="Z225" s="3">
        <f>(Table1[[#This Row],[Profit]]/Table1[[#This Row],[Revenue]])</f>
        <v>0.43262411347517732</v>
      </c>
      <c r="AA225" s="1">
        <f>Table1[[#This Row],[Profit]]-Table1[[#This Row],[Total Shipping]]</f>
        <v>854</v>
      </c>
      <c r="AB225" s="3">
        <f>Table1[[#This Row],[Operating Profit]]/Table1[[#This Row],[Revenue]]</f>
        <v>0.43262411347517732</v>
      </c>
    </row>
    <row r="226" spans="1:28" x14ac:dyDescent="0.25">
      <c r="A226" t="s">
        <v>166</v>
      </c>
      <c r="B226">
        <v>258</v>
      </c>
      <c r="C226" t="s">
        <v>71</v>
      </c>
      <c r="D226" t="s">
        <v>63</v>
      </c>
      <c r="E226" t="s">
        <v>40</v>
      </c>
      <c r="F226" t="s">
        <v>113</v>
      </c>
      <c r="G226" t="str" cm="1">
        <f t="array" ref="G226">_xlfn.SWITCH(F226,"Acme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226" t="s">
        <v>104</v>
      </c>
      <c r="I226" t="s">
        <v>46</v>
      </c>
      <c r="J226" t="str" cm="1">
        <f t="array" ref="J226">_xlfn.SWITCH(I226,"P001","Laptop","P002","Server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26" s="1" cm="1">
        <f t="array" ref="K226">_xlfn.SWITCH(Table1[[#This Row],[Product ID]],"P001",220,"P002",150,"P003",130,"P004",70,"P005",200,"P006",40,"P007",25,"P008",20,"P009",190,"P010",530)</f>
        <v>530</v>
      </c>
      <c r="L226">
        <v>7</v>
      </c>
      <c r="M226" s="1">
        <f>Table1[[#This Row],[Unit Price]]*Table1[[#This Row],[Quantity]]</f>
        <v>3710</v>
      </c>
      <c r="N226" s="2">
        <v>0.03</v>
      </c>
      <c r="O226" s="1">
        <f>Table1[[#This Row],[Gross Value]]*(1-Table1[[#This Row],[Discount]])</f>
        <v>3598.7</v>
      </c>
      <c r="P226" s="2">
        <v>0.2</v>
      </c>
      <c r="Q226" s="1">
        <f>Table1[[#This Row],[Revenue]]*Table1[[#This Row],[VAT Rate]]</f>
        <v>719.74</v>
      </c>
      <c r="R226" s="1">
        <f>Table1[[#This Row],[Revenue]]+Table1[[#This Row],[VAT Charged]]</f>
        <v>4318.4399999999996</v>
      </c>
      <c r="S226" s="1" cm="1">
        <f t="array" ref="S226">_xlfn.SWITCH(Table1[[#This Row],[Product ID]],"P001",140,"P002",80,"P003",72,"P004",30,"P005",110,"P006",24,"P007",14,"P008",12,"P009",115,"P010",360)</f>
        <v>360</v>
      </c>
      <c r="T226" s="1" cm="1">
        <f t="array" ref="T226">(_xlfn.SWITCH(Table1[[#This Row],[Product ID]],"P001",140,"P002",80,"P003",72,"P004",30,"P005",110,"P006",24,"P007",14,"P008",12,"P009",115,"P010",360))*Table1[[#This Row],[Quantity]]</f>
        <v>2520</v>
      </c>
      <c r="U226" s="1" cm="1">
        <f t="array" ref="U226">_xlfn.SWITCH(Table1[[#This Row],[Product ID]],"P001",15,"P002",0,"P003",8,"P004",8,"P005",0,"P006",7,"P007",7,"P008",6,"P009",45,"P010",60)</f>
        <v>60</v>
      </c>
      <c r="V226" s="1">
        <f>Table1[[#This Row],[Shipping per Unit]]*Table1[[#This Row],[Quantity]]</f>
        <v>420</v>
      </c>
      <c r="W226" s="2">
        <f>IF(Table1[[#This Row],[Total Shipping]]&gt;0.1,0.2,0)</f>
        <v>0.2</v>
      </c>
      <c r="X226" s="4">
        <f>Table1[[#This Row],[Total Shipping]]*Table1[[#This Row],[VAT on Shipping]]</f>
        <v>84</v>
      </c>
      <c r="Y226" s="1">
        <f>Table1[[#This Row],[Revenue]]-Table1[[#This Row],[COGS]]</f>
        <v>1078.6999999999998</v>
      </c>
      <c r="Z226" s="3">
        <f>(Table1[[#This Row],[Profit]]/Table1[[#This Row],[Revenue]])</f>
        <v>0.29974713090838356</v>
      </c>
      <c r="AA226" s="1">
        <f>Table1[[#This Row],[Profit]]-Table1[[#This Row],[Total Shipping]]</f>
        <v>658.69999999999982</v>
      </c>
      <c r="AB226" s="3">
        <f>Table1[[#This Row],[Operating Profit]]/Table1[[#This Row],[Revenue]]</f>
        <v>0.18303831939311413</v>
      </c>
    </row>
    <row r="227" spans="1:28" x14ac:dyDescent="0.25">
      <c r="A227" t="s">
        <v>166</v>
      </c>
      <c r="B227">
        <v>460</v>
      </c>
      <c r="C227" t="s">
        <v>35</v>
      </c>
      <c r="D227" t="s">
        <v>63</v>
      </c>
      <c r="E227" t="s">
        <v>31</v>
      </c>
      <c r="F227" t="s">
        <v>113</v>
      </c>
      <c r="G227" t="str" cm="1">
        <f t="array" ref="G227">_xlfn.SWITCH(F227,"Acme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227" t="s">
        <v>33</v>
      </c>
      <c r="I227" t="s">
        <v>42</v>
      </c>
      <c r="J227" t="str" cm="1">
        <f t="array" ref="J227">_xlfn.SWITCH(I227,"P001","Laptop","P002","Server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27" s="1" cm="1">
        <f t="array" ref="K227">_xlfn.SWITCH(Table1[[#This Row],[Product ID]],"P001",220,"P002",150,"P003",130,"P004",70,"P005",200,"P006",40,"P007",25,"P008",20,"P009",190,"P010",530)</f>
        <v>40</v>
      </c>
      <c r="L227">
        <v>11</v>
      </c>
      <c r="M227" s="1">
        <f>Table1[[#This Row],[Unit Price]]*Table1[[#This Row],[Quantity]]</f>
        <v>440</v>
      </c>
      <c r="N227" s="2">
        <v>0.04</v>
      </c>
      <c r="O227" s="1">
        <f>Table1[[#This Row],[Gross Value]]*(1-Table1[[#This Row],[Discount]])</f>
        <v>422.4</v>
      </c>
      <c r="P227" s="2">
        <v>0.2</v>
      </c>
      <c r="Q227" s="1">
        <f>Table1[[#This Row],[Revenue]]*Table1[[#This Row],[VAT Rate]]</f>
        <v>84.48</v>
      </c>
      <c r="R227" s="1">
        <f>Table1[[#This Row],[Revenue]]+Table1[[#This Row],[VAT Charged]]</f>
        <v>506.88</v>
      </c>
      <c r="S227" s="1" cm="1">
        <f t="array" ref="S227">_xlfn.SWITCH(Table1[[#This Row],[Product ID]],"P001",140,"P002",80,"P003",72,"P004",30,"P005",110,"P006",24,"P007",14,"P008",12,"P009",115,"P010",360)</f>
        <v>24</v>
      </c>
      <c r="T227" s="1" cm="1">
        <f t="array" ref="T227">(_xlfn.SWITCH(Table1[[#This Row],[Product ID]],"P001",140,"P002",80,"P003",72,"P004",30,"P005",110,"P006",24,"P007",14,"P008",12,"P009",115,"P010",360))*Table1[[#This Row],[Quantity]]</f>
        <v>264</v>
      </c>
      <c r="U227" s="1" cm="1">
        <f t="array" ref="U227">_xlfn.SWITCH(Table1[[#This Row],[Product ID]],"P001",15,"P002",0,"P003",8,"P004",8,"P005",0,"P006",7,"P007",7,"P008",6,"P009",45,"P010",60)</f>
        <v>7</v>
      </c>
      <c r="V227" s="1">
        <f>Table1[[#This Row],[Shipping per Unit]]*Table1[[#This Row],[Quantity]]</f>
        <v>77</v>
      </c>
      <c r="W227" s="2">
        <f>IF(Table1[[#This Row],[Total Shipping]]&gt;0.1,0.2,0)</f>
        <v>0.2</v>
      </c>
      <c r="X227" s="4">
        <f>Table1[[#This Row],[Total Shipping]]*Table1[[#This Row],[VAT on Shipping]]</f>
        <v>15.4</v>
      </c>
      <c r="Y227" s="1">
        <f>Table1[[#This Row],[Revenue]]-Table1[[#This Row],[COGS]]</f>
        <v>158.39999999999998</v>
      </c>
      <c r="Z227" s="3">
        <f>(Table1[[#This Row],[Profit]]/Table1[[#This Row],[Revenue]])</f>
        <v>0.37499999999999994</v>
      </c>
      <c r="AA227" s="1">
        <f>Table1[[#This Row],[Profit]]-Table1[[#This Row],[Total Shipping]]</f>
        <v>81.399999999999977</v>
      </c>
      <c r="AB227" s="3">
        <f>Table1[[#This Row],[Operating Profit]]/Table1[[#This Row],[Revenue]]</f>
        <v>0.19270833333333329</v>
      </c>
    </row>
    <row r="228" spans="1:28" x14ac:dyDescent="0.25">
      <c r="A228" t="s">
        <v>166</v>
      </c>
      <c r="B228">
        <v>641</v>
      </c>
      <c r="C228" t="s">
        <v>38</v>
      </c>
      <c r="D228" t="s">
        <v>36</v>
      </c>
      <c r="E228" t="s">
        <v>31</v>
      </c>
      <c r="F228" t="s">
        <v>98</v>
      </c>
      <c r="G228" t="str" cm="1">
        <f t="array" ref="G228">_xlfn.SWITCH(F228,"Acme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228" t="s">
        <v>33</v>
      </c>
      <c r="I228" t="s">
        <v>46</v>
      </c>
      <c r="J228" t="str" cm="1">
        <f t="array" ref="J228">_xlfn.SWITCH(I228,"P001","Laptop","P002","Server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28" s="1" cm="1">
        <f t="array" ref="K228">_xlfn.SWITCH(Table1[[#This Row],[Product ID]],"P001",220,"P002",150,"P003",130,"P004",70,"P005",200,"P006",40,"P007",25,"P008",20,"P009",190,"P010",530)</f>
        <v>530</v>
      </c>
      <c r="L228">
        <v>15</v>
      </c>
      <c r="M228" s="1">
        <f>Table1[[#This Row],[Unit Price]]*Table1[[#This Row],[Quantity]]</f>
        <v>7950</v>
      </c>
      <c r="N228" s="2">
        <v>0.05</v>
      </c>
      <c r="O228" s="1">
        <f>Table1[[#This Row],[Gross Value]]*(1-Table1[[#This Row],[Discount]])</f>
        <v>7552.5</v>
      </c>
      <c r="P228" s="2">
        <v>0.2</v>
      </c>
      <c r="Q228" s="1">
        <f>Table1[[#This Row],[Revenue]]*Table1[[#This Row],[VAT Rate]]</f>
        <v>1510.5</v>
      </c>
      <c r="R228" s="1">
        <f>Table1[[#This Row],[Revenue]]+Table1[[#This Row],[VAT Charged]]</f>
        <v>9063</v>
      </c>
      <c r="S228" s="1" cm="1">
        <f t="array" ref="S228">_xlfn.SWITCH(Table1[[#This Row],[Product ID]],"P001",140,"P002",80,"P003",72,"P004",30,"P005",110,"P006",24,"P007",14,"P008",12,"P009",115,"P010",360)</f>
        <v>360</v>
      </c>
      <c r="T228" s="1" cm="1">
        <f t="array" ref="T228">(_xlfn.SWITCH(Table1[[#This Row],[Product ID]],"P001",140,"P002",80,"P003",72,"P004",30,"P005",110,"P006",24,"P007",14,"P008",12,"P009",115,"P010",360))*Table1[[#This Row],[Quantity]]</f>
        <v>5400</v>
      </c>
      <c r="U228" s="1" cm="1">
        <f t="array" ref="U228">_xlfn.SWITCH(Table1[[#This Row],[Product ID]],"P001",15,"P002",0,"P003",8,"P004",8,"P005",0,"P006",7,"P007",7,"P008",6,"P009",45,"P010",60)</f>
        <v>60</v>
      </c>
      <c r="V228" s="1">
        <f>Table1[[#This Row],[Shipping per Unit]]*Table1[[#This Row],[Quantity]]</f>
        <v>900</v>
      </c>
      <c r="W228" s="2">
        <f>IF(Table1[[#This Row],[Total Shipping]]&gt;0.1,0.2,0)</f>
        <v>0.2</v>
      </c>
      <c r="X228" s="4">
        <f>Table1[[#This Row],[Total Shipping]]*Table1[[#This Row],[VAT on Shipping]]</f>
        <v>180</v>
      </c>
      <c r="Y228" s="1">
        <f>Table1[[#This Row],[Revenue]]-Table1[[#This Row],[COGS]]</f>
        <v>2152.5</v>
      </c>
      <c r="Z228" s="3">
        <f>(Table1[[#This Row],[Profit]]/Table1[[#This Row],[Revenue]])</f>
        <v>0.28500496524329694</v>
      </c>
      <c r="AA228" s="1">
        <f>Table1[[#This Row],[Profit]]-Table1[[#This Row],[Total Shipping]]</f>
        <v>1252.5</v>
      </c>
      <c r="AB228" s="3">
        <f>Table1[[#This Row],[Operating Profit]]/Table1[[#This Row],[Revenue]]</f>
        <v>0.16583912611717974</v>
      </c>
    </row>
    <row r="229" spans="1:28" x14ac:dyDescent="0.25">
      <c r="A229" t="s">
        <v>167</v>
      </c>
      <c r="B229">
        <v>256</v>
      </c>
      <c r="C229" t="s">
        <v>71</v>
      </c>
      <c r="D229" t="s">
        <v>39</v>
      </c>
      <c r="E229" t="s">
        <v>31</v>
      </c>
      <c r="F229" t="s">
        <v>90</v>
      </c>
      <c r="G229" t="str" cm="1">
        <f t="array" ref="G229">_xlfn.SWITCH(F229,"Acme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229" t="s">
        <v>33</v>
      </c>
      <c r="I229" t="s">
        <v>42</v>
      </c>
      <c r="J229" t="str" cm="1">
        <f t="array" ref="J229">_xlfn.SWITCH(I229,"P001","Laptop","P002","Server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29" s="1" cm="1">
        <f t="array" ref="K229">_xlfn.SWITCH(Table1[[#This Row],[Product ID]],"P001",220,"P002",150,"P003",130,"P004",70,"P005",200,"P006",40,"P007",25,"P008",20,"P009",190,"P010",530)</f>
        <v>40</v>
      </c>
      <c r="L229">
        <v>3</v>
      </c>
      <c r="M229" s="1">
        <f>Table1[[#This Row],[Unit Price]]*Table1[[#This Row],[Quantity]]</f>
        <v>120</v>
      </c>
      <c r="N229" s="2">
        <v>0.05</v>
      </c>
      <c r="O229" s="1">
        <f>Table1[[#This Row],[Gross Value]]*(1-Table1[[#This Row],[Discount]])</f>
        <v>114</v>
      </c>
      <c r="P229" s="2">
        <v>0.2</v>
      </c>
      <c r="Q229" s="1">
        <f>Table1[[#This Row],[Revenue]]*Table1[[#This Row],[VAT Rate]]</f>
        <v>22.8</v>
      </c>
      <c r="R229" s="1">
        <f>Table1[[#This Row],[Revenue]]+Table1[[#This Row],[VAT Charged]]</f>
        <v>136.80000000000001</v>
      </c>
      <c r="S229" s="1" cm="1">
        <f t="array" ref="S229">_xlfn.SWITCH(Table1[[#This Row],[Product ID]],"P001",140,"P002",80,"P003",72,"P004",30,"P005",110,"P006",24,"P007",14,"P008",12,"P009",115,"P010",360)</f>
        <v>24</v>
      </c>
      <c r="T229" s="1" cm="1">
        <f t="array" ref="T229">(_xlfn.SWITCH(Table1[[#This Row],[Product ID]],"P001",140,"P002",80,"P003",72,"P004",30,"P005",110,"P006",24,"P007",14,"P008",12,"P009",115,"P010",360))*Table1[[#This Row],[Quantity]]</f>
        <v>72</v>
      </c>
      <c r="U229" s="1" cm="1">
        <f t="array" ref="U229">_xlfn.SWITCH(Table1[[#This Row],[Product ID]],"P001",15,"P002",0,"P003",8,"P004",8,"P005",0,"P006",7,"P007",7,"P008",6,"P009",45,"P010",60)</f>
        <v>7</v>
      </c>
      <c r="V229" s="1">
        <f>Table1[[#This Row],[Shipping per Unit]]*Table1[[#This Row],[Quantity]]</f>
        <v>21</v>
      </c>
      <c r="W229" s="2">
        <f>IF(Table1[[#This Row],[Total Shipping]]&gt;0.1,0.2,0)</f>
        <v>0.2</v>
      </c>
      <c r="X229" s="4">
        <f>Table1[[#This Row],[Total Shipping]]*Table1[[#This Row],[VAT on Shipping]]</f>
        <v>4.2</v>
      </c>
      <c r="Y229" s="1">
        <f>Table1[[#This Row],[Revenue]]-Table1[[#This Row],[COGS]]</f>
        <v>42</v>
      </c>
      <c r="Z229" s="3">
        <f>(Table1[[#This Row],[Profit]]/Table1[[#This Row],[Revenue]])</f>
        <v>0.36842105263157893</v>
      </c>
      <c r="AA229" s="1">
        <f>Table1[[#This Row],[Profit]]-Table1[[#This Row],[Total Shipping]]</f>
        <v>21</v>
      </c>
      <c r="AB229" s="3">
        <f>Table1[[#This Row],[Operating Profit]]/Table1[[#This Row],[Revenue]]</f>
        <v>0.18421052631578946</v>
      </c>
    </row>
    <row r="230" spans="1:28" x14ac:dyDescent="0.25">
      <c r="A230" t="s">
        <v>167</v>
      </c>
      <c r="B230">
        <v>456</v>
      </c>
      <c r="C230" t="s">
        <v>38</v>
      </c>
      <c r="D230" t="s">
        <v>30</v>
      </c>
      <c r="E230" t="s">
        <v>31</v>
      </c>
      <c r="F230" t="s">
        <v>37</v>
      </c>
      <c r="G230" t="str" cm="1">
        <f t="array" ref="G230">_xlfn.SWITCH(F230,"Acme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230" t="s">
        <v>104</v>
      </c>
      <c r="I230" t="s">
        <v>34</v>
      </c>
      <c r="J230" t="str" cm="1">
        <f t="array" ref="J230">_xlfn.SWITCH(I230,"P001","Laptop","P002","Server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30" s="1" cm="1">
        <f t="array" ref="K230">_xlfn.SWITCH(Table1[[#This Row],[Product ID]],"P001",220,"P002",150,"P003",130,"P004",70,"P005",200,"P006",40,"P007",25,"P008",20,"P009",190,"P010",530)</f>
        <v>20</v>
      </c>
      <c r="L230">
        <v>4</v>
      </c>
      <c r="M230" s="1">
        <f>Table1[[#This Row],[Unit Price]]*Table1[[#This Row],[Quantity]]</f>
        <v>80</v>
      </c>
      <c r="N230" s="2">
        <v>0.04</v>
      </c>
      <c r="O230" s="1">
        <f>Table1[[#This Row],[Gross Value]]*(1-Table1[[#This Row],[Discount]])</f>
        <v>76.8</v>
      </c>
      <c r="P230" s="2">
        <v>0.2</v>
      </c>
      <c r="Q230" s="1">
        <f>Table1[[#This Row],[Revenue]]*Table1[[#This Row],[VAT Rate]]</f>
        <v>15.36</v>
      </c>
      <c r="R230" s="1">
        <f>Table1[[#This Row],[Revenue]]+Table1[[#This Row],[VAT Charged]]</f>
        <v>92.16</v>
      </c>
      <c r="S230" s="1" cm="1">
        <f t="array" ref="S230">_xlfn.SWITCH(Table1[[#This Row],[Product ID]],"P001",140,"P002",80,"P003",72,"P004",30,"P005",110,"P006",24,"P007",14,"P008",12,"P009",115,"P010",360)</f>
        <v>12</v>
      </c>
      <c r="T230" s="1" cm="1">
        <f t="array" ref="T230">(_xlfn.SWITCH(Table1[[#This Row],[Product ID]],"P001",140,"P002",80,"P003",72,"P004",30,"P005",110,"P006",24,"P007",14,"P008",12,"P009",115,"P010",360))*Table1[[#This Row],[Quantity]]</f>
        <v>48</v>
      </c>
      <c r="U230" s="1" cm="1">
        <f t="array" ref="U230">_xlfn.SWITCH(Table1[[#This Row],[Product ID]],"P001",15,"P002",0,"P003",8,"P004",8,"P005",0,"P006",7,"P007",7,"P008",6,"P009",45,"P010",60)</f>
        <v>6</v>
      </c>
      <c r="V230" s="1">
        <f>Table1[[#This Row],[Shipping per Unit]]*Table1[[#This Row],[Quantity]]</f>
        <v>24</v>
      </c>
      <c r="W230" s="2">
        <f>IF(Table1[[#This Row],[Total Shipping]]&gt;0.1,0.2,0)</f>
        <v>0.2</v>
      </c>
      <c r="X230" s="4">
        <f>Table1[[#This Row],[Total Shipping]]*Table1[[#This Row],[VAT on Shipping]]</f>
        <v>4.8000000000000007</v>
      </c>
      <c r="Y230" s="1">
        <f>Table1[[#This Row],[Revenue]]-Table1[[#This Row],[COGS]]</f>
        <v>28.799999999999997</v>
      </c>
      <c r="Z230" s="3">
        <f>(Table1[[#This Row],[Profit]]/Table1[[#This Row],[Revenue]])</f>
        <v>0.375</v>
      </c>
      <c r="AA230" s="1">
        <f>Table1[[#This Row],[Profit]]-Table1[[#This Row],[Total Shipping]]</f>
        <v>4.7999999999999972</v>
      </c>
      <c r="AB230" s="3">
        <f>Table1[[#This Row],[Operating Profit]]/Table1[[#This Row],[Revenue]]</f>
        <v>6.2499999999999965E-2</v>
      </c>
    </row>
    <row r="231" spans="1:28" x14ac:dyDescent="0.25">
      <c r="A231" t="s">
        <v>167</v>
      </c>
      <c r="B231">
        <v>479</v>
      </c>
      <c r="C231" t="s">
        <v>38</v>
      </c>
      <c r="D231" t="s">
        <v>39</v>
      </c>
      <c r="E231" t="s">
        <v>31</v>
      </c>
      <c r="F231" t="s">
        <v>74</v>
      </c>
      <c r="G231" t="str" cm="1">
        <f t="array" ref="G231">_xlfn.SWITCH(F231,"Acme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231" t="s">
        <v>33</v>
      </c>
      <c r="I231" t="s">
        <v>70</v>
      </c>
      <c r="J231" t="str" cm="1">
        <f t="array" ref="J231">_xlfn.SWITCH(I231,"P001","Laptop","P002","Server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31" s="1" cm="1">
        <f t="array" ref="K231">_xlfn.SWITCH(Table1[[#This Row],[Product ID]],"P001",220,"P002",150,"P003",130,"P004",70,"P005",200,"P006",40,"P007",25,"P008",20,"P009",190,"P010",530)</f>
        <v>150</v>
      </c>
      <c r="L231">
        <v>6</v>
      </c>
      <c r="M231" s="1">
        <f>Table1[[#This Row],[Unit Price]]*Table1[[#This Row],[Quantity]]</f>
        <v>900</v>
      </c>
      <c r="N231" s="2">
        <v>0.05</v>
      </c>
      <c r="O231" s="1">
        <f>Table1[[#This Row],[Gross Value]]*(1-Table1[[#This Row],[Discount]])</f>
        <v>855</v>
      </c>
      <c r="P231" s="2">
        <v>0.2</v>
      </c>
      <c r="Q231" s="1">
        <f>Table1[[#This Row],[Revenue]]*Table1[[#This Row],[VAT Rate]]</f>
        <v>171</v>
      </c>
      <c r="R231" s="1">
        <f>Table1[[#This Row],[Revenue]]+Table1[[#This Row],[VAT Charged]]</f>
        <v>1026</v>
      </c>
      <c r="S231" s="1" cm="1">
        <f t="array" ref="S231">_xlfn.SWITCH(Table1[[#This Row],[Product ID]],"P001",140,"P002",80,"P003",72,"P004",30,"P005",110,"P006",24,"P007",14,"P008",12,"P009",115,"P010",360)</f>
        <v>80</v>
      </c>
      <c r="T231" s="1" cm="1">
        <f t="array" ref="T231">(_xlfn.SWITCH(Table1[[#This Row],[Product ID]],"P001",140,"P002",80,"P003",72,"P004",30,"P005",110,"P006",24,"P007",14,"P008",12,"P009",115,"P010",360))*Table1[[#This Row],[Quantity]]</f>
        <v>480</v>
      </c>
      <c r="U231" s="1" cm="1">
        <f t="array" ref="U231">_xlfn.SWITCH(Table1[[#This Row],[Product ID]],"P001",15,"P002",0,"P003",8,"P004",8,"P005",0,"P006",7,"P007",7,"P008",6,"P009",45,"P010",60)</f>
        <v>0</v>
      </c>
      <c r="V231" s="1">
        <f>Table1[[#This Row],[Shipping per Unit]]*Table1[[#This Row],[Quantity]]</f>
        <v>0</v>
      </c>
      <c r="W231" s="2">
        <f>IF(Table1[[#This Row],[Total Shipping]]&gt;0.1,0.2,0)</f>
        <v>0</v>
      </c>
      <c r="X231" s="4">
        <f>Table1[[#This Row],[Total Shipping]]*Table1[[#This Row],[VAT on Shipping]]</f>
        <v>0</v>
      </c>
      <c r="Y231" s="1">
        <f>Table1[[#This Row],[Revenue]]-Table1[[#This Row],[COGS]]</f>
        <v>375</v>
      </c>
      <c r="Z231" s="3">
        <f>(Table1[[#This Row],[Profit]]/Table1[[#This Row],[Revenue]])</f>
        <v>0.43859649122807015</v>
      </c>
      <c r="AA231" s="1">
        <f>Table1[[#This Row],[Profit]]-Table1[[#This Row],[Total Shipping]]</f>
        <v>375</v>
      </c>
      <c r="AB231" s="3">
        <f>Table1[[#This Row],[Operating Profit]]/Table1[[#This Row],[Revenue]]</f>
        <v>0.43859649122807015</v>
      </c>
    </row>
    <row r="232" spans="1:28" x14ac:dyDescent="0.25">
      <c r="A232" t="s">
        <v>168</v>
      </c>
      <c r="B232">
        <v>8</v>
      </c>
      <c r="C232" t="s">
        <v>65</v>
      </c>
      <c r="D232" t="s">
        <v>48</v>
      </c>
      <c r="E232" t="s">
        <v>31</v>
      </c>
      <c r="F232" t="s">
        <v>64</v>
      </c>
      <c r="G232" t="str" cm="1">
        <f t="array" ref="G232">_xlfn.SWITCH(F232,"Acme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232" t="s">
        <v>58</v>
      </c>
      <c r="I232" t="s">
        <v>75</v>
      </c>
      <c r="J232" t="str" cm="1">
        <f t="array" ref="J232">_xlfn.SWITCH(I232,"P001","Laptop","P002","Server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232" s="1" cm="1">
        <f t="array" ref="K232">_xlfn.SWITCH(Table1[[#This Row],[Product ID]],"P001",220,"P002",150,"P003",130,"P004",70,"P005",200,"P006",40,"P007",25,"P008",20,"P009",190,"P010",530)</f>
        <v>200</v>
      </c>
      <c r="L232">
        <v>15</v>
      </c>
      <c r="M232" s="1">
        <f>Table1[[#This Row],[Unit Price]]*Table1[[#This Row],[Quantity]]</f>
        <v>3000</v>
      </c>
      <c r="N232" s="2">
        <v>0.05</v>
      </c>
      <c r="O232" s="1">
        <f>Table1[[#This Row],[Gross Value]]*(1-Table1[[#This Row],[Discount]])</f>
        <v>2850</v>
      </c>
      <c r="P232" s="2">
        <v>0.2</v>
      </c>
      <c r="Q232" s="1">
        <f>Table1[[#This Row],[Revenue]]*Table1[[#This Row],[VAT Rate]]</f>
        <v>570</v>
      </c>
      <c r="R232" s="1">
        <f>Table1[[#This Row],[Revenue]]+Table1[[#This Row],[VAT Charged]]</f>
        <v>3420</v>
      </c>
      <c r="S232" s="1" cm="1">
        <f t="array" ref="S232">_xlfn.SWITCH(Table1[[#This Row],[Product ID]],"P001",140,"P002",80,"P003",72,"P004",30,"P005",110,"P006",24,"P007",14,"P008",12,"P009",115,"P010",360)</f>
        <v>110</v>
      </c>
      <c r="T232" s="1" cm="1">
        <f t="array" ref="T232">(_xlfn.SWITCH(Table1[[#This Row],[Product ID]],"P001",140,"P002",80,"P003",72,"P004",30,"P005",110,"P006",24,"P007",14,"P008",12,"P009",115,"P010",360))*Table1[[#This Row],[Quantity]]</f>
        <v>1650</v>
      </c>
      <c r="U232" s="1" cm="1">
        <f t="array" ref="U232">_xlfn.SWITCH(Table1[[#This Row],[Product ID]],"P001",15,"P002",0,"P003",8,"P004",8,"P005",0,"P006",7,"P007",7,"P008",6,"P009",45,"P010",60)</f>
        <v>0</v>
      </c>
      <c r="V232" s="1">
        <f>Table1[[#This Row],[Shipping per Unit]]*Table1[[#This Row],[Quantity]]</f>
        <v>0</v>
      </c>
      <c r="W232" s="2">
        <f>IF(Table1[[#This Row],[Total Shipping]]&gt;0.1,0.2,0)</f>
        <v>0</v>
      </c>
      <c r="X232" s="4">
        <f>Table1[[#This Row],[Total Shipping]]*Table1[[#This Row],[VAT on Shipping]]</f>
        <v>0</v>
      </c>
      <c r="Y232" s="1">
        <f>Table1[[#This Row],[Revenue]]-Table1[[#This Row],[COGS]]</f>
        <v>1200</v>
      </c>
      <c r="Z232" s="3">
        <f>(Table1[[#This Row],[Profit]]/Table1[[#This Row],[Revenue]])</f>
        <v>0.42105263157894735</v>
      </c>
      <c r="AA232" s="1">
        <f>Table1[[#This Row],[Profit]]-Table1[[#This Row],[Total Shipping]]</f>
        <v>1200</v>
      </c>
      <c r="AB232" s="3">
        <f>Table1[[#This Row],[Operating Profit]]/Table1[[#This Row],[Revenue]]</f>
        <v>0.42105263157894735</v>
      </c>
    </row>
    <row r="233" spans="1:28" x14ac:dyDescent="0.25">
      <c r="A233" t="s">
        <v>168</v>
      </c>
      <c r="B233">
        <v>50</v>
      </c>
      <c r="C233" t="s">
        <v>35</v>
      </c>
      <c r="D233" t="s">
        <v>53</v>
      </c>
      <c r="E233" t="s">
        <v>49</v>
      </c>
      <c r="F233" t="s">
        <v>79</v>
      </c>
      <c r="G233" t="str" cm="1">
        <f t="array" ref="G233">_xlfn.SWITCH(F233,"Acme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233" t="s">
        <v>45</v>
      </c>
      <c r="I233" t="s">
        <v>91</v>
      </c>
      <c r="J233" t="str" cm="1">
        <f t="array" ref="J233">_xlfn.SWITCH(I233,"P001","Laptop","P002","Server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33" s="1" cm="1">
        <f t="array" ref="K233">_xlfn.SWITCH(Table1[[#This Row],[Product ID]],"P001",220,"P002",150,"P003",130,"P004",70,"P005",200,"P006",40,"P007",25,"P008",20,"P009",190,"P010",530)</f>
        <v>190</v>
      </c>
      <c r="L233">
        <v>7</v>
      </c>
      <c r="M233" s="1">
        <f>Table1[[#This Row],[Unit Price]]*Table1[[#This Row],[Quantity]]</f>
        <v>1330</v>
      </c>
      <c r="N233" s="2">
        <v>0.06</v>
      </c>
      <c r="O233" s="1">
        <f>Table1[[#This Row],[Gross Value]]*(1-Table1[[#This Row],[Discount]])</f>
        <v>1250.1999999999998</v>
      </c>
      <c r="P233" s="2">
        <v>0.2</v>
      </c>
      <c r="Q233" s="1">
        <f>Table1[[#This Row],[Revenue]]*Table1[[#This Row],[VAT Rate]]</f>
        <v>250.03999999999996</v>
      </c>
      <c r="R233" s="1">
        <f>Table1[[#This Row],[Revenue]]+Table1[[#This Row],[VAT Charged]]</f>
        <v>1500.2399999999998</v>
      </c>
      <c r="S233" s="1" cm="1">
        <f t="array" ref="S233">_xlfn.SWITCH(Table1[[#This Row],[Product ID]],"P001",140,"P002",80,"P003",72,"P004",30,"P005",110,"P006",24,"P007",14,"P008",12,"P009",115,"P010",360)</f>
        <v>115</v>
      </c>
      <c r="T233" s="1" cm="1">
        <f t="array" ref="T233">(_xlfn.SWITCH(Table1[[#This Row],[Product ID]],"P001",140,"P002",80,"P003",72,"P004",30,"P005",110,"P006",24,"P007",14,"P008",12,"P009",115,"P010",360))*Table1[[#This Row],[Quantity]]</f>
        <v>805</v>
      </c>
      <c r="U233" s="1" cm="1">
        <f t="array" ref="U233">_xlfn.SWITCH(Table1[[#This Row],[Product ID]],"P001",15,"P002",0,"P003",8,"P004",8,"P005",0,"P006",7,"P007",7,"P008",6,"P009",45,"P010",60)</f>
        <v>45</v>
      </c>
      <c r="V233" s="1">
        <f>Table1[[#This Row],[Shipping per Unit]]*Table1[[#This Row],[Quantity]]</f>
        <v>315</v>
      </c>
      <c r="W233" s="2">
        <f>IF(Table1[[#This Row],[Total Shipping]]&gt;0.1,0.2,0)</f>
        <v>0.2</v>
      </c>
      <c r="X233" s="4">
        <f>Table1[[#This Row],[Total Shipping]]*Table1[[#This Row],[VAT on Shipping]]</f>
        <v>63</v>
      </c>
      <c r="Y233" s="1">
        <f>Table1[[#This Row],[Revenue]]-Table1[[#This Row],[COGS]]</f>
        <v>445.19999999999982</v>
      </c>
      <c r="Z233" s="3">
        <f>(Table1[[#This Row],[Profit]]/Table1[[#This Row],[Revenue]])</f>
        <v>0.35610302351623729</v>
      </c>
      <c r="AA233" s="1">
        <f>Table1[[#This Row],[Profit]]-Table1[[#This Row],[Total Shipping]]</f>
        <v>130.19999999999982</v>
      </c>
      <c r="AB233" s="3">
        <f>Table1[[#This Row],[Operating Profit]]/Table1[[#This Row],[Revenue]]</f>
        <v>0.10414333706606931</v>
      </c>
    </row>
    <row r="234" spans="1:28" x14ac:dyDescent="0.25">
      <c r="A234" t="s">
        <v>168</v>
      </c>
      <c r="B234">
        <v>369</v>
      </c>
      <c r="C234" t="s">
        <v>35</v>
      </c>
      <c r="D234" t="s">
        <v>39</v>
      </c>
      <c r="E234" t="s">
        <v>40</v>
      </c>
      <c r="F234" t="s">
        <v>92</v>
      </c>
      <c r="G234" t="str" cm="1">
        <f t="array" ref="G234">_xlfn.SWITCH(F234,"Acme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234" t="s">
        <v>45</v>
      </c>
      <c r="I234" t="s">
        <v>42</v>
      </c>
      <c r="J234" t="str" cm="1">
        <f t="array" ref="J234">_xlfn.SWITCH(I234,"P001","Laptop","P002","Server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34" s="1" cm="1">
        <f t="array" ref="K234">_xlfn.SWITCH(Table1[[#This Row],[Product ID]],"P001",220,"P002",150,"P003",130,"P004",70,"P005",200,"P006",40,"P007",25,"P008",20,"P009",190,"P010",530)</f>
        <v>40</v>
      </c>
      <c r="L234">
        <v>3</v>
      </c>
      <c r="M234" s="1">
        <f>Table1[[#This Row],[Unit Price]]*Table1[[#This Row],[Quantity]]</f>
        <v>120</v>
      </c>
      <c r="N234" s="2">
        <v>0.05</v>
      </c>
      <c r="O234" s="1">
        <f>Table1[[#This Row],[Gross Value]]*(1-Table1[[#This Row],[Discount]])</f>
        <v>114</v>
      </c>
      <c r="P234" s="2">
        <v>0.2</v>
      </c>
      <c r="Q234" s="1">
        <f>Table1[[#This Row],[Revenue]]*Table1[[#This Row],[VAT Rate]]</f>
        <v>22.8</v>
      </c>
      <c r="R234" s="1">
        <f>Table1[[#This Row],[Revenue]]+Table1[[#This Row],[VAT Charged]]</f>
        <v>136.80000000000001</v>
      </c>
      <c r="S234" s="1" cm="1">
        <f t="array" ref="S234">_xlfn.SWITCH(Table1[[#This Row],[Product ID]],"P001",140,"P002",80,"P003",72,"P004",30,"P005",110,"P006",24,"P007",14,"P008",12,"P009",115,"P010",360)</f>
        <v>24</v>
      </c>
      <c r="T234" s="1" cm="1">
        <f t="array" ref="T234">(_xlfn.SWITCH(Table1[[#This Row],[Product ID]],"P001",140,"P002",80,"P003",72,"P004",30,"P005",110,"P006",24,"P007",14,"P008",12,"P009",115,"P010",360))*Table1[[#This Row],[Quantity]]</f>
        <v>72</v>
      </c>
      <c r="U234" s="1" cm="1">
        <f t="array" ref="U234">_xlfn.SWITCH(Table1[[#This Row],[Product ID]],"P001",15,"P002",0,"P003",8,"P004",8,"P005",0,"P006",7,"P007",7,"P008",6,"P009",45,"P010",60)</f>
        <v>7</v>
      </c>
      <c r="V234" s="1">
        <f>Table1[[#This Row],[Shipping per Unit]]*Table1[[#This Row],[Quantity]]</f>
        <v>21</v>
      </c>
      <c r="W234" s="2">
        <f>IF(Table1[[#This Row],[Total Shipping]]&gt;0.1,0.2,0)</f>
        <v>0.2</v>
      </c>
      <c r="X234" s="4">
        <f>Table1[[#This Row],[Total Shipping]]*Table1[[#This Row],[VAT on Shipping]]</f>
        <v>4.2</v>
      </c>
      <c r="Y234" s="1">
        <f>Table1[[#This Row],[Revenue]]-Table1[[#This Row],[COGS]]</f>
        <v>42</v>
      </c>
      <c r="Z234" s="3">
        <f>(Table1[[#This Row],[Profit]]/Table1[[#This Row],[Revenue]])</f>
        <v>0.36842105263157893</v>
      </c>
      <c r="AA234" s="1">
        <f>Table1[[#This Row],[Profit]]-Table1[[#This Row],[Total Shipping]]</f>
        <v>21</v>
      </c>
      <c r="AB234" s="3">
        <f>Table1[[#This Row],[Operating Profit]]/Table1[[#This Row],[Revenue]]</f>
        <v>0.18421052631578946</v>
      </c>
    </row>
    <row r="235" spans="1:28" x14ac:dyDescent="0.25">
      <c r="A235" t="s">
        <v>169</v>
      </c>
      <c r="B235">
        <v>750</v>
      </c>
      <c r="C235" t="s">
        <v>62</v>
      </c>
      <c r="D235" t="s">
        <v>67</v>
      </c>
      <c r="E235" t="s">
        <v>40</v>
      </c>
      <c r="F235" t="s">
        <v>98</v>
      </c>
      <c r="G235" t="str" cm="1">
        <f t="array" ref="G235">_xlfn.SWITCH(F235,"Acme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235" t="s">
        <v>33</v>
      </c>
      <c r="I235" t="s">
        <v>42</v>
      </c>
      <c r="J235" t="str" cm="1">
        <f t="array" ref="J235">_xlfn.SWITCH(I235,"P001","Laptop","P002","Server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35" s="1" cm="1">
        <f t="array" ref="K235">_xlfn.SWITCH(Table1[[#This Row],[Product ID]],"P001",220,"P002",150,"P003",130,"P004",70,"P005",200,"P006",40,"P007",25,"P008",20,"P009",190,"P010",530)</f>
        <v>40</v>
      </c>
      <c r="L235">
        <v>8</v>
      </c>
      <c r="M235" s="1">
        <f>Table1[[#This Row],[Unit Price]]*Table1[[#This Row],[Quantity]]</f>
        <v>320</v>
      </c>
      <c r="N235" s="2">
        <v>0.08</v>
      </c>
      <c r="O235" s="1">
        <f>Table1[[#This Row],[Gross Value]]*(1-Table1[[#This Row],[Discount]])</f>
        <v>294.40000000000003</v>
      </c>
      <c r="P235" s="2">
        <v>0.2</v>
      </c>
      <c r="Q235" s="1">
        <f>Table1[[#This Row],[Revenue]]*Table1[[#This Row],[VAT Rate]]</f>
        <v>58.88000000000001</v>
      </c>
      <c r="R235" s="1">
        <f>Table1[[#This Row],[Revenue]]+Table1[[#This Row],[VAT Charged]]</f>
        <v>353.28000000000003</v>
      </c>
      <c r="S235" s="1" cm="1">
        <f t="array" ref="S235">_xlfn.SWITCH(Table1[[#This Row],[Product ID]],"P001",140,"P002",80,"P003",72,"P004",30,"P005",110,"P006",24,"P007",14,"P008",12,"P009",115,"P010",360)</f>
        <v>24</v>
      </c>
      <c r="T235" s="1" cm="1">
        <f t="array" ref="T235">(_xlfn.SWITCH(Table1[[#This Row],[Product ID]],"P001",140,"P002",80,"P003",72,"P004",30,"P005",110,"P006",24,"P007",14,"P008",12,"P009",115,"P010",360))*Table1[[#This Row],[Quantity]]</f>
        <v>192</v>
      </c>
      <c r="U235" s="1" cm="1">
        <f t="array" ref="U235">_xlfn.SWITCH(Table1[[#This Row],[Product ID]],"P001",15,"P002",0,"P003",8,"P004",8,"P005",0,"P006",7,"P007",7,"P008",6,"P009",45,"P010",60)</f>
        <v>7</v>
      </c>
      <c r="V235" s="1">
        <f>Table1[[#This Row],[Shipping per Unit]]*Table1[[#This Row],[Quantity]]</f>
        <v>56</v>
      </c>
      <c r="W235" s="2">
        <f>IF(Table1[[#This Row],[Total Shipping]]&gt;0.1,0.2,0)</f>
        <v>0.2</v>
      </c>
      <c r="X235" s="4">
        <f>Table1[[#This Row],[Total Shipping]]*Table1[[#This Row],[VAT on Shipping]]</f>
        <v>11.200000000000001</v>
      </c>
      <c r="Y235" s="1">
        <f>Table1[[#This Row],[Revenue]]-Table1[[#This Row],[COGS]]</f>
        <v>102.40000000000003</v>
      </c>
      <c r="Z235" s="3">
        <f>(Table1[[#This Row],[Profit]]/Table1[[#This Row],[Revenue]])</f>
        <v>0.34782608695652184</v>
      </c>
      <c r="AA235" s="1">
        <f>Table1[[#This Row],[Profit]]-Table1[[#This Row],[Total Shipping]]</f>
        <v>46.400000000000034</v>
      </c>
      <c r="AB235" s="3">
        <f>Table1[[#This Row],[Operating Profit]]/Table1[[#This Row],[Revenue]]</f>
        <v>0.157608695652174</v>
      </c>
    </row>
    <row r="236" spans="1:28" x14ac:dyDescent="0.25">
      <c r="A236" t="s">
        <v>170</v>
      </c>
      <c r="B236">
        <v>663</v>
      </c>
      <c r="C236" t="s">
        <v>29</v>
      </c>
      <c r="D236" t="s">
        <v>67</v>
      </c>
      <c r="E236" t="s">
        <v>31</v>
      </c>
      <c r="F236" t="s">
        <v>90</v>
      </c>
      <c r="G236" t="str" cm="1">
        <f t="array" ref="G236">_xlfn.SWITCH(F236,"Acme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236" t="s">
        <v>51</v>
      </c>
      <c r="I236" t="s">
        <v>34</v>
      </c>
      <c r="J236" t="str" cm="1">
        <f t="array" ref="J236">_xlfn.SWITCH(I236,"P001","Laptop","P002","Server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36" s="1" cm="1">
        <f t="array" ref="K236">_xlfn.SWITCH(Table1[[#This Row],[Product ID]],"P001",220,"P002",150,"P003",130,"P004",70,"P005",200,"P006",40,"P007",25,"P008",20,"P009",190,"P010",530)</f>
        <v>20</v>
      </c>
      <c r="L236">
        <v>5</v>
      </c>
      <c r="M236" s="1">
        <f>Table1[[#This Row],[Unit Price]]*Table1[[#This Row],[Quantity]]</f>
        <v>100</v>
      </c>
      <c r="N236" s="2">
        <v>0.01</v>
      </c>
      <c r="O236" s="1">
        <f>Table1[[#This Row],[Gross Value]]*(1-Table1[[#This Row],[Discount]])</f>
        <v>99</v>
      </c>
      <c r="P236" s="2">
        <v>0.2</v>
      </c>
      <c r="Q236" s="1">
        <f>Table1[[#This Row],[Revenue]]*Table1[[#This Row],[VAT Rate]]</f>
        <v>19.8</v>
      </c>
      <c r="R236" s="1">
        <f>Table1[[#This Row],[Revenue]]+Table1[[#This Row],[VAT Charged]]</f>
        <v>118.8</v>
      </c>
      <c r="S236" s="1" cm="1">
        <f t="array" ref="S236">_xlfn.SWITCH(Table1[[#This Row],[Product ID]],"P001",140,"P002",80,"P003",72,"P004",30,"P005",110,"P006",24,"P007",14,"P008",12,"P009",115,"P010",360)</f>
        <v>12</v>
      </c>
      <c r="T236" s="1" cm="1">
        <f t="array" ref="T236">(_xlfn.SWITCH(Table1[[#This Row],[Product ID]],"P001",140,"P002",80,"P003",72,"P004",30,"P005",110,"P006",24,"P007",14,"P008",12,"P009",115,"P010",360))*Table1[[#This Row],[Quantity]]</f>
        <v>60</v>
      </c>
      <c r="U236" s="1" cm="1">
        <f t="array" ref="U236">_xlfn.SWITCH(Table1[[#This Row],[Product ID]],"P001",15,"P002",0,"P003",8,"P004",8,"P005",0,"P006",7,"P007",7,"P008",6,"P009",45,"P010",60)</f>
        <v>6</v>
      </c>
      <c r="V236" s="1">
        <f>Table1[[#This Row],[Shipping per Unit]]*Table1[[#This Row],[Quantity]]</f>
        <v>30</v>
      </c>
      <c r="W236" s="2">
        <f>IF(Table1[[#This Row],[Total Shipping]]&gt;0.1,0.2,0)</f>
        <v>0.2</v>
      </c>
      <c r="X236" s="4">
        <f>Table1[[#This Row],[Total Shipping]]*Table1[[#This Row],[VAT on Shipping]]</f>
        <v>6</v>
      </c>
      <c r="Y236" s="1">
        <f>Table1[[#This Row],[Revenue]]-Table1[[#This Row],[COGS]]</f>
        <v>39</v>
      </c>
      <c r="Z236" s="3">
        <f>(Table1[[#This Row],[Profit]]/Table1[[#This Row],[Revenue]])</f>
        <v>0.39393939393939392</v>
      </c>
      <c r="AA236" s="1">
        <f>Table1[[#This Row],[Profit]]-Table1[[#This Row],[Total Shipping]]</f>
        <v>9</v>
      </c>
      <c r="AB236" s="3">
        <f>Table1[[#This Row],[Operating Profit]]/Table1[[#This Row],[Revenue]]</f>
        <v>9.0909090909090912E-2</v>
      </c>
    </row>
    <row r="237" spans="1:28" x14ac:dyDescent="0.25">
      <c r="A237" t="s">
        <v>171</v>
      </c>
      <c r="B237">
        <v>390</v>
      </c>
      <c r="C237" t="s">
        <v>35</v>
      </c>
      <c r="D237" t="s">
        <v>95</v>
      </c>
      <c r="E237" t="s">
        <v>31</v>
      </c>
      <c r="F237" t="s">
        <v>90</v>
      </c>
      <c r="G237" t="str" cm="1">
        <f t="array" ref="G237">_xlfn.SWITCH(F237,"Acme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237" t="s">
        <v>58</v>
      </c>
      <c r="I237" t="s">
        <v>75</v>
      </c>
      <c r="J237" t="str" cm="1">
        <f t="array" ref="J237">_xlfn.SWITCH(I237,"P001","Laptop","P002","Server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237" s="1" cm="1">
        <f t="array" ref="K237">_xlfn.SWITCH(Table1[[#This Row],[Product ID]],"P001",220,"P002",150,"P003",130,"P004",70,"P005",200,"P006",40,"P007",25,"P008",20,"P009",190,"P010",530)</f>
        <v>200</v>
      </c>
      <c r="L237">
        <v>17</v>
      </c>
      <c r="M237" s="1">
        <f>Table1[[#This Row],[Unit Price]]*Table1[[#This Row],[Quantity]]</f>
        <v>3400</v>
      </c>
      <c r="N237" s="2">
        <v>0.08</v>
      </c>
      <c r="O237" s="1">
        <f>Table1[[#This Row],[Gross Value]]*(1-Table1[[#This Row],[Discount]])</f>
        <v>3128</v>
      </c>
      <c r="P237" s="2">
        <v>0.2</v>
      </c>
      <c r="Q237" s="1">
        <f>Table1[[#This Row],[Revenue]]*Table1[[#This Row],[VAT Rate]]</f>
        <v>625.6</v>
      </c>
      <c r="R237" s="1">
        <f>Table1[[#This Row],[Revenue]]+Table1[[#This Row],[VAT Charged]]</f>
        <v>3753.6</v>
      </c>
      <c r="S237" s="1" cm="1">
        <f t="array" ref="S237">_xlfn.SWITCH(Table1[[#This Row],[Product ID]],"P001",140,"P002",80,"P003",72,"P004",30,"P005",110,"P006",24,"P007",14,"P008",12,"P009",115,"P010",360)</f>
        <v>110</v>
      </c>
      <c r="T237" s="1" cm="1">
        <f t="array" ref="T237">(_xlfn.SWITCH(Table1[[#This Row],[Product ID]],"P001",140,"P002",80,"P003",72,"P004",30,"P005",110,"P006",24,"P007",14,"P008",12,"P009",115,"P010",360))*Table1[[#This Row],[Quantity]]</f>
        <v>1870</v>
      </c>
      <c r="U237" s="1" cm="1">
        <f t="array" ref="U237">_xlfn.SWITCH(Table1[[#This Row],[Product ID]],"P001",15,"P002",0,"P003",8,"P004",8,"P005",0,"P006",7,"P007",7,"P008",6,"P009",45,"P010",60)</f>
        <v>0</v>
      </c>
      <c r="V237" s="1">
        <f>Table1[[#This Row],[Shipping per Unit]]*Table1[[#This Row],[Quantity]]</f>
        <v>0</v>
      </c>
      <c r="W237" s="2">
        <f>IF(Table1[[#This Row],[Total Shipping]]&gt;0.1,0.2,0)</f>
        <v>0</v>
      </c>
      <c r="X237" s="4">
        <f>Table1[[#This Row],[Total Shipping]]*Table1[[#This Row],[VAT on Shipping]]</f>
        <v>0</v>
      </c>
      <c r="Y237" s="1">
        <f>Table1[[#This Row],[Revenue]]-Table1[[#This Row],[COGS]]</f>
        <v>1258</v>
      </c>
      <c r="Z237" s="3">
        <f>(Table1[[#This Row],[Profit]]/Table1[[#This Row],[Revenue]])</f>
        <v>0.40217391304347827</v>
      </c>
      <c r="AA237" s="1">
        <f>Table1[[#This Row],[Profit]]-Table1[[#This Row],[Total Shipping]]</f>
        <v>1258</v>
      </c>
      <c r="AB237" s="3">
        <f>Table1[[#This Row],[Operating Profit]]/Table1[[#This Row],[Revenue]]</f>
        <v>0.40217391304347827</v>
      </c>
    </row>
    <row r="238" spans="1:28" x14ac:dyDescent="0.25">
      <c r="A238" t="s">
        <v>171</v>
      </c>
      <c r="B238">
        <v>809</v>
      </c>
      <c r="C238" t="s">
        <v>62</v>
      </c>
      <c r="D238" t="s">
        <v>63</v>
      </c>
      <c r="E238" t="s">
        <v>49</v>
      </c>
      <c r="F238" t="s">
        <v>126</v>
      </c>
      <c r="G238" t="str" cm="1">
        <f t="array" ref="G238">_xlfn.SWITCH(F238,"Acme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238" t="s">
        <v>45</v>
      </c>
      <c r="I238" t="s">
        <v>60</v>
      </c>
      <c r="J238" t="str" cm="1">
        <f t="array" ref="J238">_xlfn.SWITCH(I238,"P001","Laptop","P002","Server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38" s="1" cm="1">
        <f t="array" ref="K238">_xlfn.SWITCH(Table1[[#This Row],[Product ID]],"P001",220,"P002",150,"P003",130,"P004",70,"P005",200,"P006",40,"P007",25,"P008",20,"P009",190,"P010",530)</f>
        <v>25</v>
      </c>
      <c r="L238">
        <v>17</v>
      </c>
      <c r="M238" s="1">
        <f>Table1[[#This Row],[Unit Price]]*Table1[[#This Row],[Quantity]]</f>
        <v>425</v>
      </c>
      <c r="N238" s="2">
        <v>0.05</v>
      </c>
      <c r="O238" s="1">
        <f>Table1[[#This Row],[Gross Value]]*(1-Table1[[#This Row],[Discount]])</f>
        <v>403.75</v>
      </c>
      <c r="P238" s="2">
        <v>0.2</v>
      </c>
      <c r="Q238" s="1">
        <f>Table1[[#This Row],[Revenue]]*Table1[[#This Row],[VAT Rate]]</f>
        <v>80.75</v>
      </c>
      <c r="R238" s="1">
        <f>Table1[[#This Row],[Revenue]]+Table1[[#This Row],[VAT Charged]]</f>
        <v>484.5</v>
      </c>
      <c r="S238" s="1" cm="1">
        <f t="array" ref="S238">_xlfn.SWITCH(Table1[[#This Row],[Product ID]],"P001",140,"P002",80,"P003",72,"P004",30,"P005",110,"P006",24,"P007",14,"P008",12,"P009",115,"P010",360)</f>
        <v>14</v>
      </c>
      <c r="T238" s="1" cm="1">
        <f t="array" ref="T238">(_xlfn.SWITCH(Table1[[#This Row],[Product ID]],"P001",140,"P002",80,"P003",72,"P004",30,"P005",110,"P006",24,"P007",14,"P008",12,"P009",115,"P010",360))*Table1[[#This Row],[Quantity]]</f>
        <v>238</v>
      </c>
      <c r="U238" s="1" cm="1">
        <f t="array" ref="U238">_xlfn.SWITCH(Table1[[#This Row],[Product ID]],"P001",15,"P002",0,"P003",8,"P004",8,"P005",0,"P006",7,"P007",7,"P008",6,"P009",45,"P010",60)</f>
        <v>7</v>
      </c>
      <c r="V238" s="1">
        <f>Table1[[#This Row],[Shipping per Unit]]*Table1[[#This Row],[Quantity]]</f>
        <v>119</v>
      </c>
      <c r="W238" s="2">
        <f>IF(Table1[[#This Row],[Total Shipping]]&gt;0.1,0.2,0)</f>
        <v>0.2</v>
      </c>
      <c r="X238" s="4">
        <f>Table1[[#This Row],[Total Shipping]]*Table1[[#This Row],[VAT on Shipping]]</f>
        <v>23.8</v>
      </c>
      <c r="Y238" s="1">
        <f>Table1[[#This Row],[Revenue]]-Table1[[#This Row],[COGS]]</f>
        <v>165.75</v>
      </c>
      <c r="Z238" s="3">
        <f>(Table1[[#This Row],[Profit]]/Table1[[#This Row],[Revenue]])</f>
        <v>0.41052631578947368</v>
      </c>
      <c r="AA238" s="1">
        <f>Table1[[#This Row],[Profit]]-Table1[[#This Row],[Total Shipping]]</f>
        <v>46.75</v>
      </c>
      <c r="AB238" s="3">
        <f>Table1[[#This Row],[Operating Profit]]/Table1[[#This Row],[Revenue]]</f>
        <v>0.11578947368421053</v>
      </c>
    </row>
    <row r="239" spans="1:28" x14ac:dyDescent="0.25">
      <c r="A239" t="s">
        <v>171</v>
      </c>
      <c r="B239">
        <v>943</v>
      </c>
      <c r="C239" t="s">
        <v>38</v>
      </c>
      <c r="D239" t="s">
        <v>95</v>
      </c>
      <c r="E239" t="s">
        <v>49</v>
      </c>
      <c r="F239" t="s">
        <v>86</v>
      </c>
      <c r="G239" t="str" cm="1">
        <f t="array" ref="G239">_xlfn.SWITCH(F239,"Acme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239" t="s">
        <v>33</v>
      </c>
      <c r="I239" t="s">
        <v>55</v>
      </c>
      <c r="J239" t="str" cm="1">
        <f t="array" ref="J239">_xlfn.SWITCH(I239,"P001","Laptop","P002","Server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39" s="1" cm="1">
        <f t="array" ref="K239">_xlfn.SWITCH(Table1[[#This Row],[Product ID]],"P001",220,"P002",150,"P003",130,"P004",70,"P005",200,"P006",40,"P007",25,"P008",20,"P009",190,"P010",530)</f>
        <v>70</v>
      </c>
      <c r="L239">
        <v>6</v>
      </c>
      <c r="M239" s="1">
        <f>Table1[[#This Row],[Unit Price]]*Table1[[#This Row],[Quantity]]</f>
        <v>420</v>
      </c>
      <c r="N239" s="2">
        <v>0.03</v>
      </c>
      <c r="O239" s="1">
        <f>Table1[[#This Row],[Gross Value]]*(1-Table1[[#This Row],[Discount]])</f>
        <v>407.4</v>
      </c>
      <c r="P239" s="2">
        <v>0.2</v>
      </c>
      <c r="Q239" s="1">
        <f>Table1[[#This Row],[Revenue]]*Table1[[#This Row],[VAT Rate]]</f>
        <v>81.48</v>
      </c>
      <c r="R239" s="1">
        <f>Table1[[#This Row],[Revenue]]+Table1[[#This Row],[VAT Charged]]</f>
        <v>488.88</v>
      </c>
      <c r="S239" s="1" cm="1">
        <f t="array" ref="S239">_xlfn.SWITCH(Table1[[#This Row],[Product ID]],"P001",140,"P002",80,"P003",72,"P004",30,"P005",110,"P006",24,"P007",14,"P008",12,"P009",115,"P010",360)</f>
        <v>30</v>
      </c>
      <c r="T239" s="1" cm="1">
        <f t="array" ref="T239">(_xlfn.SWITCH(Table1[[#This Row],[Product ID]],"P001",140,"P002",80,"P003",72,"P004",30,"P005",110,"P006",24,"P007",14,"P008",12,"P009",115,"P010",360))*Table1[[#This Row],[Quantity]]</f>
        <v>180</v>
      </c>
      <c r="U239" s="1" cm="1">
        <f t="array" ref="U239">_xlfn.SWITCH(Table1[[#This Row],[Product ID]],"P001",15,"P002",0,"P003",8,"P004",8,"P005",0,"P006",7,"P007",7,"P008",6,"P009",45,"P010",60)</f>
        <v>8</v>
      </c>
      <c r="V239" s="1">
        <f>Table1[[#This Row],[Shipping per Unit]]*Table1[[#This Row],[Quantity]]</f>
        <v>48</v>
      </c>
      <c r="W239" s="2">
        <f>IF(Table1[[#This Row],[Total Shipping]]&gt;0.1,0.2,0)</f>
        <v>0.2</v>
      </c>
      <c r="X239" s="4">
        <f>Table1[[#This Row],[Total Shipping]]*Table1[[#This Row],[VAT on Shipping]]</f>
        <v>9.6000000000000014</v>
      </c>
      <c r="Y239" s="1">
        <f>Table1[[#This Row],[Revenue]]-Table1[[#This Row],[COGS]]</f>
        <v>227.39999999999998</v>
      </c>
      <c r="Z239" s="3">
        <f>(Table1[[#This Row],[Profit]]/Table1[[#This Row],[Revenue]])</f>
        <v>0.5581737849779087</v>
      </c>
      <c r="AA239" s="1">
        <f>Table1[[#This Row],[Profit]]-Table1[[#This Row],[Total Shipping]]</f>
        <v>179.39999999999998</v>
      </c>
      <c r="AB239" s="3">
        <f>Table1[[#This Row],[Operating Profit]]/Table1[[#This Row],[Revenue]]</f>
        <v>0.44035346097201766</v>
      </c>
    </row>
    <row r="240" spans="1:28" x14ac:dyDescent="0.25">
      <c r="A240" t="s">
        <v>172</v>
      </c>
      <c r="B240">
        <v>83</v>
      </c>
      <c r="C240" t="s">
        <v>35</v>
      </c>
      <c r="D240" t="s">
        <v>53</v>
      </c>
      <c r="E240" t="s">
        <v>49</v>
      </c>
      <c r="F240" t="s">
        <v>76</v>
      </c>
      <c r="G240" t="str" cm="1">
        <f t="array" ref="G240">_xlfn.SWITCH(F240,"Acme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240" t="s">
        <v>58</v>
      </c>
      <c r="I240" t="s">
        <v>75</v>
      </c>
      <c r="J240" t="str" cm="1">
        <f t="array" ref="J240">_xlfn.SWITCH(I240,"P001","Laptop","P002","Server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240" s="1" cm="1">
        <f t="array" ref="K240">_xlfn.SWITCH(Table1[[#This Row],[Product ID]],"P001",220,"P002",150,"P003",130,"P004",70,"P005",200,"P006",40,"P007",25,"P008",20,"P009",190,"P010",530)</f>
        <v>200</v>
      </c>
      <c r="L240">
        <v>5</v>
      </c>
      <c r="M240" s="1">
        <f>Table1[[#This Row],[Unit Price]]*Table1[[#This Row],[Quantity]]</f>
        <v>1000</v>
      </c>
      <c r="N240" s="2">
        <v>0.05</v>
      </c>
      <c r="O240" s="1">
        <f>Table1[[#This Row],[Gross Value]]*(1-Table1[[#This Row],[Discount]])</f>
        <v>950</v>
      </c>
      <c r="P240" s="2">
        <v>0.2</v>
      </c>
      <c r="Q240" s="1">
        <f>Table1[[#This Row],[Revenue]]*Table1[[#This Row],[VAT Rate]]</f>
        <v>190</v>
      </c>
      <c r="R240" s="1">
        <f>Table1[[#This Row],[Revenue]]+Table1[[#This Row],[VAT Charged]]</f>
        <v>1140</v>
      </c>
      <c r="S240" s="1" cm="1">
        <f t="array" ref="S240">_xlfn.SWITCH(Table1[[#This Row],[Product ID]],"P001",140,"P002",80,"P003",72,"P004",30,"P005",110,"P006",24,"P007",14,"P008",12,"P009",115,"P010",360)</f>
        <v>110</v>
      </c>
      <c r="T240" s="1" cm="1">
        <f t="array" ref="T240">(_xlfn.SWITCH(Table1[[#This Row],[Product ID]],"P001",140,"P002",80,"P003",72,"P004",30,"P005",110,"P006",24,"P007",14,"P008",12,"P009",115,"P010",360))*Table1[[#This Row],[Quantity]]</f>
        <v>550</v>
      </c>
      <c r="U240" s="1" cm="1">
        <f t="array" ref="U240">_xlfn.SWITCH(Table1[[#This Row],[Product ID]],"P001",15,"P002",0,"P003",8,"P004",8,"P005",0,"P006",7,"P007",7,"P008",6,"P009",45,"P010",60)</f>
        <v>0</v>
      </c>
      <c r="V240" s="1">
        <f>Table1[[#This Row],[Shipping per Unit]]*Table1[[#This Row],[Quantity]]</f>
        <v>0</v>
      </c>
      <c r="W240" s="2">
        <f>IF(Table1[[#This Row],[Total Shipping]]&gt;0.1,0.2,0)</f>
        <v>0</v>
      </c>
      <c r="X240" s="4">
        <f>Table1[[#This Row],[Total Shipping]]*Table1[[#This Row],[VAT on Shipping]]</f>
        <v>0</v>
      </c>
      <c r="Y240" s="1">
        <f>Table1[[#This Row],[Revenue]]-Table1[[#This Row],[COGS]]</f>
        <v>400</v>
      </c>
      <c r="Z240" s="3">
        <f>(Table1[[#This Row],[Profit]]/Table1[[#This Row],[Revenue]])</f>
        <v>0.42105263157894735</v>
      </c>
      <c r="AA240" s="1">
        <f>Table1[[#This Row],[Profit]]-Table1[[#This Row],[Total Shipping]]</f>
        <v>400</v>
      </c>
      <c r="AB240" s="3">
        <f>Table1[[#This Row],[Operating Profit]]/Table1[[#This Row],[Revenue]]</f>
        <v>0.42105263157894735</v>
      </c>
    </row>
    <row r="241" spans="1:28" x14ac:dyDescent="0.25">
      <c r="A241" t="s">
        <v>172</v>
      </c>
      <c r="B241">
        <v>293</v>
      </c>
      <c r="C241" t="s">
        <v>65</v>
      </c>
      <c r="D241" t="s">
        <v>95</v>
      </c>
      <c r="E241" t="s">
        <v>49</v>
      </c>
      <c r="F241" t="s">
        <v>86</v>
      </c>
      <c r="G241" t="str" cm="1">
        <f t="array" ref="G241">_xlfn.SWITCH(F241,"Acme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241" t="s">
        <v>69</v>
      </c>
      <c r="I241" t="s">
        <v>75</v>
      </c>
      <c r="J241" t="str" cm="1">
        <f t="array" ref="J241">_xlfn.SWITCH(I241,"P001","Laptop","P002","Server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241" s="1" cm="1">
        <f t="array" ref="K241">_xlfn.SWITCH(Table1[[#This Row],[Product ID]],"P001",220,"P002",150,"P003",130,"P004",70,"P005",200,"P006",40,"P007",25,"P008",20,"P009",190,"P010",530)</f>
        <v>200</v>
      </c>
      <c r="L241">
        <v>12</v>
      </c>
      <c r="M241" s="1">
        <f>Table1[[#This Row],[Unit Price]]*Table1[[#This Row],[Quantity]]</f>
        <v>2400</v>
      </c>
      <c r="N241" s="2">
        <v>0.05</v>
      </c>
      <c r="O241" s="1">
        <f>Table1[[#This Row],[Gross Value]]*(1-Table1[[#This Row],[Discount]])</f>
        <v>2280</v>
      </c>
      <c r="P241" s="2">
        <v>0.2</v>
      </c>
      <c r="Q241" s="1">
        <f>Table1[[#This Row],[Revenue]]*Table1[[#This Row],[VAT Rate]]</f>
        <v>456</v>
      </c>
      <c r="R241" s="1">
        <f>Table1[[#This Row],[Revenue]]+Table1[[#This Row],[VAT Charged]]</f>
        <v>2736</v>
      </c>
      <c r="S241" s="1" cm="1">
        <f t="array" ref="S241">_xlfn.SWITCH(Table1[[#This Row],[Product ID]],"P001",140,"P002",80,"P003",72,"P004",30,"P005",110,"P006",24,"P007",14,"P008",12,"P009",115,"P010",360)</f>
        <v>110</v>
      </c>
      <c r="T241" s="1" cm="1">
        <f t="array" ref="T241">(_xlfn.SWITCH(Table1[[#This Row],[Product ID]],"P001",140,"P002",80,"P003",72,"P004",30,"P005",110,"P006",24,"P007",14,"P008",12,"P009",115,"P010",360))*Table1[[#This Row],[Quantity]]</f>
        <v>1320</v>
      </c>
      <c r="U241" s="1" cm="1">
        <f t="array" ref="U241">_xlfn.SWITCH(Table1[[#This Row],[Product ID]],"P001",15,"P002",0,"P003",8,"P004",8,"P005",0,"P006",7,"P007",7,"P008",6,"P009",45,"P010",60)</f>
        <v>0</v>
      </c>
      <c r="V241" s="1">
        <f>Table1[[#This Row],[Shipping per Unit]]*Table1[[#This Row],[Quantity]]</f>
        <v>0</v>
      </c>
      <c r="W241" s="2">
        <f>IF(Table1[[#This Row],[Total Shipping]]&gt;0.1,0.2,0)</f>
        <v>0</v>
      </c>
      <c r="X241" s="4">
        <f>Table1[[#This Row],[Total Shipping]]*Table1[[#This Row],[VAT on Shipping]]</f>
        <v>0</v>
      </c>
      <c r="Y241" s="1">
        <f>Table1[[#This Row],[Revenue]]-Table1[[#This Row],[COGS]]</f>
        <v>960</v>
      </c>
      <c r="Z241" s="3">
        <f>(Table1[[#This Row],[Profit]]/Table1[[#This Row],[Revenue]])</f>
        <v>0.42105263157894735</v>
      </c>
      <c r="AA241" s="1">
        <f>Table1[[#This Row],[Profit]]-Table1[[#This Row],[Total Shipping]]</f>
        <v>960</v>
      </c>
      <c r="AB241" s="3">
        <f>Table1[[#This Row],[Operating Profit]]/Table1[[#This Row],[Revenue]]</f>
        <v>0.42105263157894735</v>
      </c>
    </row>
    <row r="242" spans="1:28" x14ac:dyDescent="0.25">
      <c r="A242" t="s">
        <v>172</v>
      </c>
      <c r="B242">
        <v>344</v>
      </c>
      <c r="C242" t="s">
        <v>35</v>
      </c>
      <c r="D242" t="s">
        <v>95</v>
      </c>
      <c r="E242" t="s">
        <v>40</v>
      </c>
      <c r="F242" t="s">
        <v>50</v>
      </c>
      <c r="G242" t="str" cm="1">
        <f t="array" ref="G242">_xlfn.SWITCH(F242,"Acme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242" t="s">
        <v>33</v>
      </c>
      <c r="I242" t="s">
        <v>70</v>
      </c>
      <c r="J242" t="str" cm="1">
        <f t="array" ref="J242">_xlfn.SWITCH(I242,"P001","Laptop","P002","Server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42" s="1" cm="1">
        <f t="array" ref="K242">_xlfn.SWITCH(Table1[[#This Row],[Product ID]],"P001",220,"P002",150,"P003",130,"P004",70,"P005",200,"P006",40,"P007",25,"P008",20,"P009",190,"P010",530)</f>
        <v>150</v>
      </c>
      <c r="L242">
        <v>18</v>
      </c>
      <c r="M242" s="1">
        <f>Table1[[#This Row],[Unit Price]]*Table1[[#This Row],[Quantity]]</f>
        <v>2700</v>
      </c>
      <c r="N242" s="2">
        <v>0.05</v>
      </c>
      <c r="O242" s="1">
        <f>Table1[[#This Row],[Gross Value]]*(1-Table1[[#This Row],[Discount]])</f>
        <v>2565</v>
      </c>
      <c r="P242" s="2">
        <v>0.2</v>
      </c>
      <c r="Q242" s="1">
        <f>Table1[[#This Row],[Revenue]]*Table1[[#This Row],[VAT Rate]]</f>
        <v>513</v>
      </c>
      <c r="R242" s="1">
        <f>Table1[[#This Row],[Revenue]]+Table1[[#This Row],[VAT Charged]]</f>
        <v>3078</v>
      </c>
      <c r="S242" s="1" cm="1">
        <f t="array" ref="S242">_xlfn.SWITCH(Table1[[#This Row],[Product ID]],"P001",140,"P002",80,"P003",72,"P004",30,"P005",110,"P006",24,"P007",14,"P008",12,"P009",115,"P010",360)</f>
        <v>80</v>
      </c>
      <c r="T242" s="1" cm="1">
        <f t="array" ref="T242">(_xlfn.SWITCH(Table1[[#This Row],[Product ID]],"P001",140,"P002",80,"P003",72,"P004",30,"P005",110,"P006",24,"P007",14,"P008",12,"P009",115,"P010",360))*Table1[[#This Row],[Quantity]]</f>
        <v>1440</v>
      </c>
      <c r="U242" s="1" cm="1">
        <f t="array" ref="U242">_xlfn.SWITCH(Table1[[#This Row],[Product ID]],"P001",15,"P002",0,"P003",8,"P004",8,"P005",0,"P006",7,"P007",7,"P008",6,"P009",45,"P010",60)</f>
        <v>0</v>
      </c>
      <c r="V242" s="1">
        <f>Table1[[#This Row],[Shipping per Unit]]*Table1[[#This Row],[Quantity]]</f>
        <v>0</v>
      </c>
      <c r="W242" s="2">
        <f>IF(Table1[[#This Row],[Total Shipping]]&gt;0.1,0.2,0)</f>
        <v>0</v>
      </c>
      <c r="X242" s="4">
        <f>Table1[[#This Row],[Total Shipping]]*Table1[[#This Row],[VAT on Shipping]]</f>
        <v>0</v>
      </c>
      <c r="Y242" s="1">
        <f>Table1[[#This Row],[Revenue]]-Table1[[#This Row],[COGS]]</f>
        <v>1125</v>
      </c>
      <c r="Z242" s="3">
        <f>(Table1[[#This Row],[Profit]]/Table1[[#This Row],[Revenue]])</f>
        <v>0.43859649122807015</v>
      </c>
      <c r="AA242" s="1">
        <f>Table1[[#This Row],[Profit]]-Table1[[#This Row],[Total Shipping]]</f>
        <v>1125</v>
      </c>
      <c r="AB242" s="3">
        <f>Table1[[#This Row],[Operating Profit]]/Table1[[#This Row],[Revenue]]</f>
        <v>0.43859649122807015</v>
      </c>
    </row>
    <row r="243" spans="1:28" x14ac:dyDescent="0.25">
      <c r="A243" t="s">
        <v>173</v>
      </c>
      <c r="B243">
        <v>673</v>
      </c>
      <c r="C243" t="s">
        <v>83</v>
      </c>
      <c r="D243" t="s">
        <v>39</v>
      </c>
      <c r="E243" t="s">
        <v>31</v>
      </c>
      <c r="F243" t="s">
        <v>86</v>
      </c>
      <c r="G243" t="str" cm="1">
        <f t="array" ref="G243">_xlfn.SWITCH(F243,"Acme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243" t="s">
        <v>45</v>
      </c>
      <c r="I243" t="s">
        <v>91</v>
      </c>
      <c r="J243" t="str" cm="1">
        <f t="array" ref="J243">_xlfn.SWITCH(I243,"P001","Laptop","P002","Server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43" s="1" cm="1">
        <f t="array" ref="K243">_xlfn.SWITCH(Table1[[#This Row],[Product ID]],"P001",220,"P002",150,"P003",130,"P004",70,"P005",200,"P006",40,"P007",25,"P008",20,"P009",190,"P010",530)</f>
        <v>190</v>
      </c>
      <c r="L243">
        <v>6</v>
      </c>
      <c r="M243" s="1">
        <f>Table1[[#This Row],[Unit Price]]*Table1[[#This Row],[Quantity]]</f>
        <v>1140</v>
      </c>
      <c r="N243" s="2">
        <v>0.04</v>
      </c>
      <c r="O243" s="1">
        <f>Table1[[#This Row],[Gross Value]]*(1-Table1[[#This Row],[Discount]])</f>
        <v>1094.3999999999999</v>
      </c>
      <c r="P243" s="2">
        <v>0.2</v>
      </c>
      <c r="Q243" s="1">
        <f>Table1[[#This Row],[Revenue]]*Table1[[#This Row],[VAT Rate]]</f>
        <v>218.88</v>
      </c>
      <c r="R243" s="1">
        <f>Table1[[#This Row],[Revenue]]+Table1[[#This Row],[VAT Charged]]</f>
        <v>1313.2799999999997</v>
      </c>
      <c r="S243" s="1" cm="1">
        <f t="array" ref="S243">_xlfn.SWITCH(Table1[[#This Row],[Product ID]],"P001",140,"P002",80,"P003",72,"P004",30,"P005",110,"P006",24,"P007",14,"P008",12,"P009",115,"P010",360)</f>
        <v>115</v>
      </c>
      <c r="T243" s="1" cm="1">
        <f t="array" ref="T243">(_xlfn.SWITCH(Table1[[#This Row],[Product ID]],"P001",140,"P002",80,"P003",72,"P004",30,"P005",110,"P006",24,"P007",14,"P008",12,"P009",115,"P010",360))*Table1[[#This Row],[Quantity]]</f>
        <v>690</v>
      </c>
      <c r="U243" s="1" cm="1">
        <f t="array" ref="U243">_xlfn.SWITCH(Table1[[#This Row],[Product ID]],"P001",15,"P002",0,"P003",8,"P004",8,"P005",0,"P006",7,"P007",7,"P008",6,"P009",45,"P010",60)</f>
        <v>45</v>
      </c>
      <c r="V243" s="1">
        <f>Table1[[#This Row],[Shipping per Unit]]*Table1[[#This Row],[Quantity]]</f>
        <v>270</v>
      </c>
      <c r="W243" s="2">
        <f>IF(Table1[[#This Row],[Total Shipping]]&gt;0.1,0.2,0)</f>
        <v>0.2</v>
      </c>
      <c r="X243" s="4">
        <f>Table1[[#This Row],[Total Shipping]]*Table1[[#This Row],[VAT on Shipping]]</f>
        <v>54</v>
      </c>
      <c r="Y243" s="1">
        <f>Table1[[#This Row],[Revenue]]-Table1[[#This Row],[COGS]]</f>
        <v>404.39999999999986</v>
      </c>
      <c r="Z243" s="3">
        <f>(Table1[[#This Row],[Profit]]/Table1[[#This Row],[Revenue]])</f>
        <v>0.36951754385964902</v>
      </c>
      <c r="AA243" s="1">
        <f>Table1[[#This Row],[Profit]]-Table1[[#This Row],[Total Shipping]]</f>
        <v>134.39999999999986</v>
      </c>
      <c r="AB243" s="3">
        <f>Table1[[#This Row],[Operating Profit]]/Table1[[#This Row],[Revenue]]</f>
        <v>0.12280701754385955</v>
      </c>
    </row>
    <row r="244" spans="1:28" x14ac:dyDescent="0.25">
      <c r="A244" t="s">
        <v>174</v>
      </c>
      <c r="B244">
        <v>189</v>
      </c>
      <c r="C244" t="s">
        <v>62</v>
      </c>
      <c r="D244" t="s">
        <v>67</v>
      </c>
      <c r="E244" t="s">
        <v>40</v>
      </c>
      <c r="F244" t="s">
        <v>37</v>
      </c>
      <c r="G244" t="str" cm="1">
        <f t="array" ref="G244">_xlfn.SWITCH(F244,"Acme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244" t="s">
        <v>104</v>
      </c>
      <c r="I244" t="s">
        <v>46</v>
      </c>
      <c r="J244" t="str" cm="1">
        <f t="array" ref="J244">_xlfn.SWITCH(I244,"P001","Laptop","P002","Server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44" s="1" cm="1">
        <f t="array" ref="K244">_xlfn.SWITCH(Table1[[#This Row],[Product ID]],"P001",220,"P002",150,"P003",130,"P004",70,"P005",200,"P006",40,"P007",25,"P008",20,"P009",190,"P010",530)</f>
        <v>530</v>
      </c>
      <c r="L244">
        <v>2</v>
      </c>
      <c r="M244" s="1">
        <f>Table1[[#This Row],[Unit Price]]*Table1[[#This Row],[Quantity]]</f>
        <v>1060</v>
      </c>
      <c r="N244" s="2">
        <v>0.05</v>
      </c>
      <c r="O244" s="1">
        <f>Table1[[#This Row],[Gross Value]]*(1-Table1[[#This Row],[Discount]])</f>
        <v>1007</v>
      </c>
      <c r="P244" s="2">
        <v>0.2</v>
      </c>
      <c r="Q244" s="1">
        <f>Table1[[#This Row],[Revenue]]*Table1[[#This Row],[VAT Rate]]</f>
        <v>201.4</v>
      </c>
      <c r="R244" s="1">
        <f>Table1[[#This Row],[Revenue]]+Table1[[#This Row],[VAT Charged]]</f>
        <v>1208.4000000000001</v>
      </c>
      <c r="S244" s="1" cm="1">
        <f t="array" ref="S244">_xlfn.SWITCH(Table1[[#This Row],[Product ID]],"P001",140,"P002",80,"P003",72,"P004",30,"P005",110,"P006",24,"P007",14,"P008",12,"P009",115,"P010",360)</f>
        <v>360</v>
      </c>
      <c r="T244" s="1" cm="1">
        <f t="array" ref="T244">(_xlfn.SWITCH(Table1[[#This Row],[Product ID]],"P001",140,"P002",80,"P003",72,"P004",30,"P005",110,"P006",24,"P007",14,"P008",12,"P009",115,"P010",360))*Table1[[#This Row],[Quantity]]</f>
        <v>720</v>
      </c>
      <c r="U244" s="1" cm="1">
        <f t="array" ref="U244">_xlfn.SWITCH(Table1[[#This Row],[Product ID]],"P001",15,"P002",0,"P003",8,"P004",8,"P005",0,"P006",7,"P007",7,"P008",6,"P009",45,"P010",60)</f>
        <v>60</v>
      </c>
      <c r="V244" s="1">
        <f>Table1[[#This Row],[Shipping per Unit]]*Table1[[#This Row],[Quantity]]</f>
        <v>120</v>
      </c>
      <c r="W244" s="2">
        <f>IF(Table1[[#This Row],[Total Shipping]]&gt;0.1,0.2,0)</f>
        <v>0.2</v>
      </c>
      <c r="X244" s="4">
        <f>Table1[[#This Row],[Total Shipping]]*Table1[[#This Row],[VAT on Shipping]]</f>
        <v>24</v>
      </c>
      <c r="Y244" s="1">
        <f>Table1[[#This Row],[Revenue]]-Table1[[#This Row],[COGS]]</f>
        <v>287</v>
      </c>
      <c r="Z244" s="3">
        <f>(Table1[[#This Row],[Profit]]/Table1[[#This Row],[Revenue]])</f>
        <v>0.28500496524329694</v>
      </c>
      <c r="AA244" s="1">
        <f>Table1[[#This Row],[Profit]]-Table1[[#This Row],[Total Shipping]]</f>
        <v>167</v>
      </c>
      <c r="AB244" s="3">
        <f>Table1[[#This Row],[Operating Profit]]/Table1[[#This Row],[Revenue]]</f>
        <v>0.16583912611717974</v>
      </c>
    </row>
    <row r="245" spans="1:28" x14ac:dyDescent="0.25">
      <c r="A245" t="s">
        <v>174</v>
      </c>
      <c r="B245">
        <v>511</v>
      </c>
      <c r="C245" t="s">
        <v>29</v>
      </c>
      <c r="D245" t="s">
        <v>57</v>
      </c>
      <c r="E245" t="s">
        <v>40</v>
      </c>
      <c r="F245" t="s">
        <v>92</v>
      </c>
      <c r="G245" t="str" cm="1">
        <f t="array" ref="G245">_xlfn.SWITCH(F245,"Acme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245" t="s">
        <v>33</v>
      </c>
      <c r="I245" t="s">
        <v>55</v>
      </c>
      <c r="J245" t="str" cm="1">
        <f t="array" ref="J245">_xlfn.SWITCH(I245,"P001","Laptop","P002","Server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45" s="1" cm="1">
        <f t="array" ref="K245">_xlfn.SWITCH(Table1[[#This Row],[Product ID]],"P001",220,"P002",150,"P003",130,"P004",70,"P005",200,"P006",40,"P007",25,"P008",20,"P009",190,"P010",530)</f>
        <v>70</v>
      </c>
      <c r="L245">
        <v>15</v>
      </c>
      <c r="M245" s="1">
        <f>Table1[[#This Row],[Unit Price]]*Table1[[#This Row],[Quantity]]</f>
        <v>1050</v>
      </c>
      <c r="N245" s="2">
        <v>7.0000000000000007E-2</v>
      </c>
      <c r="O245" s="1">
        <f>Table1[[#This Row],[Gross Value]]*(1-Table1[[#This Row],[Discount]])</f>
        <v>976.49999999999989</v>
      </c>
      <c r="P245" s="2">
        <v>0.2</v>
      </c>
      <c r="Q245" s="1">
        <f>Table1[[#This Row],[Revenue]]*Table1[[#This Row],[VAT Rate]]</f>
        <v>195.29999999999998</v>
      </c>
      <c r="R245" s="1">
        <f>Table1[[#This Row],[Revenue]]+Table1[[#This Row],[VAT Charged]]</f>
        <v>1171.8</v>
      </c>
      <c r="S245" s="1" cm="1">
        <f t="array" ref="S245">_xlfn.SWITCH(Table1[[#This Row],[Product ID]],"P001",140,"P002",80,"P003",72,"P004",30,"P005",110,"P006",24,"P007",14,"P008",12,"P009",115,"P010",360)</f>
        <v>30</v>
      </c>
      <c r="T245" s="1" cm="1">
        <f t="array" ref="T245">(_xlfn.SWITCH(Table1[[#This Row],[Product ID]],"P001",140,"P002",80,"P003",72,"P004",30,"P005",110,"P006",24,"P007",14,"P008",12,"P009",115,"P010",360))*Table1[[#This Row],[Quantity]]</f>
        <v>450</v>
      </c>
      <c r="U245" s="1" cm="1">
        <f t="array" ref="U245">_xlfn.SWITCH(Table1[[#This Row],[Product ID]],"P001",15,"P002",0,"P003",8,"P004",8,"P005",0,"P006",7,"P007",7,"P008",6,"P009",45,"P010",60)</f>
        <v>8</v>
      </c>
      <c r="V245" s="1">
        <f>Table1[[#This Row],[Shipping per Unit]]*Table1[[#This Row],[Quantity]]</f>
        <v>120</v>
      </c>
      <c r="W245" s="2">
        <f>IF(Table1[[#This Row],[Total Shipping]]&gt;0.1,0.2,0)</f>
        <v>0.2</v>
      </c>
      <c r="X245" s="4">
        <f>Table1[[#This Row],[Total Shipping]]*Table1[[#This Row],[VAT on Shipping]]</f>
        <v>24</v>
      </c>
      <c r="Y245" s="1">
        <f>Table1[[#This Row],[Revenue]]-Table1[[#This Row],[COGS]]</f>
        <v>526.49999999999989</v>
      </c>
      <c r="Z245" s="3">
        <f>(Table1[[#This Row],[Profit]]/Table1[[#This Row],[Revenue]])</f>
        <v>0.53917050691244239</v>
      </c>
      <c r="AA245" s="1">
        <f>Table1[[#This Row],[Profit]]-Table1[[#This Row],[Total Shipping]]</f>
        <v>406.49999999999989</v>
      </c>
      <c r="AB245" s="3">
        <f>Table1[[#This Row],[Operating Profit]]/Table1[[#This Row],[Revenue]]</f>
        <v>0.41628264208909366</v>
      </c>
    </row>
    <row r="246" spans="1:28" x14ac:dyDescent="0.25">
      <c r="A246" t="s">
        <v>175</v>
      </c>
      <c r="B246">
        <v>966</v>
      </c>
      <c r="C246" t="s">
        <v>62</v>
      </c>
      <c r="D246" t="s">
        <v>95</v>
      </c>
      <c r="E246" t="s">
        <v>31</v>
      </c>
      <c r="F246" t="s">
        <v>126</v>
      </c>
      <c r="G246" t="str" cm="1">
        <f t="array" ref="G246">_xlfn.SWITCH(F246,"Acme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246" t="s">
        <v>45</v>
      </c>
      <c r="I246" t="s">
        <v>60</v>
      </c>
      <c r="J246" t="str" cm="1">
        <f t="array" ref="J246">_xlfn.SWITCH(I246,"P001","Laptop","P002","Server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46" s="1" cm="1">
        <f t="array" ref="K246">_xlfn.SWITCH(Table1[[#This Row],[Product ID]],"P001",220,"P002",150,"P003",130,"P004",70,"P005",200,"P006",40,"P007",25,"P008",20,"P009",190,"P010",530)</f>
        <v>25</v>
      </c>
      <c r="L246">
        <v>8</v>
      </c>
      <c r="M246" s="1">
        <f>Table1[[#This Row],[Unit Price]]*Table1[[#This Row],[Quantity]]</f>
        <v>200</v>
      </c>
      <c r="N246" s="2">
        <v>0.12</v>
      </c>
      <c r="O246" s="1">
        <f>Table1[[#This Row],[Gross Value]]*(1-Table1[[#This Row],[Discount]])</f>
        <v>176</v>
      </c>
      <c r="P246" s="2">
        <v>0.2</v>
      </c>
      <c r="Q246" s="1">
        <f>Table1[[#This Row],[Revenue]]*Table1[[#This Row],[VAT Rate]]</f>
        <v>35.200000000000003</v>
      </c>
      <c r="R246" s="1">
        <f>Table1[[#This Row],[Revenue]]+Table1[[#This Row],[VAT Charged]]</f>
        <v>211.2</v>
      </c>
      <c r="S246" s="1" cm="1">
        <f t="array" ref="S246">_xlfn.SWITCH(Table1[[#This Row],[Product ID]],"P001",140,"P002",80,"P003",72,"P004",30,"P005",110,"P006",24,"P007",14,"P008",12,"P009",115,"P010",360)</f>
        <v>14</v>
      </c>
      <c r="T246" s="1" cm="1">
        <f t="array" ref="T246">(_xlfn.SWITCH(Table1[[#This Row],[Product ID]],"P001",140,"P002",80,"P003",72,"P004",30,"P005",110,"P006",24,"P007",14,"P008",12,"P009",115,"P010",360))*Table1[[#This Row],[Quantity]]</f>
        <v>112</v>
      </c>
      <c r="U246" s="1" cm="1">
        <f t="array" ref="U246">_xlfn.SWITCH(Table1[[#This Row],[Product ID]],"P001",15,"P002",0,"P003",8,"P004",8,"P005",0,"P006",7,"P007",7,"P008",6,"P009",45,"P010",60)</f>
        <v>7</v>
      </c>
      <c r="V246" s="1">
        <f>Table1[[#This Row],[Shipping per Unit]]*Table1[[#This Row],[Quantity]]</f>
        <v>56</v>
      </c>
      <c r="W246" s="2">
        <f>IF(Table1[[#This Row],[Total Shipping]]&gt;0.1,0.2,0)</f>
        <v>0.2</v>
      </c>
      <c r="X246" s="4">
        <f>Table1[[#This Row],[Total Shipping]]*Table1[[#This Row],[VAT on Shipping]]</f>
        <v>11.200000000000001</v>
      </c>
      <c r="Y246" s="1">
        <f>Table1[[#This Row],[Revenue]]-Table1[[#This Row],[COGS]]</f>
        <v>64</v>
      </c>
      <c r="Z246" s="3">
        <f>(Table1[[#This Row],[Profit]]/Table1[[#This Row],[Revenue]])</f>
        <v>0.36363636363636365</v>
      </c>
      <c r="AA246" s="1">
        <f>Table1[[#This Row],[Profit]]-Table1[[#This Row],[Total Shipping]]</f>
        <v>8</v>
      </c>
      <c r="AB246" s="3">
        <f>Table1[[#This Row],[Operating Profit]]/Table1[[#This Row],[Revenue]]</f>
        <v>4.5454545454545456E-2</v>
      </c>
    </row>
    <row r="247" spans="1:28" x14ac:dyDescent="0.25">
      <c r="A247" t="s">
        <v>176</v>
      </c>
      <c r="B247">
        <v>892</v>
      </c>
      <c r="C247" t="s">
        <v>35</v>
      </c>
      <c r="D247" t="s">
        <v>30</v>
      </c>
      <c r="E247" t="s">
        <v>31</v>
      </c>
      <c r="F247" t="s">
        <v>113</v>
      </c>
      <c r="G247" t="str" cm="1">
        <f t="array" ref="G247">_xlfn.SWITCH(F247,"Acme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247" t="s">
        <v>51</v>
      </c>
      <c r="I247" t="s">
        <v>34</v>
      </c>
      <c r="J247" t="str" cm="1">
        <f t="array" ref="J247">_xlfn.SWITCH(I247,"P001","Laptop","P002","Server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47" s="1" cm="1">
        <f t="array" ref="K247">_xlfn.SWITCH(Table1[[#This Row],[Product ID]],"P001",220,"P002",150,"P003",130,"P004",70,"P005",200,"P006",40,"P007",25,"P008",20,"P009",190,"P010",530)</f>
        <v>20</v>
      </c>
      <c r="L247">
        <v>13</v>
      </c>
      <c r="M247" s="1">
        <f>Table1[[#This Row],[Unit Price]]*Table1[[#This Row],[Quantity]]</f>
        <v>260</v>
      </c>
      <c r="N247" s="2">
        <v>0.02</v>
      </c>
      <c r="O247" s="1">
        <f>Table1[[#This Row],[Gross Value]]*(1-Table1[[#This Row],[Discount]])</f>
        <v>254.79999999999998</v>
      </c>
      <c r="P247" s="2">
        <v>0.2</v>
      </c>
      <c r="Q247" s="1">
        <f>Table1[[#This Row],[Revenue]]*Table1[[#This Row],[VAT Rate]]</f>
        <v>50.96</v>
      </c>
      <c r="R247" s="1">
        <f>Table1[[#This Row],[Revenue]]+Table1[[#This Row],[VAT Charged]]</f>
        <v>305.76</v>
      </c>
      <c r="S247" s="1" cm="1">
        <f t="array" ref="S247">_xlfn.SWITCH(Table1[[#This Row],[Product ID]],"P001",140,"P002",80,"P003",72,"P004",30,"P005",110,"P006",24,"P007",14,"P008",12,"P009",115,"P010",360)</f>
        <v>12</v>
      </c>
      <c r="T247" s="1" cm="1">
        <f t="array" ref="T247">(_xlfn.SWITCH(Table1[[#This Row],[Product ID]],"P001",140,"P002",80,"P003",72,"P004",30,"P005",110,"P006",24,"P007",14,"P008",12,"P009",115,"P010",360))*Table1[[#This Row],[Quantity]]</f>
        <v>156</v>
      </c>
      <c r="U247" s="1" cm="1">
        <f t="array" ref="U247">_xlfn.SWITCH(Table1[[#This Row],[Product ID]],"P001",15,"P002",0,"P003",8,"P004",8,"P005",0,"P006",7,"P007",7,"P008",6,"P009",45,"P010",60)</f>
        <v>6</v>
      </c>
      <c r="V247" s="1">
        <f>Table1[[#This Row],[Shipping per Unit]]*Table1[[#This Row],[Quantity]]</f>
        <v>78</v>
      </c>
      <c r="W247" s="2">
        <f>IF(Table1[[#This Row],[Total Shipping]]&gt;0.1,0.2,0)</f>
        <v>0.2</v>
      </c>
      <c r="X247" s="4">
        <f>Table1[[#This Row],[Total Shipping]]*Table1[[#This Row],[VAT on Shipping]]</f>
        <v>15.600000000000001</v>
      </c>
      <c r="Y247" s="1">
        <f>Table1[[#This Row],[Revenue]]-Table1[[#This Row],[COGS]]</f>
        <v>98.799999999999983</v>
      </c>
      <c r="Z247" s="3">
        <f>(Table1[[#This Row],[Profit]]/Table1[[#This Row],[Revenue]])</f>
        <v>0.38775510204081631</v>
      </c>
      <c r="AA247" s="1">
        <f>Table1[[#This Row],[Profit]]-Table1[[#This Row],[Total Shipping]]</f>
        <v>20.799999999999983</v>
      </c>
      <c r="AB247" s="3">
        <f>Table1[[#This Row],[Operating Profit]]/Table1[[#This Row],[Revenue]]</f>
        <v>8.1632653061224428E-2</v>
      </c>
    </row>
    <row r="248" spans="1:28" x14ac:dyDescent="0.25">
      <c r="A248" t="s">
        <v>177</v>
      </c>
      <c r="B248">
        <v>239</v>
      </c>
      <c r="C248" t="s">
        <v>71</v>
      </c>
      <c r="D248" t="s">
        <v>39</v>
      </c>
      <c r="E248" t="s">
        <v>49</v>
      </c>
      <c r="F248" t="s">
        <v>44</v>
      </c>
      <c r="G248" t="str" cm="1">
        <f t="array" ref="G248">_xlfn.SWITCH(F248,"Acme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248" t="s">
        <v>51</v>
      </c>
      <c r="I248" t="s">
        <v>46</v>
      </c>
      <c r="J248" t="str" cm="1">
        <f t="array" ref="J248">_xlfn.SWITCH(I248,"P001","Laptop","P002","Server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48" s="1" cm="1">
        <f t="array" ref="K248">_xlfn.SWITCH(Table1[[#This Row],[Product ID]],"P001",220,"P002",150,"P003",130,"P004",70,"P005",200,"P006",40,"P007",25,"P008",20,"P009",190,"P010",530)</f>
        <v>530</v>
      </c>
      <c r="L248">
        <v>9</v>
      </c>
      <c r="M248" s="1">
        <f>Table1[[#This Row],[Unit Price]]*Table1[[#This Row],[Quantity]]</f>
        <v>4770</v>
      </c>
      <c r="N248" s="2">
        <v>0.04</v>
      </c>
      <c r="O248" s="1">
        <f>Table1[[#This Row],[Gross Value]]*(1-Table1[[#This Row],[Discount]])</f>
        <v>4579.2</v>
      </c>
      <c r="P248" s="2">
        <v>0.2</v>
      </c>
      <c r="Q248" s="1">
        <f>Table1[[#This Row],[Revenue]]*Table1[[#This Row],[VAT Rate]]</f>
        <v>915.84</v>
      </c>
      <c r="R248" s="1">
        <f>Table1[[#This Row],[Revenue]]+Table1[[#This Row],[VAT Charged]]</f>
        <v>5495.04</v>
      </c>
      <c r="S248" s="1" cm="1">
        <f t="array" ref="S248">_xlfn.SWITCH(Table1[[#This Row],[Product ID]],"P001",140,"P002",80,"P003",72,"P004",30,"P005",110,"P006",24,"P007",14,"P008",12,"P009",115,"P010",360)</f>
        <v>360</v>
      </c>
      <c r="T248" s="1" cm="1">
        <f t="array" ref="T248">(_xlfn.SWITCH(Table1[[#This Row],[Product ID]],"P001",140,"P002",80,"P003",72,"P004",30,"P005",110,"P006",24,"P007",14,"P008",12,"P009",115,"P010",360))*Table1[[#This Row],[Quantity]]</f>
        <v>3240</v>
      </c>
      <c r="U248" s="1" cm="1">
        <f t="array" ref="U248">_xlfn.SWITCH(Table1[[#This Row],[Product ID]],"P001",15,"P002",0,"P003",8,"P004",8,"P005",0,"P006",7,"P007",7,"P008",6,"P009",45,"P010",60)</f>
        <v>60</v>
      </c>
      <c r="V248" s="1">
        <f>Table1[[#This Row],[Shipping per Unit]]*Table1[[#This Row],[Quantity]]</f>
        <v>540</v>
      </c>
      <c r="W248" s="2">
        <f>IF(Table1[[#This Row],[Total Shipping]]&gt;0.1,0.2,0)</f>
        <v>0.2</v>
      </c>
      <c r="X248" s="4">
        <f>Table1[[#This Row],[Total Shipping]]*Table1[[#This Row],[VAT on Shipping]]</f>
        <v>108</v>
      </c>
      <c r="Y248" s="1">
        <f>Table1[[#This Row],[Revenue]]-Table1[[#This Row],[COGS]]</f>
        <v>1339.1999999999998</v>
      </c>
      <c r="Z248" s="3">
        <f>(Table1[[#This Row],[Profit]]/Table1[[#This Row],[Revenue]])</f>
        <v>0.29245283018867924</v>
      </c>
      <c r="AA248" s="1">
        <f>Table1[[#This Row],[Profit]]-Table1[[#This Row],[Total Shipping]]</f>
        <v>799.19999999999982</v>
      </c>
      <c r="AB248" s="3">
        <f>Table1[[#This Row],[Operating Profit]]/Table1[[#This Row],[Revenue]]</f>
        <v>0.17452830188679241</v>
      </c>
    </row>
    <row r="249" spans="1:28" x14ac:dyDescent="0.25">
      <c r="A249" t="s">
        <v>177</v>
      </c>
      <c r="B249">
        <v>311</v>
      </c>
      <c r="C249" t="s">
        <v>29</v>
      </c>
      <c r="D249" t="s">
        <v>95</v>
      </c>
      <c r="E249" t="s">
        <v>49</v>
      </c>
      <c r="F249" t="s">
        <v>119</v>
      </c>
      <c r="G249" t="str" cm="1">
        <f t="array" ref="G249">_xlfn.SWITCH(F249,"Acme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249" t="s">
        <v>58</v>
      </c>
      <c r="I249" t="s">
        <v>55</v>
      </c>
      <c r="J249" t="str" cm="1">
        <f t="array" ref="J249">_xlfn.SWITCH(I249,"P001","Laptop","P002","Server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49" s="1" cm="1">
        <f t="array" ref="K249">_xlfn.SWITCH(Table1[[#This Row],[Product ID]],"P001",220,"P002",150,"P003",130,"P004",70,"P005",200,"P006",40,"P007",25,"P008",20,"P009",190,"P010",530)</f>
        <v>70</v>
      </c>
      <c r="L249">
        <v>15</v>
      </c>
      <c r="M249" s="1">
        <f>Table1[[#This Row],[Unit Price]]*Table1[[#This Row],[Quantity]]</f>
        <v>1050</v>
      </c>
      <c r="N249" s="2">
        <v>0.02</v>
      </c>
      <c r="O249" s="1">
        <f>Table1[[#This Row],[Gross Value]]*(1-Table1[[#This Row],[Discount]])</f>
        <v>1029</v>
      </c>
      <c r="P249" s="2">
        <v>0.2</v>
      </c>
      <c r="Q249" s="1">
        <f>Table1[[#This Row],[Revenue]]*Table1[[#This Row],[VAT Rate]]</f>
        <v>205.8</v>
      </c>
      <c r="R249" s="1">
        <f>Table1[[#This Row],[Revenue]]+Table1[[#This Row],[VAT Charged]]</f>
        <v>1234.8</v>
      </c>
      <c r="S249" s="1" cm="1">
        <f t="array" ref="S249">_xlfn.SWITCH(Table1[[#This Row],[Product ID]],"P001",140,"P002",80,"P003",72,"P004",30,"P005",110,"P006",24,"P007",14,"P008",12,"P009",115,"P010",360)</f>
        <v>30</v>
      </c>
      <c r="T249" s="1" cm="1">
        <f t="array" ref="T249">(_xlfn.SWITCH(Table1[[#This Row],[Product ID]],"P001",140,"P002",80,"P003",72,"P004",30,"P005",110,"P006",24,"P007",14,"P008",12,"P009",115,"P010",360))*Table1[[#This Row],[Quantity]]</f>
        <v>450</v>
      </c>
      <c r="U249" s="1" cm="1">
        <f t="array" ref="U249">_xlfn.SWITCH(Table1[[#This Row],[Product ID]],"P001",15,"P002",0,"P003",8,"P004",8,"P005",0,"P006",7,"P007",7,"P008",6,"P009",45,"P010",60)</f>
        <v>8</v>
      </c>
      <c r="V249" s="1">
        <f>Table1[[#This Row],[Shipping per Unit]]*Table1[[#This Row],[Quantity]]</f>
        <v>120</v>
      </c>
      <c r="W249" s="2">
        <f>IF(Table1[[#This Row],[Total Shipping]]&gt;0.1,0.2,0)</f>
        <v>0.2</v>
      </c>
      <c r="X249" s="4">
        <f>Table1[[#This Row],[Total Shipping]]*Table1[[#This Row],[VAT on Shipping]]</f>
        <v>24</v>
      </c>
      <c r="Y249" s="1">
        <f>Table1[[#This Row],[Revenue]]-Table1[[#This Row],[COGS]]</f>
        <v>579</v>
      </c>
      <c r="Z249" s="3">
        <f>(Table1[[#This Row],[Profit]]/Table1[[#This Row],[Revenue]])</f>
        <v>0.56268221574344024</v>
      </c>
      <c r="AA249" s="1">
        <f>Table1[[#This Row],[Profit]]-Table1[[#This Row],[Total Shipping]]</f>
        <v>459</v>
      </c>
      <c r="AB249" s="3">
        <f>Table1[[#This Row],[Operating Profit]]/Table1[[#This Row],[Revenue]]</f>
        <v>0.44606413994169097</v>
      </c>
    </row>
    <row r="250" spans="1:28" x14ac:dyDescent="0.25">
      <c r="A250" t="s">
        <v>177</v>
      </c>
      <c r="B250">
        <v>414</v>
      </c>
      <c r="C250" t="s">
        <v>29</v>
      </c>
      <c r="D250" t="s">
        <v>72</v>
      </c>
      <c r="E250" t="s">
        <v>49</v>
      </c>
      <c r="F250" t="s">
        <v>74</v>
      </c>
      <c r="G250" t="str" cm="1">
        <f t="array" ref="G250">_xlfn.SWITCH(F250,"Acme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250" t="s">
        <v>51</v>
      </c>
      <c r="I250" t="s">
        <v>91</v>
      </c>
      <c r="J250" t="str" cm="1">
        <f t="array" ref="J250">_xlfn.SWITCH(I250,"P001","Laptop","P002","Server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50" s="1" cm="1">
        <f t="array" ref="K250">_xlfn.SWITCH(Table1[[#This Row],[Product ID]],"P001",220,"P002",150,"P003",130,"P004",70,"P005",200,"P006",40,"P007",25,"P008",20,"P009",190,"P010",530)</f>
        <v>190</v>
      </c>
      <c r="L250">
        <v>20</v>
      </c>
      <c r="M250" s="1">
        <f>Table1[[#This Row],[Unit Price]]*Table1[[#This Row],[Quantity]]</f>
        <v>3800</v>
      </c>
      <c r="N250" s="2">
        <v>0.02</v>
      </c>
      <c r="O250" s="1">
        <f>Table1[[#This Row],[Gross Value]]*(1-Table1[[#This Row],[Discount]])</f>
        <v>3724</v>
      </c>
      <c r="P250" s="2">
        <v>0.2</v>
      </c>
      <c r="Q250" s="1">
        <f>Table1[[#This Row],[Revenue]]*Table1[[#This Row],[VAT Rate]]</f>
        <v>744.80000000000007</v>
      </c>
      <c r="R250" s="1">
        <f>Table1[[#This Row],[Revenue]]+Table1[[#This Row],[VAT Charged]]</f>
        <v>4468.8</v>
      </c>
      <c r="S250" s="1" cm="1">
        <f t="array" ref="S250">_xlfn.SWITCH(Table1[[#This Row],[Product ID]],"P001",140,"P002",80,"P003",72,"P004",30,"P005",110,"P006",24,"P007",14,"P008",12,"P009",115,"P010",360)</f>
        <v>115</v>
      </c>
      <c r="T250" s="1" cm="1">
        <f t="array" ref="T250">(_xlfn.SWITCH(Table1[[#This Row],[Product ID]],"P001",140,"P002",80,"P003",72,"P004",30,"P005",110,"P006",24,"P007",14,"P008",12,"P009",115,"P010",360))*Table1[[#This Row],[Quantity]]</f>
        <v>2300</v>
      </c>
      <c r="U250" s="1" cm="1">
        <f t="array" ref="U250">_xlfn.SWITCH(Table1[[#This Row],[Product ID]],"P001",15,"P002",0,"P003",8,"P004",8,"P005",0,"P006",7,"P007",7,"P008",6,"P009",45,"P010",60)</f>
        <v>45</v>
      </c>
      <c r="V250" s="1">
        <f>Table1[[#This Row],[Shipping per Unit]]*Table1[[#This Row],[Quantity]]</f>
        <v>900</v>
      </c>
      <c r="W250" s="2">
        <f>IF(Table1[[#This Row],[Total Shipping]]&gt;0.1,0.2,0)</f>
        <v>0.2</v>
      </c>
      <c r="X250" s="4">
        <f>Table1[[#This Row],[Total Shipping]]*Table1[[#This Row],[VAT on Shipping]]</f>
        <v>180</v>
      </c>
      <c r="Y250" s="1">
        <f>Table1[[#This Row],[Revenue]]-Table1[[#This Row],[COGS]]</f>
        <v>1424</v>
      </c>
      <c r="Z250" s="3">
        <f>(Table1[[#This Row],[Profit]]/Table1[[#This Row],[Revenue]])</f>
        <v>0.38238453276047263</v>
      </c>
      <c r="AA250" s="1">
        <f>Table1[[#This Row],[Profit]]-Table1[[#This Row],[Total Shipping]]</f>
        <v>524</v>
      </c>
      <c r="AB250" s="3">
        <f>Table1[[#This Row],[Operating Profit]]/Table1[[#This Row],[Revenue]]</f>
        <v>0.14070891514500536</v>
      </c>
    </row>
    <row r="251" spans="1:28" x14ac:dyDescent="0.25">
      <c r="A251" t="s">
        <v>177</v>
      </c>
      <c r="B251">
        <v>430</v>
      </c>
      <c r="C251" t="s">
        <v>35</v>
      </c>
      <c r="D251" t="s">
        <v>72</v>
      </c>
      <c r="E251" t="s">
        <v>40</v>
      </c>
      <c r="F251" t="s">
        <v>41</v>
      </c>
      <c r="G251" t="str" cm="1">
        <f t="array" ref="G251">_xlfn.SWITCH(F251,"Acme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251" t="s">
        <v>58</v>
      </c>
      <c r="I251" t="s">
        <v>42</v>
      </c>
      <c r="J251" t="str" cm="1">
        <f t="array" ref="J251">_xlfn.SWITCH(I251,"P001","Laptop","P002","Server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51" s="1" cm="1">
        <f t="array" ref="K251">_xlfn.SWITCH(Table1[[#This Row],[Product ID]],"P001",220,"P002",150,"P003",130,"P004",70,"P005",200,"P006",40,"P007",25,"P008",20,"P009",190,"P010",530)</f>
        <v>40</v>
      </c>
      <c r="L251">
        <v>6</v>
      </c>
      <c r="M251" s="1">
        <f>Table1[[#This Row],[Unit Price]]*Table1[[#This Row],[Quantity]]</f>
        <v>240</v>
      </c>
      <c r="N251" s="2">
        <v>0.03</v>
      </c>
      <c r="O251" s="1">
        <f>Table1[[#This Row],[Gross Value]]*(1-Table1[[#This Row],[Discount]])</f>
        <v>232.79999999999998</v>
      </c>
      <c r="P251" s="2">
        <v>0.2</v>
      </c>
      <c r="Q251" s="1">
        <f>Table1[[#This Row],[Revenue]]*Table1[[#This Row],[VAT Rate]]</f>
        <v>46.56</v>
      </c>
      <c r="R251" s="1">
        <f>Table1[[#This Row],[Revenue]]+Table1[[#This Row],[VAT Charged]]</f>
        <v>279.36</v>
      </c>
      <c r="S251" s="1" cm="1">
        <f t="array" ref="S251">_xlfn.SWITCH(Table1[[#This Row],[Product ID]],"P001",140,"P002",80,"P003",72,"P004",30,"P005",110,"P006",24,"P007",14,"P008",12,"P009",115,"P010",360)</f>
        <v>24</v>
      </c>
      <c r="T251" s="1" cm="1">
        <f t="array" ref="T251">(_xlfn.SWITCH(Table1[[#This Row],[Product ID]],"P001",140,"P002",80,"P003",72,"P004",30,"P005",110,"P006",24,"P007",14,"P008",12,"P009",115,"P010",360))*Table1[[#This Row],[Quantity]]</f>
        <v>144</v>
      </c>
      <c r="U251" s="1" cm="1">
        <f t="array" ref="U251">_xlfn.SWITCH(Table1[[#This Row],[Product ID]],"P001",15,"P002",0,"P003",8,"P004",8,"P005",0,"P006",7,"P007",7,"P008",6,"P009",45,"P010",60)</f>
        <v>7</v>
      </c>
      <c r="V251" s="1">
        <f>Table1[[#This Row],[Shipping per Unit]]*Table1[[#This Row],[Quantity]]</f>
        <v>42</v>
      </c>
      <c r="W251" s="2">
        <f>IF(Table1[[#This Row],[Total Shipping]]&gt;0.1,0.2,0)</f>
        <v>0.2</v>
      </c>
      <c r="X251" s="4">
        <f>Table1[[#This Row],[Total Shipping]]*Table1[[#This Row],[VAT on Shipping]]</f>
        <v>8.4</v>
      </c>
      <c r="Y251" s="1">
        <f>Table1[[#This Row],[Revenue]]-Table1[[#This Row],[COGS]]</f>
        <v>88.799999999999983</v>
      </c>
      <c r="Z251" s="3">
        <f>(Table1[[#This Row],[Profit]]/Table1[[#This Row],[Revenue]])</f>
        <v>0.38144329896907214</v>
      </c>
      <c r="AA251" s="1">
        <f>Table1[[#This Row],[Profit]]-Table1[[#This Row],[Total Shipping]]</f>
        <v>46.799999999999983</v>
      </c>
      <c r="AB251" s="3">
        <f>Table1[[#This Row],[Operating Profit]]/Table1[[#This Row],[Revenue]]</f>
        <v>0.2010309278350515</v>
      </c>
    </row>
    <row r="252" spans="1:28" x14ac:dyDescent="0.25">
      <c r="A252" t="s">
        <v>177</v>
      </c>
      <c r="B252">
        <v>627</v>
      </c>
      <c r="C252" t="s">
        <v>29</v>
      </c>
      <c r="D252" t="s">
        <v>67</v>
      </c>
      <c r="E252" t="s">
        <v>49</v>
      </c>
      <c r="F252" t="s">
        <v>50</v>
      </c>
      <c r="G252" t="str" cm="1">
        <f t="array" ref="G252">_xlfn.SWITCH(F252,"Acme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252" t="s">
        <v>104</v>
      </c>
      <c r="I252" t="s">
        <v>60</v>
      </c>
      <c r="J252" t="str" cm="1">
        <f t="array" ref="J252">_xlfn.SWITCH(I252,"P001","Laptop","P002","Server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52" s="1" cm="1">
        <f t="array" ref="K252">_xlfn.SWITCH(Table1[[#This Row],[Product ID]],"P001",220,"P002",150,"P003",130,"P004",70,"P005",200,"P006",40,"P007",25,"P008",20,"P009",190,"P010",530)</f>
        <v>25</v>
      </c>
      <c r="L252">
        <v>17</v>
      </c>
      <c r="M252" s="1">
        <f>Table1[[#This Row],[Unit Price]]*Table1[[#This Row],[Quantity]]</f>
        <v>425</v>
      </c>
      <c r="N252" s="2">
        <v>0.1</v>
      </c>
      <c r="O252" s="1">
        <f>Table1[[#This Row],[Gross Value]]*(1-Table1[[#This Row],[Discount]])</f>
        <v>382.5</v>
      </c>
      <c r="P252" s="2">
        <v>0.2</v>
      </c>
      <c r="Q252" s="1">
        <f>Table1[[#This Row],[Revenue]]*Table1[[#This Row],[VAT Rate]]</f>
        <v>76.5</v>
      </c>
      <c r="R252" s="1">
        <f>Table1[[#This Row],[Revenue]]+Table1[[#This Row],[VAT Charged]]</f>
        <v>459</v>
      </c>
      <c r="S252" s="1" cm="1">
        <f t="array" ref="S252">_xlfn.SWITCH(Table1[[#This Row],[Product ID]],"P001",140,"P002",80,"P003",72,"P004",30,"P005",110,"P006",24,"P007",14,"P008",12,"P009",115,"P010",360)</f>
        <v>14</v>
      </c>
      <c r="T252" s="1" cm="1">
        <f t="array" ref="T252">(_xlfn.SWITCH(Table1[[#This Row],[Product ID]],"P001",140,"P002",80,"P003",72,"P004",30,"P005",110,"P006",24,"P007",14,"P008",12,"P009",115,"P010",360))*Table1[[#This Row],[Quantity]]</f>
        <v>238</v>
      </c>
      <c r="U252" s="1" cm="1">
        <f t="array" ref="U252">_xlfn.SWITCH(Table1[[#This Row],[Product ID]],"P001",15,"P002",0,"P003",8,"P004",8,"P005",0,"P006",7,"P007",7,"P008",6,"P009",45,"P010",60)</f>
        <v>7</v>
      </c>
      <c r="V252" s="1">
        <f>Table1[[#This Row],[Shipping per Unit]]*Table1[[#This Row],[Quantity]]</f>
        <v>119</v>
      </c>
      <c r="W252" s="2">
        <f>IF(Table1[[#This Row],[Total Shipping]]&gt;0.1,0.2,0)</f>
        <v>0.2</v>
      </c>
      <c r="X252" s="4">
        <f>Table1[[#This Row],[Total Shipping]]*Table1[[#This Row],[VAT on Shipping]]</f>
        <v>23.8</v>
      </c>
      <c r="Y252" s="1">
        <f>Table1[[#This Row],[Revenue]]-Table1[[#This Row],[COGS]]</f>
        <v>144.5</v>
      </c>
      <c r="Z252" s="3">
        <f>(Table1[[#This Row],[Profit]]/Table1[[#This Row],[Revenue]])</f>
        <v>0.37777777777777777</v>
      </c>
      <c r="AA252" s="1">
        <f>Table1[[#This Row],[Profit]]-Table1[[#This Row],[Total Shipping]]</f>
        <v>25.5</v>
      </c>
      <c r="AB252" s="3">
        <f>Table1[[#This Row],[Operating Profit]]/Table1[[#This Row],[Revenue]]</f>
        <v>6.6666666666666666E-2</v>
      </c>
    </row>
    <row r="253" spans="1:28" x14ac:dyDescent="0.25">
      <c r="A253" t="s">
        <v>177</v>
      </c>
      <c r="B253">
        <v>846</v>
      </c>
      <c r="C253" t="s">
        <v>83</v>
      </c>
      <c r="D253" t="s">
        <v>63</v>
      </c>
      <c r="E253" t="s">
        <v>49</v>
      </c>
      <c r="F253" t="s">
        <v>126</v>
      </c>
      <c r="G253" t="str" cm="1">
        <f t="array" ref="G253">_xlfn.SWITCH(F253,"Acme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253" t="s">
        <v>33</v>
      </c>
      <c r="I253" t="s">
        <v>55</v>
      </c>
      <c r="J253" t="str" cm="1">
        <f t="array" ref="J253">_xlfn.SWITCH(I253,"P001","Laptop","P002","Server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53" s="1" cm="1">
        <f t="array" ref="K253">_xlfn.SWITCH(Table1[[#This Row],[Product ID]],"P001",220,"P002",150,"P003",130,"P004",70,"P005",200,"P006",40,"P007",25,"P008",20,"P009",190,"P010",530)</f>
        <v>70</v>
      </c>
      <c r="L253">
        <v>7</v>
      </c>
      <c r="M253" s="1">
        <f>Table1[[#This Row],[Unit Price]]*Table1[[#This Row],[Quantity]]</f>
        <v>490</v>
      </c>
      <c r="N253" s="2">
        <v>0.03</v>
      </c>
      <c r="O253" s="1">
        <f>Table1[[#This Row],[Gross Value]]*(1-Table1[[#This Row],[Discount]])</f>
        <v>475.3</v>
      </c>
      <c r="P253" s="2">
        <v>0.2</v>
      </c>
      <c r="Q253" s="1">
        <f>Table1[[#This Row],[Revenue]]*Table1[[#This Row],[VAT Rate]]</f>
        <v>95.06</v>
      </c>
      <c r="R253" s="1">
        <f>Table1[[#This Row],[Revenue]]+Table1[[#This Row],[VAT Charged]]</f>
        <v>570.36</v>
      </c>
      <c r="S253" s="1" cm="1">
        <f t="array" ref="S253">_xlfn.SWITCH(Table1[[#This Row],[Product ID]],"P001",140,"P002",80,"P003",72,"P004",30,"P005",110,"P006",24,"P007",14,"P008",12,"P009",115,"P010",360)</f>
        <v>30</v>
      </c>
      <c r="T253" s="1" cm="1">
        <f t="array" ref="T253">(_xlfn.SWITCH(Table1[[#This Row],[Product ID]],"P001",140,"P002",80,"P003",72,"P004",30,"P005",110,"P006",24,"P007",14,"P008",12,"P009",115,"P010",360))*Table1[[#This Row],[Quantity]]</f>
        <v>210</v>
      </c>
      <c r="U253" s="1" cm="1">
        <f t="array" ref="U253">_xlfn.SWITCH(Table1[[#This Row],[Product ID]],"P001",15,"P002",0,"P003",8,"P004",8,"P005",0,"P006",7,"P007",7,"P008",6,"P009",45,"P010",60)</f>
        <v>8</v>
      </c>
      <c r="V253" s="1">
        <f>Table1[[#This Row],[Shipping per Unit]]*Table1[[#This Row],[Quantity]]</f>
        <v>56</v>
      </c>
      <c r="W253" s="2">
        <f>IF(Table1[[#This Row],[Total Shipping]]&gt;0.1,0.2,0)</f>
        <v>0.2</v>
      </c>
      <c r="X253" s="4">
        <f>Table1[[#This Row],[Total Shipping]]*Table1[[#This Row],[VAT on Shipping]]</f>
        <v>11.200000000000001</v>
      </c>
      <c r="Y253" s="1">
        <f>Table1[[#This Row],[Revenue]]-Table1[[#This Row],[COGS]]</f>
        <v>265.3</v>
      </c>
      <c r="Z253" s="3">
        <f>(Table1[[#This Row],[Profit]]/Table1[[#This Row],[Revenue]])</f>
        <v>0.5581737849779087</v>
      </c>
      <c r="AA253" s="1">
        <f>Table1[[#This Row],[Profit]]-Table1[[#This Row],[Total Shipping]]</f>
        <v>209.3</v>
      </c>
      <c r="AB253" s="3">
        <f>Table1[[#This Row],[Operating Profit]]/Table1[[#This Row],[Revenue]]</f>
        <v>0.44035346097201766</v>
      </c>
    </row>
    <row r="254" spans="1:28" x14ac:dyDescent="0.25">
      <c r="A254" t="s">
        <v>178</v>
      </c>
      <c r="B254">
        <v>208</v>
      </c>
      <c r="C254" t="s">
        <v>83</v>
      </c>
      <c r="D254" t="s">
        <v>30</v>
      </c>
      <c r="E254" t="s">
        <v>49</v>
      </c>
      <c r="F254" t="s">
        <v>74</v>
      </c>
      <c r="G254" t="str" cm="1">
        <f t="array" ref="G254">_xlfn.SWITCH(F254,"Acme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254" t="s">
        <v>33</v>
      </c>
      <c r="I254" t="s">
        <v>34</v>
      </c>
      <c r="J254" t="str" cm="1">
        <f t="array" ref="J254">_xlfn.SWITCH(I254,"P001","Laptop","P002","Server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54" s="1" cm="1">
        <f t="array" ref="K254">_xlfn.SWITCH(Table1[[#This Row],[Product ID]],"P001",220,"P002",150,"P003",130,"P004",70,"P005",200,"P006",40,"P007",25,"P008",20,"P009",190,"P010",530)</f>
        <v>20</v>
      </c>
      <c r="L254">
        <v>8</v>
      </c>
      <c r="M254" s="1">
        <f>Table1[[#This Row],[Unit Price]]*Table1[[#This Row],[Quantity]]</f>
        <v>160</v>
      </c>
      <c r="N254" s="2">
        <v>0.04</v>
      </c>
      <c r="O254" s="1">
        <f>Table1[[#This Row],[Gross Value]]*(1-Table1[[#This Row],[Discount]])</f>
        <v>153.6</v>
      </c>
      <c r="P254" s="2">
        <v>0.2</v>
      </c>
      <c r="Q254" s="1">
        <f>Table1[[#This Row],[Revenue]]*Table1[[#This Row],[VAT Rate]]</f>
        <v>30.72</v>
      </c>
      <c r="R254" s="1">
        <f>Table1[[#This Row],[Revenue]]+Table1[[#This Row],[VAT Charged]]</f>
        <v>184.32</v>
      </c>
      <c r="S254" s="1" cm="1">
        <f t="array" ref="S254">_xlfn.SWITCH(Table1[[#This Row],[Product ID]],"P001",140,"P002",80,"P003",72,"P004",30,"P005",110,"P006",24,"P007",14,"P008",12,"P009",115,"P010",360)</f>
        <v>12</v>
      </c>
      <c r="T254" s="1" cm="1">
        <f t="array" ref="T254">(_xlfn.SWITCH(Table1[[#This Row],[Product ID]],"P001",140,"P002",80,"P003",72,"P004",30,"P005",110,"P006",24,"P007",14,"P008",12,"P009",115,"P010",360))*Table1[[#This Row],[Quantity]]</f>
        <v>96</v>
      </c>
      <c r="U254" s="1" cm="1">
        <f t="array" ref="U254">_xlfn.SWITCH(Table1[[#This Row],[Product ID]],"P001",15,"P002",0,"P003",8,"P004",8,"P005",0,"P006",7,"P007",7,"P008",6,"P009",45,"P010",60)</f>
        <v>6</v>
      </c>
      <c r="V254" s="1">
        <f>Table1[[#This Row],[Shipping per Unit]]*Table1[[#This Row],[Quantity]]</f>
        <v>48</v>
      </c>
      <c r="W254" s="2">
        <f>IF(Table1[[#This Row],[Total Shipping]]&gt;0.1,0.2,0)</f>
        <v>0.2</v>
      </c>
      <c r="X254" s="4">
        <f>Table1[[#This Row],[Total Shipping]]*Table1[[#This Row],[VAT on Shipping]]</f>
        <v>9.6000000000000014</v>
      </c>
      <c r="Y254" s="1">
        <f>Table1[[#This Row],[Revenue]]-Table1[[#This Row],[COGS]]</f>
        <v>57.599999999999994</v>
      </c>
      <c r="Z254" s="3">
        <f>(Table1[[#This Row],[Profit]]/Table1[[#This Row],[Revenue]])</f>
        <v>0.375</v>
      </c>
      <c r="AA254" s="1">
        <f>Table1[[#This Row],[Profit]]-Table1[[#This Row],[Total Shipping]]</f>
        <v>9.5999999999999943</v>
      </c>
      <c r="AB254" s="3">
        <f>Table1[[#This Row],[Operating Profit]]/Table1[[#This Row],[Revenue]]</f>
        <v>6.2499999999999965E-2</v>
      </c>
    </row>
    <row r="255" spans="1:28" x14ac:dyDescent="0.25">
      <c r="A255" t="s">
        <v>178</v>
      </c>
      <c r="B255">
        <v>528</v>
      </c>
      <c r="C255" t="s">
        <v>56</v>
      </c>
      <c r="D255" t="s">
        <v>72</v>
      </c>
      <c r="E255" t="s">
        <v>40</v>
      </c>
      <c r="F255" t="s">
        <v>126</v>
      </c>
      <c r="G255" t="str" cm="1">
        <f t="array" ref="G255">_xlfn.SWITCH(F255,"Acme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255" t="s">
        <v>58</v>
      </c>
      <c r="I255" t="s">
        <v>60</v>
      </c>
      <c r="J255" t="str" cm="1">
        <f t="array" ref="J255">_xlfn.SWITCH(I255,"P001","Laptop","P002","Server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55" s="1" cm="1">
        <f t="array" ref="K255">_xlfn.SWITCH(Table1[[#This Row],[Product ID]],"P001",220,"P002",150,"P003",130,"P004",70,"P005",200,"P006",40,"P007",25,"P008",20,"P009",190,"P010",530)</f>
        <v>25</v>
      </c>
      <c r="L255">
        <v>8</v>
      </c>
      <c r="M255" s="1">
        <f>Table1[[#This Row],[Unit Price]]*Table1[[#This Row],[Quantity]]</f>
        <v>200</v>
      </c>
      <c r="N255" s="2">
        <v>0.02</v>
      </c>
      <c r="O255" s="1">
        <f>Table1[[#This Row],[Gross Value]]*(1-Table1[[#This Row],[Discount]])</f>
        <v>196</v>
      </c>
      <c r="P255" s="2">
        <v>0.2</v>
      </c>
      <c r="Q255" s="1">
        <f>Table1[[#This Row],[Revenue]]*Table1[[#This Row],[VAT Rate]]</f>
        <v>39.200000000000003</v>
      </c>
      <c r="R255" s="1">
        <f>Table1[[#This Row],[Revenue]]+Table1[[#This Row],[VAT Charged]]</f>
        <v>235.2</v>
      </c>
      <c r="S255" s="1" cm="1">
        <f t="array" ref="S255">_xlfn.SWITCH(Table1[[#This Row],[Product ID]],"P001",140,"P002",80,"P003",72,"P004",30,"P005",110,"P006",24,"P007",14,"P008",12,"P009",115,"P010",360)</f>
        <v>14</v>
      </c>
      <c r="T255" s="1" cm="1">
        <f t="array" ref="T255">(_xlfn.SWITCH(Table1[[#This Row],[Product ID]],"P001",140,"P002",80,"P003",72,"P004",30,"P005",110,"P006",24,"P007",14,"P008",12,"P009",115,"P010",360))*Table1[[#This Row],[Quantity]]</f>
        <v>112</v>
      </c>
      <c r="U255" s="1" cm="1">
        <f t="array" ref="U255">_xlfn.SWITCH(Table1[[#This Row],[Product ID]],"P001",15,"P002",0,"P003",8,"P004",8,"P005",0,"P006",7,"P007",7,"P008",6,"P009",45,"P010",60)</f>
        <v>7</v>
      </c>
      <c r="V255" s="1">
        <f>Table1[[#This Row],[Shipping per Unit]]*Table1[[#This Row],[Quantity]]</f>
        <v>56</v>
      </c>
      <c r="W255" s="2">
        <f>IF(Table1[[#This Row],[Total Shipping]]&gt;0.1,0.2,0)</f>
        <v>0.2</v>
      </c>
      <c r="X255" s="4">
        <f>Table1[[#This Row],[Total Shipping]]*Table1[[#This Row],[VAT on Shipping]]</f>
        <v>11.200000000000001</v>
      </c>
      <c r="Y255" s="1">
        <f>Table1[[#This Row],[Revenue]]-Table1[[#This Row],[COGS]]</f>
        <v>84</v>
      </c>
      <c r="Z255" s="3">
        <f>(Table1[[#This Row],[Profit]]/Table1[[#This Row],[Revenue]])</f>
        <v>0.42857142857142855</v>
      </c>
      <c r="AA255" s="1">
        <f>Table1[[#This Row],[Profit]]-Table1[[#This Row],[Total Shipping]]</f>
        <v>28</v>
      </c>
      <c r="AB255" s="3">
        <f>Table1[[#This Row],[Operating Profit]]/Table1[[#This Row],[Revenue]]</f>
        <v>0.14285714285714285</v>
      </c>
    </row>
    <row r="256" spans="1:28" x14ac:dyDescent="0.25">
      <c r="A256" t="s">
        <v>179</v>
      </c>
      <c r="B256">
        <v>216</v>
      </c>
      <c r="C256" t="s">
        <v>29</v>
      </c>
      <c r="D256" t="s">
        <v>57</v>
      </c>
      <c r="E256" t="s">
        <v>40</v>
      </c>
      <c r="F256" t="s">
        <v>90</v>
      </c>
      <c r="G256" t="str" cm="1">
        <f t="array" ref="G256">_xlfn.SWITCH(F256,"Acme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256" t="s">
        <v>51</v>
      </c>
      <c r="I256" t="s">
        <v>55</v>
      </c>
      <c r="J256" t="str" cm="1">
        <f t="array" ref="J256">_xlfn.SWITCH(I256,"P001","Laptop","P002","Server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56" s="1" cm="1">
        <f t="array" ref="K256">_xlfn.SWITCH(Table1[[#This Row],[Product ID]],"P001",220,"P002",150,"P003",130,"P004",70,"P005",200,"P006",40,"P007",25,"P008",20,"P009",190,"P010",530)</f>
        <v>70</v>
      </c>
      <c r="L256">
        <v>14</v>
      </c>
      <c r="M256" s="1">
        <f>Table1[[#This Row],[Unit Price]]*Table1[[#This Row],[Quantity]]</f>
        <v>980</v>
      </c>
      <c r="N256" s="2">
        <v>0.06</v>
      </c>
      <c r="O256" s="1">
        <f>Table1[[#This Row],[Gross Value]]*(1-Table1[[#This Row],[Discount]])</f>
        <v>921.19999999999993</v>
      </c>
      <c r="P256" s="2">
        <v>0.2</v>
      </c>
      <c r="Q256" s="1">
        <f>Table1[[#This Row],[Revenue]]*Table1[[#This Row],[VAT Rate]]</f>
        <v>184.24</v>
      </c>
      <c r="R256" s="1">
        <f>Table1[[#This Row],[Revenue]]+Table1[[#This Row],[VAT Charged]]</f>
        <v>1105.44</v>
      </c>
      <c r="S256" s="1" cm="1">
        <f t="array" ref="S256">_xlfn.SWITCH(Table1[[#This Row],[Product ID]],"P001",140,"P002",80,"P003",72,"P004",30,"P005",110,"P006",24,"P007",14,"P008",12,"P009",115,"P010",360)</f>
        <v>30</v>
      </c>
      <c r="T256" s="1" cm="1">
        <f t="array" ref="T256">(_xlfn.SWITCH(Table1[[#This Row],[Product ID]],"P001",140,"P002",80,"P003",72,"P004",30,"P005",110,"P006",24,"P007",14,"P008",12,"P009",115,"P010",360))*Table1[[#This Row],[Quantity]]</f>
        <v>420</v>
      </c>
      <c r="U256" s="1" cm="1">
        <f t="array" ref="U256">_xlfn.SWITCH(Table1[[#This Row],[Product ID]],"P001",15,"P002",0,"P003",8,"P004",8,"P005",0,"P006",7,"P007",7,"P008",6,"P009",45,"P010",60)</f>
        <v>8</v>
      </c>
      <c r="V256" s="1">
        <f>Table1[[#This Row],[Shipping per Unit]]*Table1[[#This Row],[Quantity]]</f>
        <v>112</v>
      </c>
      <c r="W256" s="2">
        <f>IF(Table1[[#This Row],[Total Shipping]]&gt;0.1,0.2,0)</f>
        <v>0.2</v>
      </c>
      <c r="X256" s="4">
        <f>Table1[[#This Row],[Total Shipping]]*Table1[[#This Row],[VAT on Shipping]]</f>
        <v>22.400000000000002</v>
      </c>
      <c r="Y256" s="1">
        <f>Table1[[#This Row],[Revenue]]-Table1[[#This Row],[COGS]]</f>
        <v>501.19999999999993</v>
      </c>
      <c r="Z256" s="3">
        <f>(Table1[[#This Row],[Profit]]/Table1[[#This Row],[Revenue]])</f>
        <v>0.54407294832826747</v>
      </c>
      <c r="AA256" s="1">
        <f>Table1[[#This Row],[Profit]]-Table1[[#This Row],[Total Shipping]]</f>
        <v>389.19999999999993</v>
      </c>
      <c r="AB256" s="3">
        <f>Table1[[#This Row],[Operating Profit]]/Table1[[#This Row],[Revenue]]</f>
        <v>0.42249240121580545</v>
      </c>
    </row>
    <row r="257" spans="1:28" x14ac:dyDescent="0.25">
      <c r="A257" t="s">
        <v>180</v>
      </c>
      <c r="B257">
        <v>480</v>
      </c>
      <c r="C257" t="s">
        <v>29</v>
      </c>
      <c r="D257" t="s">
        <v>53</v>
      </c>
      <c r="E257" t="s">
        <v>49</v>
      </c>
      <c r="F257" t="s">
        <v>44</v>
      </c>
      <c r="G257" t="str" cm="1">
        <f t="array" ref="G257">_xlfn.SWITCH(F257,"Acme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257" t="s">
        <v>33</v>
      </c>
      <c r="I257" t="s">
        <v>42</v>
      </c>
      <c r="J257" t="str" cm="1">
        <f t="array" ref="J257">_xlfn.SWITCH(I257,"P001","Laptop","P002","Server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57" s="1" cm="1">
        <f t="array" ref="K257">_xlfn.SWITCH(Table1[[#This Row],[Product ID]],"P001",220,"P002",150,"P003",130,"P004",70,"P005",200,"P006",40,"P007",25,"P008",20,"P009",190,"P010",530)</f>
        <v>40</v>
      </c>
      <c r="L257">
        <v>4</v>
      </c>
      <c r="M257" s="1">
        <f>Table1[[#This Row],[Unit Price]]*Table1[[#This Row],[Quantity]]</f>
        <v>160</v>
      </c>
      <c r="N257" s="2">
        <v>7.0000000000000007E-2</v>
      </c>
      <c r="O257" s="1">
        <f>Table1[[#This Row],[Gross Value]]*(1-Table1[[#This Row],[Discount]])</f>
        <v>148.79999999999998</v>
      </c>
      <c r="P257" s="2">
        <v>0.2</v>
      </c>
      <c r="Q257" s="1">
        <f>Table1[[#This Row],[Revenue]]*Table1[[#This Row],[VAT Rate]]</f>
        <v>29.759999999999998</v>
      </c>
      <c r="R257" s="1">
        <f>Table1[[#This Row],[Revenue]]+Table1[[#This Row],[VAT Charged]]</f>
        <v>178.55999999999997</v>
      </c>
      <c r="S257" s="1" cm="1">
        <f t="array" ref="S257">_xlfn.SWITCH(Table1[[#This Row],[Product ID]],"P001",140,"P002",80,"P003",72,"P004",30,"P005",110,"P006",24,"P007",14,"P008",12,"P009",115,"P010",360)</f>
        <v>24</v>
      </c>
      <c r="T257" s="1" cm="1">
        <f t="array" ref="T257">(_xlfn.SWITCH(Table1[[#This Row],[Product ID]],"P001",140,"P002",80,"P003",72,"P004",30,"P005",110,"P006",24,"P007",14,"P008",12,"P009",115,"P010",360))*Table1[[#This Row],[Quantity]]</f>
        <v>96</v>
      </c>
      <c r="U257" s="1" cm="1">
        <f t="array" ref="U257">_xlfn.SWITCH(Table1[[#This Row],[Product ID]],"P001",15,"P002",0,"P003",8,"P004",8,"P005",0,"P006",7,"P007",7,"P008",6,"P009",45,"P010",60)</f>
        <v>7</v>
      </c>
      <c r="V257" s="1">
        <f>Table1[[#This Row],[Shipping per Unit]]*Table1[[#This Row],[Quantity]]</f>
        <v>28</v>
      </c>
      <c r="W257" s="2">
        <f>IF(Table1[[#This Row],[Total Shipping]]&gt;0.1,0.2,0)</f>
        <v>0.2</v>
      </c>
      <c r="X257" s="4">
        <f>Table1[[#This Row],[Total Shipping]]*Table1[[#This Row],[VAT on Shipping]]</f>
        <v>5.6000000000000005</v>
      </c>
      <c r="Y257" s="1">
        <f>Table1[[#This Row],[Revenue]]-Table1[[#This Row],[COGS]]</f>
        <v>52.799999999999983</v>
      </c>
      <c r="Z257" s="3">
        <f>(Table1[[#This Row],[Profit]]/Table1[[#This Row],[Revenue]])</f>
        <v>0.35483870967741926</v>
      </c>
      <c r="AA257" s="1">
        <f>Table1[[#This Row],[Profit]]-Table1[[#This Row],[Total Shipping]]</f>
        <v>24.799999999999983</v>
      </c>
      <c r="AB257" s="3">
        <f>Table1[[#This Row],[Operating Profit]]/Table1[[#This Row],[Revenue]]</f>
        <v>0.16666666666666657</v>
      </c>
    </row>
    <row r="258" spans="1:28" x14ac:dyDescent="0.25">
      <c r="A258" t="s">
        <v>180</v>
      </c>
      <c r="B258">
        <v>492</v>
      </c>
      <c r="C258" t="s">
        <v>56</v>
      </c>
      <c r="D258" t="s">
        <v>53</v>
      </c>
      <c r="E258" t="s">
        <v>49</v>
      </c>
      <c r="F258" t="s">
        <v>50</v>
      </c>
      <c r="G258" t="str" cm="1">
        <f t="array" ref="G258">_xlfn.SWITCH(F258,"Acme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258" t="s">
        <v>33</v>
      </c>
      <c r="I258" t="s">
        <v>42</v>
      </c>
      <c r="J258" t="str" cm="1">
        <f t="array" ref="J258">_xlfn.SWITCH(I258,"P001","Laptop","P002","Server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58" s="1" cm="1">
        <f t="array" ref="K258">_xlfn.SWITCH(Table1[[#This Row],[Product ID]],"P001",220,"P002",150,"P003",130,"P004",70,"P005",200,"P006",40,"P007",25,"P008",20,"P009",190,"P010",530)</f>
        <v>40</v>
      </c>
      <c r="L258">
        <v>16</v>
      </c>
      <c r="M258" s="1">
        <f>Table1[[#This Row],[Unit Price]]*Table1[[#This Row],[Quantity]]</f>
        <v>640</v>
      </c>
      <c r="N258" s="2">
        <v>0.03</v>
      </c>
      <c r="O258" s="1">
        <f>Table1[[#This Row],[Gross Value]]*(1-Table1[[#This Row],[Discount]])</f>
        <v>620.79999999999995</v>
      </c>
      <c r="P258" s="2">
        <v>0.2</v>
      </c>
      <c r="Q258" s="1">
        <f>Table1[[#This Row],[Revenue]]*Table1[[#This Row],[VAT Rate]]</f>
        <v>124.16</v>
      </c>
      <c r="R258" s="1">
        <f>Table1[[#This Row],[Revenue]]+Table1[[#This Row],[VAT Charged]]</f>
        <v>744.95999999999992</v>
      </c>
      <c r="S258" s="1" cm="1">
        <f t="array" ref="S258">_xlfn.SWITCH(Table1[[#This Row],[Product ID]],"P001",140,"P002",80,"P003",72,"P004",30,"P005",110,"P006",24,"P007",14,"P008",12,"P009",115,"P010",360)</f>
        <v>24</v>
      </c>
      <c r="T258" s="1" cm="1">
        <f t="array" ref="T258">(_xlfn.SWITCH(Table1[[#This Row],[Product ID]],"P001",140,"P002",80,"P003",72,"P004",30,"P005",110,"P006",24,"P007",14,"P008",12,"P009",115,"P010",360))*Table1[[#This Row],[Quantity]]</f>
        <v>384</v>
      </c>
      <c r="U258" s="1" cm="1">
        <f t="array" ref="U258">_xlfn.SWITCH(Table1[[#This Row],[Product ID]],"P001",15,"P002",0,"P003",8,"P004",8,"P005",0,"P006",7,"P007",7,"P008",6,"P009",45,"P010",60)</f>
        <v>7</v>
      </c>
      <c r="V258" s="1">
        <f>Table1[[#This Row],[Shipping per Unit]]*Table1[[#This Row],[Quantity]]</f>
        <v>112</v>
      </c>
      <c r="W258" s="2">
        <f>IF(Table1[[#This Row],[Total Shipping]]&gt;0.1,0.2,0)</f>
        <v>0.2</v>
      </c>
      <c r="X258" s="4">
        <f>Table1[[#This Row],[Total Shipping]]*Table1[[#This Row],[VAT on Shipping]]</f>
        <v>22.400000000000002</v>
      </c>
      <c r="Y258" s="1">
        <f>Table1[[#This Row],[Revenue]]-Table1[[#This Row],[COGS]]</f>
        <v>236.79999999999995</v>
      </c>
      <c r="Z258" s="3">
        <f>(Table1[[#This Row],[Profit]]/Table1[[#This Row],[Revenue]])</f>
        <v>0.38144329896907214</v>
      </c>
      <c r="AA258" s="1">
        <f>Table1[[#This Row],[Profit]]-Table1[[#This Row],[Total Shipping]]</f>
        <v>124.79999999999995</v>
      </c>
      <c r="AB258" s="3">
        <f>Table1[[#This Row],[Operating Profit]]/Table1[[#This Row],[Revenue]]</f>
        <v>0.2010309278350515</v>
      </c>
    </row>
    <row r="259" spans="1:28" x14ac:dyDescent="0.25">
      <c r="A259" t="s">
        <v>180</v>
      </c>
      <c r="B259">
        <v>603</v>
      </c>
      <c r="C259" t="s">
        <v>35</v>
      </c>
      <c r="D259" t="s">
        <v>57</v>
      </c>
      <c r="E259" t="s">
        <v>49</v>
      </c>
      <c r="F259" t="s">
        <v>102</v>
      </c>
      <c r="G259" t="str" cm="1">
        <f t="array" ref="G259">_xlfn.SWITCH(F259,"Acme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259" t="s">
        <v>58</v>
      </c>
      <c r="I259" t="s">
        <v>68</v>
      </c>
      <c r="J259" t="str" cm="1">
        <f t="array" ref="J259">_xlfn.SWITCH(I259,"P001","Laptop","P002","Server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259" s="1" cm="1">
        <f t="array" ref="K259">_xlfn.SWITCH(Table1[[#This Row],[Product ID]],"P001",220,"P002",150,"P003",130,"P004",70,"P005",200,"P006",40,"P007",25,"P008",20,"P009",190,"P010",530)</f>
        <v>220</v>
      </c>
      <c r="L259">
        <v>5</v>
      </c>
      <c r="M259" s="1">
        <f>Table1[[#This Row],[Unit Price]]*Table1[[#This Row],[Quantity]]</f>
        <v>1100</v>
      </c>
      <c r="N259" s="2">
        <v>0.05</v>
      </c>
      <c r="O259" s="1">
        <f>Table1[[#This Row],[Gross Value]]*(1-Table1[[#This Row],[Discount]])</f>
        <v>1045</v>
      </c>
      <c r="P259" s="2">
        <v>0.2</v>
      </c>
      <c r="Q259" s="1">
        <f>Table1[[#This Row],[Revenue]]*Table1[[#This Row],[VAT Rate]]</f>
        <v>209</v>
      </c>
      <c r="R259" s="1">
        <f>Table1[[#This Row],[Revenue]]+Table1[[#This Row],[VAT Charged]]</f>
        <v>1254</v>
      </c>
      <c r="S259" s="1" cm="1">
        <f t="array" ref="S259">_xlfn.SWITCH(Table1[[#This Row],[Product ID]],"P001",140,"P002",80,"P003",72,"P004",30,"P005",110,"P006",24,"P007",14,"P008",12,"P009",115,"P010",360)</f>
        <v>140</v>
      </c>
      <c r="T259" s="1" cm="1">
        <f t="array" ref="T259">(_xlfn.SWITCH(Table1[[#This Row],[Product ID]],"P001",140,"P002",80,"P003",72,"P004",30,"P005",110,"P006",24,"P007",14,"P008",12,"P009",115,"P010",360))*Table1[[#This Row],[Quantity]]</f>
        <v>700</v>
      </c>
      <c r="U259" s="1" cm="1">
        <f t="array" ref="U259">_xlfn.SWITCH(Table1[[#This Row],[Product ID]],"P001",15,"P002",0,"P003",8,"P004",8,"P005",0,"P006",7,"P007",7,"P008",6,"P009",45,"P010",60)</f>
        <v>15</v>
      </c>
      <c r="V259" s="1">
        <f>Table1[[#This Row],[Shipping per Unit]]*Table1[[#This Row],[Quantity]]</f>
        <v>75</v>
      </c>
      <c r="W259" s="2">
        <f>IF(Table1[[#This Row],[Total Shipping]]&gt;0.1,0.2,0)</f>
        <v>0.2</v>
      </c>
      <c r="X259" s="4">
        <f>Table1[[#This Row],[Total Shipping]]*Table1[[#This Row],[VAT on Shipping]]</f>
        <v>15</v>
      </c>
      <c r="Y259" s="1">
        <f>Table1[[#This Row],[Revenue]]-Table1[[#This Row],[COGS]]</f>
        <v>345</v>
      </c>
      <c r="Z259" s="3">
        <f>(Table1[[#This Row],[Profit]]/Table1[[#This Row],[Revenue]])</f>
        <v>0.33014354066985646</v>
      </c>
      <c r="AA259" s="1">
        <f>Table1[[#This Row],[Profit]]-Table1[[#This Row],[Total Shipping]]</f>
        <v>270</v>
      </c>
      <c r="AB259" s="3">
        <f>Table1[[#This Row],[Operating Profit]]/Table1[[#This Row],[Revenue]]</f>
        <v>0.25837320574162681</v>
      </c>
    </row>
    <row r="260" spans="1:28" x14ac:dyDescent="0.25">
      <c r="A260" t="s">
        <v>180</v>
      </c>
      <c r="B260">
        <v>819</v>
      </c>
      <c r="C260" t="s">
        <v>65</v>
      </c>
      <c r="D260" t="s">
        <v>53</v>
      </c>
      <c r="E260" t="s">
        <v>31</v>
      </c>
      <c r="F260" t="s">
        <v>98</v>
      </c>
      <c r="G260" t="str" cm="1">
        <f t="array" ref="G260">_xlfn.SWITCH(F260,"Acme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260" t="s">
        <v>69</v>
      </c>
      <c r="I260" t="s">
        <v>91</v>
      </c>
      <c r="J260" t="str" cm="1">
        <f t="array" ref="J260">_xlfn.SWITCH(I260,"P001","Laptop","P002","Server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60" s="1" cm="1">
        <f t="array" ref="K260">_xlfn.SWITCH(Table1[[#This Row],[Product ID]],"P001",220,"P002",150,"P003",130,"P004",70,"P005",200,"P006",40,"P007",25,"P008",20,"P009",190,"P010",530)</f>
        <v>190</v>
      </c>
      <c r="L260">
        <v>4</v>
      </c>
      <c r="M260" s="1">
        <f>Table1[[#This Row],[Unit Price]]*Table1[[#This Row],[Quantity]]</f>
        <v>760</v>
      </c>
      <c r="N260" s="2">
        <v>0.03</v>
      </c>
      <c r="O260" s="1">
        <f>Table1[[#This Row],[Gross Value]]*(1-Table1[[#This Row],[Discount]])</f>
        <v>737.19999999999993</v>
      </c>
      <c r="P260" s="2">
        <v>0.2</v>
      </c>
      <c r="Q260" s="1">
        <f>Table1[[#This Row],[Revenue]]*Table1[[#This Row],[VAT Rate]]</f>
        <v>147.44</v>
      </c>
      <c r="R260" s="1">
        <f>Table1[[#This Row],[Revenue]]+Table1[[#This Row],[VAT Charged]]</f>
        <v>884.63999999999987</v>
      </c>
      <c r="S260" s="1" cm="1">
        <f t="array" ref="S260">_xlfn.SWITCH(Table1[[#This Row],[Product ID]],"P001",140,"P002",80,"P003",72,"P004",30,"P005",110,"P006",24,"P007",14,"P008",12,"P009",115,"P010",360)</f>
        <v>115</v>
      </c>
      <c r="T260" s="1" cm="1">
        <f t="array" ref="T260">(_xlfn.SWITCH(Table1[[#This Row],[Product ID]],"P001",140,"P002",80,"P003",72,"P004",30,"P005",110,"P006",24,"P007",14,"P008",12,"P009",115,"P010",360))*Table1[[#This Row],[Quantity]]</f>
        <v>460</v>
      </c>
      <c r="U260" s="1" cm="1">
        <f t="array" ref="U260">_xlfn.SWITCH(Table1[[#This Row],[Product ID]],"P001",15,"P002",0,"P003",8,"P004",8,"P005",0,"P006",7,"P007",7,"P008",6,"P009",45,"P010",60)</f>
        <v>45</v>
      </c>
      <c r="V260" s="1">
        <f>Table1[[#This Row],[Shipping per Unit]]*Table1[[#This Row],[Quantity]]</f>
        <v>180</v>
      </c>
      <c r="W260" s="2">
        <f>IF(Table1[[#This Row],[Total Shipping]]&gt;0.1,0.2,0)</f>
        <v>0.2</v>
      </c>
      <c r="X260" s="4">
        <f>Table1[[#This Row],[Total Shipping]]*Table1[[#This Row],[VAT on Shipping]]</f>
        <v>36</v>
      </c>
      <c r="Y260" s="1">
        <f>Table1[[#This Row],[Revenue]]-Table1[[#This Row],[COGS]]</f>
        <v>277.19999999999993</v>
      </c>
      <c r="Z260" s="3">
        <f>(Table1[[#This Row],[Profit]]/Table1[[#This Row],[Revenue]])</f>
        <v>0.37601736299511662</v>
      </c>
      <c r="AA260" s="1">
        <f>Table1[[#This Row],[Profit]]-Table1[[#This Row],[Total Shipping]]</f>
        <v>97.199999999999932</v>
      </c>
      <c r="AB260" s="3">
        <f>Table1[[#This Row],[Operating Profit]]/Table1[[#This Row],[Revenue]]</f>
        <v>0.13185024416711874</v>
      </c>
    </row>
    <row r="261" spans="1:28" x14ac:dyDescent="0.25">
      <c r="A261" t="s">
        <v>181</v>
      </c>
      <c r="B261">
        <v>73</v>
      </c>
      <c r="C261" t="s">
        <v>29</v>
      </c>
      <c r="D261" t="s">
        <v>36</v>
      </c>
      <c r="E261" t="s">
        <v>49</v>
      </c>
      <c r="F261" t="s">
        <v>54</v>
      </c>
      <c r="G261" t="str" cm="1">
        <f t="array" ref="G261">_xlfn.SWITCH(F261,"Acme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261" t="s">
        <v>58</v>
      </c>
      <c r="I261" t="s">
        <v>46</v>
      </c>
      <c r="J261" t="str" cm="1">
        <f t="array" ref="J261">_xlfn.SWITCH(I261,"P001","Laptop","P002","Server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61" s="1" cm="1">
        <f t="array" ref="K261">_xlfn.SWITCH(Table1[[#This Row],[Product ID]],"P001",220,"P002",150,"P003",130,"P004",70,"P005",200,"P006",40,"P007",25,"P008",20,"P009",190,"P010",530)</f>
        <v>530</v>
      </c>
      <c r="L261">
        <v>4</v>
      </c>
      <c r="M261" s="1">
        <f>Table1[[#This Row],[Unit Price]]*Table1[[#This Row],[Quantity]]</f>
        <v>2120</v>
      </c>
      <c r="N261" s="2">
        <v>0.02</v>
      </c>
      <c r="O261" s="1">
        <f>Table1[[#This Row],[Gross Value]]*(1-Table1[[#This Row],[Discount]])</f>
        <v>2077.6</v>
      </c>
      <c r="P261" s="2">
        <v>0.2</v>
      </c>
      <c r="Q261" s="1">
        <f>Table1[[#This Row],[Revenue]]*Table1[[#This Row],[VAT Rate]]</f>
        <v>415.52</v>
      </c>
      <c r="R261" s="1">
        <f>Table1[[#This Row],[Revenue]]+Table1[[#This Row],[VAT Charged]]</f>
        <v>2493.12</v>
      </c>
      <c r="S261" s="1" cm="1">
        <f t="array" ref="S261">_xlfn.SWITCH(Table1[[#This Row],[Product ID]],"P001",140,"P002",80,"P003",72,"P004",30,"P005",110,"P006",24,"P007",14,"P008",12,"P009",115,"P010",360)</f>
        <v>360</v>
      </c>
      <c r="T261" s="1" cm="1">
        <f t="array" ref="T261">(_xlfn.SWITCH(Table1[[#This Row],[Product ID]],"P001",140,"P002",80,"P003",72,"P004",30,"P005",110,"P006",24,"P007",14,"P008",12,"P009",115,"P010",360))*Table1[[#This Row],[Quantity]]</f>
        <v>1440</v>
      </c>
      <c r="U261" s="1" cm="1">
        <f t="array" ref="U261">_xlfn.SWITCH(Table1[[#This Row],[Product ID]],"P001",15,"P002",0,"P003",8,"P004",8,"P005",0,"P006",7,"P007",7,"P008",6,"P009",45,"P010",60)</f>
        <v>60</v>
      </c>
      <c r="V261" s="1">
        <f>Table1[[#This Row],[Shipping per Unit]]*Table1[[#This Row],[Quantity]]</f>
        <v>240</v>
      </c>
      <c r="W261" s="2">
        <f>IF(Table1[[#This Row],[Total Shipping]]&gt;0.1,0.2,0)</f>
        <v>0.2</v>
      </c>
      <c r="X261" s="4">
        <f>Table1[[#This Row],[Total Shipping]]*Table1[[#This Row],[VAT on Shipping]]</f>
        <v>48</v>
      </c>
      <c r="Y261" s="1">
        <f>Table1[[#This Row],[Revenue]]-Table1[[#This Row],[COGS]]</f>
        <v>637.59999999999991</v>
      </c>
      <c r="Z261" s="3">
        <f>(Table1[[#This Row],[Profit]]/Table1[[#This Row],[Revenue]])</f>
        <v>0.30689256834809392</v>
      </c>
      <c r="AA261" s="1">
        <f>Table1[[#This Row],[Profit]]-Table1[[#This Row],[Total Shipping]]</f>
        <v>397.59999999999991</v>
      </c>
      <c r="AB261" s="3">
        <f>Table1[[#This Row],[Operating Profit]]/Table1[[#This Row],[Revenue]]</f>
        <v>0.19137466307277626</v>
      </c>
    </row>
    <row r="262" spans="1:28" x14ac:dyDescent="0.25">
      <c r="A262" t="s">
        <v>181</v>
      </c>
      <c r="B262">
        <v>102</v>
      </c>
      <c r="C262" t="s">
        <v>38</v>
      </c>
      <c r="D262" t="s">
        <v>39</v>
      </c>
      <c r="E262" t="s">
        <v>31</v>
      </c>
      <c r="F262" t="s">
        <v>64</v>
      </c>
      <c r="G262" t="str" cm="1">
        <f t="array" ref="G262">_xlfn.SWITCH(F262,"Acme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262" t="s">
        <v>51</v>
      </c>
      <c r="I262" t="s">
        <v>68</v>
      </c>
      <c r="J262" t="str" cm="1">
        <f t="array" ref="J262">_xlfn.SWITCH(I262,"P001","Laptop","P002","Server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262" s="1" cm="1">
        <f t="array" ref="K262">_xlfn.SWITCH(Table1[[#This Row],[Product ID]],"P001",220,"P002",150,"P003",130,"P004",70,"P005",200,"P006",40,"P007",25,"P008",20,"P009",190,"P010",530)</f>
        <v>220</v>
      </c>
      <c r="L262">
        <v>7</v>
      </c>
      <c r="M262" s="1">
        <f>Table1[[#This Row],[Unit Price]]*Table1[[#This Row],[Quantity]]</f>
        <v>1540</v>
      </c>
      <c r="N262" s="2">
        <v>0.03</v>
      </c>
      <c r="O262" s="1">
        <f>Table1[[#This Row],[Gross Value]]*(1-Table1[[#This Row],[Discount]])</f>
        <v>1493.8</v>
      </c>
      <c r="P262" s="2">
        <v>0.2</v>
      </c>
      <c r="Q262" s="1">
        <f>Table1[[#This Row],[Revenue]]*Table1[[#This Row],[VAT Rate]]</f>
        <v>298.76</v>
      </c>
      <c r="R262" s="1">
        <f>Table1[[#This Row],[Revenue]]+Table1[[#This Row],[VAT Charged]]</f>
        <v>1792.56</v>
      </c>
      <c r="S262" s="1" cm="1">
        <f t="array" ref="S262">_xlfn.SWITCH(Table1[[#This Row],[Product ID]],"P001",140,"P002",80,"P003",72,"P004",30,"P005",110,"P006",24,"P007",14,"P008",12,"P009",115,"P010",360)</f>
        <v>140</v>
      </c>
      <c r="T262" s="1" cm="1">
        <f t="array" ref="T262">(_xlfn.SWITCH(Table1[[#This Row],[Product ID]],"P001",140,"P002",80,"P003",72,"P004",30,"P005",110,"P006",24,"P007",14,"P008",12,"P009",115,"P010",360))*Table1[[#This Row],[Quantity]]</f>
        <v>980</v>
      </c>
      <c r="U262" s="1" cm="1">
        <f t="array" ref="U262">_xlfn.SWITCH(Table1[[#This Row],[Product ID]],"P001",15,"P002",0,"P003",8,"P004",8,"P005",0,"P006",7,"P007",7,"P008",6,"P009",45,"P010",60)</f>
        <v>15</v>
      </c>
      <c r="V262" s="1">
        <f>Table1[[#This Row],[Shipping per Unit]]*Table1[[#This Row],[Quantity]]</f>
        <v>105</v>
      </c>
      <c r="W262" s="2">
        <f>IF(Table1[[#This Row],[Total Shipping]]&gt;0.1,0.2,0)</f>
        <v>0.2</v>
      </c>
      <c r="X262" s="4">
        <f>Table1[[#This Row],[Total Shipping]]*Table1[[#This Row],[VAT on Shipping]]</f>
        <v>21</v>
      </c>
      <c r="Y262" s="1">
        <f>Table1[[#This Row],[Revenue]]-Table1[[#This Row],[COGS]]</f>
        <v>513.79999999999995</v>
      </c>
      <c r="Z262" s="3">
        <f>(Table1[[#This Row],[Profit]]/Table1[[#This Row],[Revenue]])</f>
        <v>0.3439550140581068</v>
      </c>
      <c r="AA262" s="1">
        <f>Table1[[#This Row],[Profit]]-Table1[[#This Row],[Total Shipping]]</f>
        <v>408.79999999999995</v>
      </c>
      <c r="AB262" s="3">
        <f>Table1[[#This Row],[Operating Profit]]/Table1[[#This Row],[Revenue]]</f>
        <v>0.27366447985004683</v>
      </c>
    </row>
    <row r="263" spans="1:28" x14ac:dyDescent="0.25">
      <c r="A263" t="s">
        <v>181</v>
      </c>
      <c r="B263">
        <v>116</v>
      </c>
      <c r="C263" t="s">
        <v>35</v>
      </c>
      <c r="D263" t="s">
        <v>57</v>
      </c>
      <c r="E263" t="s">
        <v>49</v>
      </c>
      <c r="F263" t="s">
        <v>44</v>
      </c>
      <c r="G263" t="str" cm="1">
        <f t="array" ref="G263">_xlfn.SWITCH(F263,"Acme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263" t="s">
        <v>45</v>
      </c>
      <c r="I263" t="s">
        <v>55</v>
      </c>
      <c r="J263" t="str" cm="1">
        <f t="array" ref="J263">_xlfn.SWITCH(I263,"P001","Laptop","P002","Server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63" s="1" cm="1">
        <f t="array" ref="K263">_xlfn.SWITCH(Table1[[#This Row],[Product ID]],"P001",220,"P002",150,"P003",130,"P004",70,"P005",200,"P006",40,"P007",25,"P008",20,"P009",190,"P010",530)</f>
        <v>70</v>
      </c>
      <c r="L263">
        <v>3</v>
      </c>
      <c r="M263" s="1">
        <f>Table1[[#This Row],[Unit Price]]*Table1[[#This Row],[Quantity]]</f>
        <v>210</v>
      </c>
      <c r="N263" s="2">
        <v>0.09</v>
      </c>
      <c r="O263" s="1">
        <f>Table1[[#This Row],[Gross Value]]*(1-Table1[[#This Row],[Discount]])</f>
        <v>191.1</v>
      </c>
      <c r="P263" s="2">
        <v>0.2</v>
      </c>
      <c r="Q263" s="1">
        <f>Table1[[#This Row],[Revenue]]*Table1[[#This Row],[VAT Rate]]</f>
        <v>38.22</v>
      </c>
      <c r="R263" s="1">
        <f>Table1[[#This Row],[Revenue]]+Table1[[#This Row],[VAT Charged]]</f>
        <v>229.32</v>
      </c>
      <c r="S263" s="1" cm="1">
        <f t="array" ref="S263">_xlfn.SWITCH(Table1[[#This Row],[Product ID]],"P001",140,"P002",80,"P003",72,"P004",30,"P005",110,"P006",24,"P007",14,"P008",12,"P009",115,"P010",360)</f>
        <v>30</v>
      </c>
      <c r="T263" s="1" cm="1">
        <f t="array" ref="T263">(_xlfn.SWITCH(Table1[[#This Row],[Product ID]],"P001",140,"P002",80,"P003",72,"P004",30,"P005",110,"P006",24,"P007",14,"P008",12,"P009",115,"P010",360))*Table1[[#This Row],[Quantity]]</f>
        <v>90</v>
      </c>
      <c r="U263" s="1" cm="1">
        <f t="array" ref="U263">_xlfn.SWITCH(Table1[[#This Row],[Product ID]],"P001",15,"P002",0,"P003",8,"P004",8,"P005",0,"P006",7,"P007",7,"P008",6,"P009",45,"P010",60)</f>
        <v>8</v>
      </c>
      <c r="V263" s="1">
        <f>Table1[[#This Row],[Shipping per Unit]]*Table1[[#This Row],[Quantity]]</f>
        <v>24</v>
      </c>
      <c r="W263" s="2">
        <f>IF(Table1[[#This Row],[Total Shipping]]&gt;0.1,0.2,0)</f>
        <v>0.2</v>
      </c>
      <c r="X263" s="4">
        <f>Table1[[#This Row],[Total Shipping]]*Table1[[#This Row],[VAT on Shipping]]</f>
        <v>4.8000000000000007</v>
      </c>
      <c r="Y263" s="1">
        <f>Table1[[#This Row],[Revenue]]-Table1[[#This Row],[COGS]]</f>
        <v>101.1</v>
      </c>
      <c r="Z263" s="3">
        <f>(Table1[[#This Row],[Profit]]/Table1[[#This Row],[Revenue]])</f>
        <v>0.52904238618524335</v>
      </c>
      <c r="AA263" s="1">
        <f>Table1[[#This Row],[Profit]]-Table1[[#This Row],[Total Shipping]]</f>
        <v>77.099999999999994</v>
      </c>
      <c r="AB263" s="3">
        <f>Table1[[#This Row],[Operating Profit]]/Table1[[#This Row],[Revenue]]</f>
        <v>0.40345368916797486</v>
      </c>
    </row>
    <row r="264" spans="1:28" x14ac:dyDescent="0.25">
      <c r="A264" t="s">
        <v>181</v>
      </c>
      <c r="B264">
        <v>130</v>
      </c>
      <c r="C264" t="s">
        <v>62</v>
      </c>
      <c r="D264" t="s">
        <v>72</v>
      </c>
      <c r="E264" t="s">
        <v>49</v>
      </c>
      <c r="F264" t="s">
        <v>98</v>
      </c>
      <c r="G264" t="str" cm="1">
        <f t="array" ref="G264">_xlfn.SWITCH(F264,"Acme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264" t="s">
        <v>33</v>
      </c>
      <c r="I264" t="s">
        <v>42</v>
      </c>
      <c r="J264" t="str" cm="1">
        <f t="array" ref="J264">_xlfn.SWITCH(I264,"P001","Laptop","P002","Server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64" s="1" cm="1">
        <f t="array" ref="K264">_xlfn.SWITCH(Table1[[#This Row],[Product ID]],"P001",220,"P002",150,"P003",130,"P004",70,"P005",200,"P006",40,"P007",25,"P008",20,"P009",190,"P010",530)</f>
        <v>40</v>
      </c>
      <c r="L264">
        <v>8</v>
      </c>
      <c r="M264" s="1">
        <f>Table1[[#This Row],[Unit Price]]*Table1[[#This Row],[Quantity]]</f>
        <v>320</v>
      </c>
      <c r="N264" s="2">
        <v>0.08</v>
      </c>
      <c r="O264" s="1">
        <f>Table1[[#This Row],[Gross Value]]*(1-Table1[[#This Row],[Discount]])</f>
        <v>294.40000000000003</v>
      </c>
      <c r="P264" s="2">
        <v>0.2</v>
      </c>
      <c r="Q264" s="1">
        <f>Table1[[#This Row],[Revenue]]*Table1[[#This Row],[VAT Rate]]</f>
        <v>58.88000000000001</v>
      </c>
      <c r="R264" s="1">
        <f>Table1[[#This Row],[Revenue]]+Table1[[#This Row],[VAT Charged]]</f>
        <v>353.28000000000003</v>
      </c>
      <c r="S264" s="1" cm="1">
        <f t="array" ref="S264">_xlfn.SWITCH(Table1[[#This Row],[Product ID]],"P001",140,"P002",80,"P003",72,"P004",30,"P005",110,"P006",24,"P007",14,"P008",12,"P009",115,"P010",360)</f>
        <v>24</v>
      </c>
      <c r="T264" s="1" cm="1">
        <f t="array" ref="T264">(_xlfn.SWITCH(Table1[[#This Row],[Product ID]],"P001",140,"P002",80,"P003",72,"P004",30,"P005",110,"P006",24,"P007",14,"P008",12,"P009",115,"P010",360))*Table1[[#This Row],[Quantity]]</f>
        <v>192</v>
      </c>
      <c r="U264" s="1" cm="1">
        <f t="array" ref="U264">_xlfn.SWITCH(Table1[[#This Row],[Product ID]],"P001",15,"P002",0,"P003",8,"P004",8,"P005",0,"P006",7,"P007",7,"P008",6,"P009",45,"P010",60)</f>
        <v>7</v>
      </c>
      <c r="V264" s="1">
        <f>Table1[[#This Row],[Shipping per Unit]]*Table1[[#This Row],[Quantity]]</f>
        <v>56</v>
      </c>
      <c r="W264" s="2">
        <f>IF(Table1[[#This Row],[Total Shipping]]&gt;0.1,0.2,0)</f>
        <v>0.2</v>
      </c>
      <c r="X264" s="4">
        <f>Table1[[#This Row],[Total Shipping]]*Table1[[#This Row],[VAT on Shipping]]</f>
        <v>11.200000000000001</v>
      </c>
      <c r="Y264" s="1">
        <f>Table1[[#This Row],[Revenue]]-Table1[[#This Row],[COGS]]</f>
        <v>102.40000000000003</v>
      </c>
      <c r="Z264" s="3">
        <f>(Table1[[#This Row],[Profit]]/Table1[[#This Row],[Revenue]])</f>
        <v>0.34782608695652184</v>
      </c>
      <c r="AA264" s="1">
        <f>Table1[[#This Row],[Profit]]-Table1[[#This Row],[Total Shipping]]</f>
        <v>46.400000000000034</v>
      </c>
      <c r="AB264" s="3">
        <f>Table1[[#This Row],[Operating Profit]]/Table1[[#This Row],[Revenue]]</f>
        <v>0.157608695652174</v>
      </c>
    </row>
    <row r="265" spans="1:28" x14ac:dyDescent="0.25">
      <c r="A265" t="s">
        <v>181</v>
      </c>
      <c r="B265">
        <v>601</v>
      </c>
      <c r="C265" t="s">
        <v>65</v>
      </c>
      <c r="D265" t="s">
        <v>48</v>
      </c>
      <c r="E265" t="s">
        <v>31</v>
      </c>
      <c r="F265" t="s">
        <v>44</v>
      </c>
      <c r="G265" t="str" cm="1">
        <f t="array" ref="G265">_xlfn.SWITCH(F265,"Acme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265" t="s">
        <v>45</v>
      </c>
      <c r="I265" t="s">
        <v>42</v>
      </c>
      <c r="J265" t="str" cm="1">
        <f t="array" ref="J265">_xlfn.SWITCH(I265,"P001","Laptop","P002","Server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65" s="1" cm="1">
        <f t="array" ref="K265">_xlfn.SWITCH(Table1[[#This Row],[Product ID]],"P001",220,"P002",150,"P003",130,"P004",70,"P005",200,"P006",40,"P007",25,"P008",20,"P009",190,"P010",530)</f>
        <v>40</v>
      </c>
      <c r="L265">
        <v>3</v>
      </c>
      <c r="M265" s="1">
        <f>Table1[[#This Row],[Unit Price]]*Table1[[#This Row],[Quantity]]</f>
        <v>120</v>
      </c>
      <c r="N265" s="2">
        <v>0.01</v>
      </c>
      <c r="O265" s="1">
        <f>Table1[[#This Row],[Gross Value]]*(1-Table1[[#This Row],[Discount]])</f>
        <v>118.8</v>
      </c>
      <c r="P265" s="2">
        <v>0.2</v>
      </c>
      <c r="Q265" s="1">
        <f>Table1[[#This Row],[Revenue]]*Table1[[#This Row],[VAT Rate]]</f>
        <v>23.76</v>
      </c>
      <c r="R265" s="1">
        <f>Table1[[#This Row],[Revenue]]+Table1[[#This Row],[VAT Charged]]</f>
        <v>142.56</v>
      </c>
      <c r="S265" s="1" cm="1">
        <f t="array" ref="S265">_xlfn.SWITCH(Table1[[#This Row],[Product ID]],"P001",140,"P002",80,"P003",72,"P004",30,"P005",110,"P006",24,"P007",14,"P008",12,"P009",115,"P010",360)</f>
        <v>24</v>
      </c>
      <c r="T265" s="1" cm="1">
        <f t="array" ref="T265">(_xlfn.SWITCH(Table1[[#This Row],[Product ID]],"P001",140,"P002",80,"P003",72,"P004",30,"P005",110,"P006",24,"P007",14,"P008",12,"P009",115,"P010",360))*Table1[[#This Row],[Quantity]]</f>
        <v>72</v>
      </c>
      <c r="U265" s="1" cm="1">
        <f t="array" ref="U265">_xlfn.SWITCH(Table1[[#This Row],[Product ID]],"P001",15,"P002",0,"P003",8,"P004",8,"P005",0,"P006",7,"P007",7,"P008",6,"P009",45,"P010",60)</f>
        <v>7</v>
      </c>
      <c r="V265" s="1">
        <f>Table1[[#This Row],[Shipping per Unit]]*Table1[[#This Row],[Quantity]]</f>
        <v>21</v>
      </c>
      <c r="W265" s="2">
        <f>IF(Table1[[#This Row],[Total Shipping]]&gt;0.1,0.2,0)</f>
        <v>0.2</v>
      </c>
      <c r="X265" s="4">
        <f>Table1[[#This Row],[Total Shipping]]*Table1[[#This Row],[VAT on Shipping]]</f>
        <v>4.2</v>
      </c>
      <c r="Y265" s="1">
        <f>Table1[[#This Row],[Revenue]]-Table1[[#This Row],[COGS]]</f>
        <v>46.8</v>
      </c>
      <c r="Z265" s="3">
        <f>(Table1[[#This Row],[Profit]]/Table1[[#This Row],[Revenue]])</f>
        <v>0.39393939393939392</v>
      </c>
      <c r="AA265" s="1">
        <f>Table1[[#This Row],[Profit]]-Table1[[#This Row],[Total Shipping]]</f>
        <v>25.799999999999997</v>
      </c>
      <c r="AB265" s="3">
        <f>Table1[[#This Row],[Operating Profit]]/Table1[[#This Row],[Revenue]]</f>
        <v>0.21717171717171715</v>
      </c>
    </row>
    <row r="266" spans="1:28" x14ac:dyDescent="0.25">
      <c r="A266" t="s">
        <v>181</v>
      </c>
      <c r="B266">
        <v>669</v>
      </c>
      <c r="C266" t="s">
        <v>35</v>
      </c>
      <c r="D266" t="s">
        <v>30</v>
      </c>
      <c r="E266" t="s">
        <v>40</v>
      </c>
      <c r="F266" t="s">
        <v>92</v>
      </c>
      <c r="G266" t="str" cm="1">
        <f t="array" ref="G266">_xlfn.SWITCH(F266,"Acme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266" t="s">
        <v>58</v>
      </c>
      <c r="I266" t="s">
        <v>34</v>
      </c>
      <c r="J266" t="str" cm="1">
        <f t="array" ref="J266">_xlfn.SWITCH(I266,"P001","Laptop","P002","Server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66" s="1" cm="1">
        <f t="array" ref="K266">_xlfn.SWITCH(Table1[[#This Row],[Product ID]],"P001",220,"P002",150,"P003",130,"P004",70,"P005",200,"P006",40,"P007",25,"P008",20,"P009",190,"P010",530)</f>
        <v>20</v>
      </c>
      <c r="L266">
        <v>12</v>
      </c>
      <c r="M266" s="1">
        <f>Table1[[#This Row],[Unit Price]]*Table1[[#This Row],[Quantity]]</f>
        <v>240</v>
      </c>
      <c r="N266" s="2">
        <v>0.08</v>
      </c>
      <c r="O266" s="1">
        <f>Table1[[#This Row],[Gross Value]]*(1-Table1[[#This Row],[Discount]])</f>
        <v>220.8</v>
      </c>
      <c r="P266" s="2">
        <v>0.2</v>
      </c>
      <c r="Q266" s="1">
        <f>Table1[[#This Row],[Revenue]]*Table1[[#This Row],[VAT Rate]]</f>
        <v>44.160000000000004</v>
      </c>
      <c r="R266" s="1">
        <f>Table1[[#This Row],[Revenue]]+Table1[[#This Row],[VAT Charged]]</f>
        <v>264.96000000000004</v>
      </c>
      <c r="S266" s="1" cm="1">
        <f t="array" ref="S266">_xlfn.SWITCH(Table1[[#This Row],[Product ID]],"P001",140,"P002",80,"P003",72,"P004",30,"P005",110,"P006",24,"P007",14,"P008",12,"P009",115,"P010",360)</f>
        <v>12</v>
      </c>
      <c r="T266" s="1" cm="1">
        <f t="array" ref="T266">(_xlfn.SWITCH(Table1[[#This Row],[Product ID]],"P001",140,"P002",80,"P003",72,"P004",30,"P005",110,"P006",24,"P007",14,"P008",12,"P009",115,"P010",360))*Table1[[#This Row],[Quantity]]</f>
        <v>144</v>
      </c>
      <c r="U266" s="1" cm="1">
        <f t="array" ref="U266">_xlfn.SWITCH(Table1[[#This Row],[Product ID]],"P001",15,"P002",0,"P003",8,"P004",8,"P005",0,"P006",7,"P007",7,"P008",6,"P009",45,"P010",60)</f>
        <v>6</v>
      </c>
      <c r="V266" s="1">
        <f>Table1[[#This Row],[Shipping per Unit]]*Table1[[#This Row],[Quantity]]</f>
        <v>72</v>
      </c>
      <c r="W266" s="2">
        <f>IF(Table1[[#This Row],[Total Shipping]]&gt;0.1,0.2,0)</f>
        <v>0.2</v>
      </c>
      <c r="X266" s="4">
        <f>Table1[[#This Row],[Total Shipping]]*Table1[[#This Row],[VAT on Shipping]]</f>
        <v>14.4</v>
      </c>
      <c r="Y266" s="1">
        <f>Table1[[#This Row],[Revenue]]-Table1[[#This Row],[COGS]]</f>
        <v>76.800000000000011</v>
      </c>
      <c r="Z266" s="3">
        <f>(Table1[[#This Row],[Profit]]/Table1[[#This Row],[Revenue]])</f>
        <v>0.34782608695652178</v>
      </c>
      <c r="AA266" s="1">
        <f>Table1[[#This Row],[Profit]]-Table1[[#This Row],[Total Shipping]]</f>
        <v>4.8000000000000114</v>
      </c>
      <c r="AB266" s="3">
        <f>Table1[[#This Row],[Operating Profit]]/Table1[[#This Row],[Revenue]]</f>
        <v>2.173913043478266E-2</v>
      </c>
    </row>
    <row r="267" spans="1:28" x14ac:dyDescent="0.25">
      <c r="A267" t="s">
        <v>181</v>
      </c>
      <c r="B267">
        <v>820</v>
      </c>
      <c r="C267" t="s">
        <v>56</v>
      </c>
      <c r="D267" t="s">
        <v>72</v>
      </c>
      <c r="E267" t="s">
        <v>40</v>
      </c>
      <c r="F267" t="s">
        <v>119</v>
      </c>
      <c r="G267" t="str" cm="1">
        <f t="array" ref="G267">_xlfn.SWITCH(F267,"Acme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267" t="s">
        <v>33</v>
      </c>
      <c r="I267" t="s">
        <v>68</v>
      </c>
      <c r="J267" t="str" cm="1">
        <f t="array" ref="J267">_xlfn.SWITCH(I267,"P001","Laptop","P002","Server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267" s="1" cm="1">
        <f t="array" ref="K267">_xlfn.SWITCH(Table1[[#This Row],[Product ID]],"P001",220,"P002",150,"P003",130,"P004",70,"P005",200,"P006",40,"P007",25,"P008",20,"P009",190,"P010",530)</f>
        <v>220</v>
      </c>
      <c r="L267">
        <v>2</v>
      </c>
      <c r="M267" s="1">
        <f>Table1[[#This Row],[Unit Price]]*Table1[[#This Row],[Quantity]]</f>
        <v>440</v>
      </c>
      <c r="N267" s="2">
        <v>0.05</v>
      </c>
      <c r="O267" s="1">
        <f>Table1[[#This Row],[Gross Value]]*(1-Table1[[#This Row],[Discount]])</f>
        <v>418</v>
      </c>
      <c r="P267" s="2">
        <v>0.2</v>
      </c>
      <c r="Q267" s="1">
        <f>Table1[[#This Row],[Revenue]]*Table1[[#This Row],[VAT Rate]]</f>
        <v>83.600000000000009</v>
      </c>
      <c r="R267" s="1">
        <f>Table1[[#This Row],[Revenue]]+Table1[[#This Row],[VAT Charged]]</f>
        <v>501.6</v>
      </c>
      <c r="S267" s="1" cm="1">
        <f t="array" ref="S267">_xlfn.SWITCH(Table1[[#This Row],[Product ID]],"P001",140,"P002",80,"P003",72,"P004",30,"P005",110,"P006",24,"P007",14,"P008",12,"P009",115,"P010",360)</f>
        <v>140</v>
      </c>
      <c r="T267" s="1" cm="1">
        <f t="array" ref="T267">(_xlfn.SWITCH(Table1[[#This Row],[Product ID]],"P001",140,"P002",80,"P003",72,"P004",30,"P005",110,"P006",24,"P007",14,"P008",12,"P009",115,"P010",360))*Table1[[#This Row],[Quantity]]</f>
        <v>280</v>
      </c>
      <c r="U267" s="1" cm="1">
        <f t="array" ref="U267">_xlfn.SWITCH(Table1[[#This Row],[Product ID]],"P001",15,"P002",0,"P003",8,"P004",8,"P005",0,"P006",7,"P007",7,"P008",6,"P009",45,"P010",60)</f>
        <v>15</v>
      </c>
      <c r="V267" s="1">
        <f>Table1[[#This Row],[Shipping per Unit]]*Table1[[#This Row],[Quantity]]</f>
        <v>30</v>
      </c>
      <c r="W267" s="2">
        <f>IF(Table1[[#This Row],[Total Shipping]]&gt;0.1,0.2,0)</f>
        <v>0.2</v>
      </c>
      <c r="X267" s="4">
        <f>Table1[[#This Row],[Total Shipping]]*Table1[[#This Row],[VAT on Shipping]]</f>
        <v>6</v>
      </c>
      <c r="Y267" s="1">
        <f>Table1[[#This Row],[Revenue]]-Table1[[#This Row],[COGS]]</f>
        <v>138</v>
      </c>
      <c r="Z267" s="3">
        <f>(Table1[[#This Row],[Profit]]/Table1[[#This Row],[Revenue]])</f>
        <v>0.33014354066985646</v>
      </c>
      <c r="AA267" s="1">
        <f>Table1[[#This Row],[Profit]]-Table1[[#This Row],[Total Shipping]]</f>
        <v>108</v>
      </c>
      <c r="AB267" s="3">
        <f>Table1[[#This Row],[Operating Profit]]/Table1[[#This Row],[Revenue]]</f>
        <v>0.25837320574162681</v>
      </c>
    </row>
    <row r="268" spans="1:28" x14ac:dyDescent="0.25">
      <c r="A268" t="s">
        <v>182</v>
      </c>
      <c r="B268">
        <v>124</v>
      </c>
      <c r="C268" t="s">
        <v>65</v>
      </c>
      <c r="D268" t="s">
        <v>53</v>
      </c>
      <c r="E268" t="s">
        <v>31</v>
      </c>
      <c r="F268" t="s">
        <v>92</v>
      </c>
      <c r="G268" t="str" cm="1">
        <f t="array" ref="G268">_xlfn.SWITCH(F268,"Acme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268" t="s">
        <v>58</v>
      </c>
      <c r="I268" t="s">
        <v>91</v>
      </c>
      <c r="J268" t="str" cm="1">
        <f t="array" ref="J268">_xlfn.SWITCH(I268,"P001","Laptop","P002","Server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68" s="1" cm="1">
        <f t="array" ref="K268">_xlfn.SWITCH(Table1[[#This Row],[Product ID]],"P001",220,"P002",150,"P003",130,"P004",70,"P005",200,"P006",40,"P007",25,"P008",20,"P009",190,"P010",530)</f>
        <v>190</v>
      </c>
      <c r="L268">
        <v>15</v>
      </c>
      <c r="M268" s="1">
        <f>Table1[[#This Row],[Unit Price]]*Table1[[#This Row],[Quantity]]</f>
        <v>2850</v>
      </c>
      <c r="N268" s="2">
        <v>7.0000000000000007E-2</v>
      </c>
      <c r="O268" s="1">
        <f>Table1[[#This Row],[Gross Value]]*(1-Table1[[#This Row],[Discount]])</f>
        <v>2650.5</v>
      </c>
      <c r="P268" s="2">
        <v>0.2</v>
      </c>
      <c r="Q268" s="1">
        <f>Table1[[#This Row],[Revenue]]*Table1[[#This Row],[VAT Rate]]</f>
        <v>530.1</v>
      </c>
      <c r="R268" s="1">
        <f>Table1[[#This Row],[Revenue]]+Table1[[#This Row],[VAT Charged]]</f>
        <v>3180.6</v>
      </c>
      <c r="S268" s="1" cm="1">
        <f t="array" ref="S268">_xlfn.SWITCH(Table1[[#This Row],[Product ID]],"P001",140,"P002",80,"P003",72,"P004",30,"P005",110,"P006",24,"P007",14,"P008",12,"P009",115,"P010",360)</f>
        <v>115</v>
      </c>
      <c r="T268" s="1" cm="1">
        <f t="array" ref="T268">(_xlfn.SWITCH(Table1[[#This Row],[Product ID]],"P001",140,"P002",80,"P003",72,"P004",30,"P005",110,"P006",24,"P007",14,"P008",12,"P009",115,"P010",360))*Table1[[#This Row],[Quantity]]</f>
        <v>1725</v>
      </c>
      <c r="U268" s="1" cm="1">
        <f t="array" ref="U268">_xlfn.SWITCH(Table1[[#This Row],[Product ID]],"P001",15,"P002",0,"P003",8,"P004",8,"P005",0,"P006",7,"P007",7,"P008",6,"P009",45,"P010",60)</f>
        <v>45</v>
      </c>
      <c r="V268" s="1">
        <f>Table1[[#This Row],[Shipping per Unit]]*Table1[[#This Row],[Quantity]]</f>
        <v>675</v>
      </c>
      <c r="W268" s="2">
        <f>IF(Table1[[#This Row],[Total Shipping]]&gt;0.1,0.2,0)</f>
        <v>0.2</v>
      </c>
      <c r="X268" s="4">
        <f>Table1[[#This Row],[Total Shipping]]*Table1[[#This Row],[VAT on Shipping]]</f>
        <v>135</v>
      </c>
      <c r="Y268" s="1">
        <f>Table1[[#This Row],[Revenue]]-Table1[[#This Row],[COGS]]</f>
        <v>925.5</v>
      </c>
      <c r="Z268" s="3">
        <f>(Table1[[#This Row],[Profit]]/Table1[[#This Row],[Revenue]])</f>
        <v>0.34917940011318621</v>
      </c>
      <c r="AA268" s="1">
        <f>Table1[[#This Row],[Profit]]-Table1[[#This Row],[Total Shipping]]</f>
        <v>250.5</v>
      </c>
      <c r="AB268" s="3">
        <f>Table1[[#This Row],[Operating Profit]]/Table1[[#This Row],[Revenue]]</f>
        <v>9.4510469722693835E-2</v>
      </c>
    </row>
    <row r="269" spans="1:28" x14ac:dyDescent="0.25">
      <c r="A269" t="s">
        <v>182</v>
      </c>
      <c r="B269">
        <v>134</v>
      </c>
      <c r="C269" t="s">
        <v>62</v>
      </c>
      <c r="D269" t="s">
        <v>48</v>
      </c>
      <c r="E269" t="s">
        <v>31</v>
      </c>
      <c r="F269" t="s">
        <v>119</v>
      </c>
      <c r="G269" t="str" cm="1">
        <f t="array" ref="G269">_xlfn.SWITCH(F269,"Acme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269" t="s">
        <v>45</v>
      </c>
      <c r="I269" t="s">
        <v>91</v>
      </c>
      <c r="J269" t="str" cm="1">
        <f t="array" ref="J269">_xlfn.SWITCH(I269,"P001","Laptop","P002","Server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69" s="1" cm="1">
        <f t="array" ref="K269">_xlfn.SWITCH(Table1[[#This Row],[Product ID]],"P001",220,"P002",150,"P003",130,"P004",70,"P005",200,"P006",40,"P007",25,"P008",20,"P009",190,"P010",530)</f>
        <v>190</v>
      </c>
      <c r="L269">
        <v>4</v>
      </c>
      <c r="M269" s="1">
        <f>Table1[[#This Row],[Unit Price]]*Table1[[#This Row],[Quantity]]</f>
        <v>760</v>
      </c>
      <c r="N269" s="2">
        <v>0.03</v>
      </c>
      <c r="O269" s="1">
        <f>Table1[[#This Row],[Gross Value]]*(1-Table1[[#This Row],[Discount]])</f>
        <v>737.19999999999993</v>
      </c>
      <c r="P269" s="2">
        <v>0.2</v>
      </c>
      <c r="Q269" s="1">
        <f>Table1[[#This Row],[Revenue]]*Table1[[#This Row],[VAT Rate]]</f>
        <v>147.44</v>
      </c>
      <c r="R269" s="1">
        <f>Table1[[#This Row],[Revenue]]+Table1[[#This Row],[VAT Charged]]</f>
        <v>884.63999999999987</v>
      </c>
      <c r="S269" s="1" cm="1">
        <f t="array" ref="S269">_xlfn.SWITCH(Table1[[#This Row],[Product ID]],"P001",140,"P002",80,"P003",72,"P004",30,"P005",110,"P006",24,"P007",14,"P008",12,"P009",115,"P010",360)</f>
        <v>115</v>
      </c>
      <c r="T269" s="1" cm="1">
        <f t="array" ref="T269">(_xlfn.SWITCH(Table1[[#This Row],[Product ID]],"P001",140,"P002",80,"P003",72,"P004",30,"P005",110,"P006",24,"P007",14,"P008",12,"P009",115,"P010",360))*Table1[[#This Row],[Quantity]]</f>
        <v>460</v>
      </c>
      <c r="U269" s="1" cm="1">
        <f t="array" ref="U269">_xlfn.SWITCH(Table1[[#This Row],[Product ID]],"P001",15,"P002",0,"P003",8,"P004",8,"P005",0,"P006",7,"P007",7,"P008",6,"P009",45,"P010",60)</f>
        <v>45</v>
      </c>
      <c r="V269" s="1">
        <f>Table1[[#This Row],[Shipping per Unit]]*Table1[[#This Row],[Quantity]]</f>
        <v>180</v>
      </c>
      <c r="W269" s="2">
        <f>IF(Table1[[#This Row],[Total Shipping]]&gt;0.1,0.2,0)</f>
        <v>0.2</v>
      </c>
      <c r="X269" s="4">
        <f>Table1[[#This Row],[Total Shipping]]*Table1[[#This Row],[VAT on Shipping]]</f>
        <v>36</v>
      </c>
      <c r="Y269" s="1">
        <f>Table1[[#This Row],[Revenue]]-Table1[[#This Row],[COGS]]</f>
        <v>277.19999999999993</v>
      </c>
      <c r="Z269" s="3">
        <f>(Table1[[#This Row],[Profit]]/Table1[[#This Row],[Revenue]])</f>
        <v>0.37601736299511662</v>
      </c>
      <c r="AA269" s="1">
        <f>Table1[[#This Row],[Profit]]-Table1[[#This Row],[Total Shipping]]</f>
        <v>97.199999999999932</v>
      </c>
      <c r="AB269" s="3">
        <f>Table1[[#This Row],[Operating Profit]]/Table1[[#This Row],[Revenue]]</f>
        <v>0.13185024416711874</v>
      </c>
    </row>
    <row r="270" spans="1:28" x14ac:dyDescent="0.25">
      <c r="A270" t="s">
        <v>182</v>
      </c>
      <c r="B270">
        <v>162</v>
      </c>
      <c r="C270" t="s">
        <v>65</v>
      </c>
      <c r="D270" t="s">
        <v>72</v>
      </c>
      <c r="E270" t="s">
        <v>49</v>
      </c>
      <c r="F270" t="s">
        <v>66</v>
      </c>
      <c r="G270" t="str" cm="1">
        <f t="array" ref="G270">_xlfn.SWITCH(F270,"Acme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270" t="s">
        <v>69</v>
      </c>
      <c r="I270" t="s">
        <v>68</v>
      </c>
      <c r="J270" t="str" cm="1">
        <f t="array" ref="J270">_xlfn.SWITCH(I270,"P001","Laptop","P002","Server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270" s="1" cm="1">
        <f t="array" ref="K270">_xlfn.SWITCH(Table1[[#This Row],[Product ID]],"P001",220,"P002",150,"P003",130,"P004",70,"P005",200,"P006",40,"P007",25,"P008",20,"P009",190,"P010",530)</f>
        <v>220</v>
      </c>
      <c r="L270">
        <v>20</v>
      </c>
      <c r="M270" s="1">
        <f>Table1[[#This Row],[Unit Price]]*Table1[[#This Row],[Quantity]]</f>
        <v>4400</v>
      </c>
      <c r="N270" s="2">
        <v>0.1</v>
      </c>
      <c r="O270" s="1">
        <f>Table1[[#This Row],[Gross Value]]*(1-Table1[[#This Row],[Discount]])</f>
        <v>3960</v>
      </c>
      <c r="P270" s="2">
        <v>0.2</v>
      </c>
      <c r="Q270" s="1">
        <f>Table1[[#This Row],[Revenue]]*Table1[[#This Row],[VAT Rate]]</f>
        <v>792</v>
      </c>
      <c r="R270" s="1">
        <f>Table1[[#This Row],[Revenue]]+Table1[[#This Row],[VAT Charged]]</f>
        <v>4752</v>
      </c>
      <c r="S270" s="1" cm="1">
        <f t="array" ref="S270">_xlfn.SWITCH(Table1[[#This Row],[Product ID]],"P001",140,"P002",80,"P003",72,"P004",30,"P005",110,"P006",24,"P007",14,"P008",12,"P009",115,"P010",360)</f>
        <v>140</v>
      </c>
      <c r="T270" s="1" cm="1">
        <f t="array" ref="T270">(_xlfn.SWITCH(Table1[[#This Row],[Product ID]],"P001",140,"P002",80,"P003",72,"P004",30,"P005",110,"P006",24,"P007",14,"P008",12,"P009",115,"P010",360))*Table1[[#This Row],[Quantity]]</f>
        <v>2800</v>
      </c>
      <c r="U270" s="1" cm="1">
        <f t="array" ref="U270">_xlfn.SWITCH(Table1[[#This Row],[Product ID]],"P001",15,"P002",0,"P003",8,"P004",8,"P005",0,"P006",7,"P007",7,"P008",6,"P009",45,"P010",60)</f>
        <v>15</v>
      </c>
      <c r="V270" s="1">
        <f>Table1[[#This Row],[Shipping per Unit]]*Table1[[#This Row],[Quantity]]</f>
        <v>300</v>
      </c>
      <c r="W270" s="2">
        <f>IF(Table1[[#This Row],[Total Shipping]]&gt;0.1,0.2,0)</f>
        <v>0.2</v>
      </c>
      <c r="X270" s="4">
        <f>Table1[[#This Row],[Total Shipping]]*Table1[[#This Row],[VAT on Shipping]]</f>
        <v>60</v>
      </c>
      <c r="Y270" s="1">
        <f>Table1[[#This Row],[Revenue]]-Table1[[#This Row],[COGS]]</f>
        <v>1160</v>
      </c>
      <c r="Z270" s="3">
        <f>(Table1[[#This Row],[Profit]]/Table1[[#This Row],[Revenue]])</f>
        <v>0.29292929292929293</v>
      </c>
      <c r="AA270" s="1">
        <f>Table1[[#This Row],[Profit]]-Table1[[#This Row],[Total Shipping]]</f>
        <v>860</v>
      </c>
      <c r="AB270" s="3">
        <f>Table1[[#This Row],[Operating Profit]]/Table1[[#This Row],[Revenue]]</f>
        <v>0.21717171717171718</v>
      </c>
    </row>
    <row r="271" spans="1:28" x14ac:dyDescent="0.25">
      <c r="A271" t="s">
        <v>182</v>
      </c>
      <c r="B271">
        <v>570</v>
      </c>
      <c r="C271" t="s">
        <v>38</v>
      </c>
      <c r="D271" t="s">
        <v>39</v>
      </c>
      <c r="E271" t="s">
        <v>31</v>
      </c>
      <c r="F271" t="s">
        <v>87</v>
      </c>
      <c r="G271" t="str" cm="1">
        <f t="array" ref="G271">_xlfn.SWITCH(F271,"Acme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271" t="s">
        <v>33</v>
      </c>
      <c r="I271" t="s">
        <v>42</v>
      </c>
      <c r="J271" t="str" cm="1">
        <f t="array" ref="J271">_xlfn.SWITCH(I271,"P001","Laptop","P002","Server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71" s="1" cm="1">
        <f t="array" ref="K271">_xlfn.SWITCH(Table1[[#This Row],[Product ID]],"P001",220,"P002",150,"P003",130,"P004",70,"P005",200,"P006",40,"P007",25,"P008",20,"P009",190,"P010",530)</f>
        <v>40</v>
      </c>
      <c r="L271">
        <v>11</v>
      </c>
      <c r="M271" s="1">
        <f>Table1[[#This Row],[Unit Price]]*Table1[[#This Row],[Quantity]]</f>
        <v>440</v>
      </c>
      <c r="N271" s="2">
        <v>0.01</v>
      </c>
      <c r="O271" s="1">
        <f>Table1[[#This Row],[Gross Value]]*(1-Table1[[#This Row],[Discount]])</f>
        <v>435.6</v>
      </c>
      <c r="P271" s="2">
        <v>0.2</v>
      </c>
      <c r="Q271" s="1">
        <f>Table1[[#This Row],[Revenue]]*Table1[[#This Row],[VAT Rate]]</f>
        <v>87.12</v>
      </c>
      <c r="R271" s="1">
        <f>Table1[[#This Row],[Revenue]]+Table1[[#This Row],[VAT Charged]]</f>
        <v>522.72</v>
      </c>
      <c r="S271" s="1" cm="1">
        <f t="array" ref="S271">_xlfn.SWITCH(Table1[[#This Row],[Product ID]],"P001",140,"P002",80,"P003",72,"P004",30,"P005",110,"P006",24,"P007",14,"P008",12,"P009",115,"P010",360)</f>
        <v>24</v>
      </c>
      <c r="T271" s="1" cm="1">
        <f t="array" ref="T271">(_xlfn.SWITCH(Table1[[#This Row],[Product ID]],"P001",140,"P002",80,"P003",72,"P004",30,"P005",110,"P006",24,"P007",14,"P008",12,"P009",115,"P010",360))*Table1[[#This Row],[Quantity]]</f>
        <v>264</v>
      </c>
      <c r="U271" s="1" cm="1">
        <f t="array" ref="U271">_xlfn.SWITCH(Table1[[#This Row],[Product ID]],"P001",15,"P002",0,"P003",8,"P004",8,"P005",0,"P006",7,"P007",7,"P008",6,"P009",45,"P010",60)</f>
        <v>7</v>
      </c>
      <c r="V271" s="1">
        <f>Table1[[#This Row],[Shipping per Unit]]*Table1[[#This Row],[Quantity]]</f>
        <v>77</v>
      </c>
      <c r="W271" s="2">
        <f>IF(Table1[[#This Row],[Total Shipping]]&gt;0.1,0.2,0)</f>
        <v>0.2</v>
      </c>
      <c r="X271" s="4">
        <f>Table1[[#This Row],[Total Shipping]]*Table1[[#This Row],[VAT on Shipping]]</f>
        <v>15.4</v>
      </c>
      <c r="Y271" s="1">
        <f>Table1[[#This Row],[Revenue]]-Table1[[#This Row],[COGS]]</f>
        <v>171.60000000000002</v>
      </c>
      <c r="Z271" s="3">
        <f>(Table1[[#This Row],[Profit]]/Table1[[#This Row],[Revenue]])</f>
        <v>0.39393939393939398</v>
      </c>
      <c r="AA271" s="1">
        <f>Table1[[#This Row],[Profit]]-Table1[[#This Row],[Total Shipping]]</f>
        <v>94.600000000000023</v>
      </c>
      <c r="AB271" s="3">
        <f>Table1[[#This Row],[Operating Profit]]/Table1[[#This Row],[Revenue]]</f>
        <v>0.21717171717171721</v>
      </c>
    </row>
    <row r="272" spans="1:28" x14ac:dyDescent="0.25">
      <c r="A272" t="s">
        <v>182</v>
      </c>
      <c r="B272">
        <v>974</v>
      </c>
      <c r="C272" t="s">
        <v>83</v>
      </c>
      <c r="D272" t="s">
        <v>30</v>
      </c>
      <c r="E272" t="s">
        <v>49</v>
      </c>
      <c r="F272" t="s">
        <v>98</v>
      </c>
      <c r="G272" t="str" cm="1">
        <f t="array" ref="G272">_xlfn.SWITCH(F272,"Acme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272" t="s">
        <v>104</v>
      </c>
      <c r="I272" t="s">
        <v>34</v>
      </c>
      <c r="J272" t="str" cm="1">
        <f t="array" ref="J272">_xlfn.SWITCH(I272,"P001","Laptop","P002","Server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72" s="1" cm="1">
        <f t="array" ref="K272">_xlfn.SWITCH(Table1[[#This Row],[Product ID]],"P001",220,"P002",150,"P003",130,"P004",70,"P005",200,"P006",40,"P007",25,"P008",20,"P009",190,"P010",530)</f>
        <v>20</v>
      </c>
      <c r="L272">
        <v>13</v>
      </c>
      <c r="M272" s="1">
        <f>Table1[[#This Row],[Unit Price]]*Table1[[#This Row],[Quantity]]</f>
        <v>260</v>
      </c>
      <c r="N272" s="2">
        <v>0.03</v>
      </c>
      <c r="O272" s="1">
        <f>Table1[[#This Row],[Gross Value]]*(1-Table1[[#This Row],[Discount]])</f>
        <v>252.2</v>
      </c>
      <c r="P272" s="2">
        <v>0.2</v>
      </c>
      <c r="Q272" s="1">
        <f>Table1[[#This Row],[Revenue]]*Table1[[#This Row],[VAT Rate]]</f>
        <v>50.44</v>
      </c>
      <c r="R272" s="1">
        <f>Table1[[#This Row],[Revenue]]+Table1[[#This Row],[VAT Charged]]</f>
        <v>302.64</v>
      </c>
      <c r="S272" s="1" cm="1">
        <f t="array" ref="S272">_xlfn.SWITCH(Table1[[#This Row],[Product ID]],"P001",140,"P002",80,"P003",72,"P004",30,"P005",110,"P006",24,"P007",14,"P008",12,"P009",115,"P010",360)</f>
        <v>12</v>
      </c>
      <c r="T272" s="1" cm="1">
        <f t="array" ref="T272">(_xlfn.SWITCH(Table1[[#This Row],[Product ID]],"P001",140,"P002",80,"P003",72,"P004",30,"P005",110,"P006",24,"P007",14,"P008",12,"P009",115,"P010",360))*Table1[[#This Row],[Quantity]]</f>
        <v>156</v>
      </c>
      <c r="U272" s="1" cm="1">
        <f t="array" ref="U272">_xlfn.SWITCH(Table1[[#This Row],[Product ID]],"P001",15,"P002",0,"P003",8,"P004",8,"P005",0,"P006",7,"P007",7,"P008",6,"P009",45,"P010",60)</f>
        <v>6</v>
      </c>
      <c r="V272" s="1">
        <f>Table1[[#This Row],[Shipping per Unit]]*Table1[[#This Row],[Quantity]]</f>
        <v>78</v>
      </c>
      <c r="W272" s="2">
        <f>IF(Table1[[#This Row],[Total Shipping]]&gt;0.1,0.2,0)</f>
        <v>0.2</v>
      </c>
      <c r="X272" s="4">
        <f>Table1[[#This Row],[Total Shipping]]*Table1[[#This Row],[VAT on Shipping]]</f>
        <v>15.600000000000001</v>
      </c>
      <c r="Y272" s="1">
        <f>Table1[[#This Row],[Revenue]]-Table1[[#This Row],[COGS]]</f>
        <v>96.199999999999989</v>
      </c>
      <c r="Z272" s="3">
        <f>(Table1[[#This Row],[Profit]]/Table1[[#This Row],[Revenue]])</f>
        <v>0.38144329896907214</v>
      </c>
      <c r="AA272" s="1">
        <f>Table1[[#This Row],[Profit]]-Table1[[#This Row],[Total Shipping]]</f>
        <v>18.199999999999989</v>
      </c>
      <c r="AB272" s="3">
        <f>Table1[[#This Row],[Operating Profit]]/Table1[[#This Row],[Revenue]]</f>
        <v>7.2164948453608199E-2</v>
      </c>
    </row>
    <row r="273" spans="1:28" x14ac:dyDescent="0.25">
      <c r="A273" t="s">
        <v>183</v>
      </c>
      <c r="B273">
        <v>300</v>
      </c>
      <c r="C273" t="s">
        <v>71</v>
      </c>
      <c r="D273" t="s">
        <v>57</v>
      </c>
      <c r="E273" t="s">
        <v>40</v>
      </c>
      <c r="F273" t="s">
        <v>102</v>
      </c>
      <c r="G273" t="str" cm="1">
        <f t="array" ref="G273">_xlfn.SWITCH(F273,"Acme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273" t="s">
        <v>51</v>
      </c>
      <c r="I273" t="s">
        <v>60</v>
      </c>
      <c r="J273" t="str" cm="1">
        <f t="array" ref="J273">_xlfn.SWITCH(I273,"P001","Laptop","P002","Server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73" s="1" cm="1">
        <f t="array" ref="K273">_xlfn.SWITCH(Table1[[#This Row],[Product ID]],"P001",220,"P002",150,"P003",130,"P004",70,"P005",200,"P006",40,"P007",25,"P008",20,"P009",190,"P010",530)</f>
        <v>25</v>
      </c>
      <c r="L273">
        <v>17</v>
      </c>
      <c r="M273" s="1">
        <f>Table1[[#This Row],[Unit Price]]*Table1[[#This Row],[Quantity]]</f>
        <v>425</v>
      </c>
      <c r="N273" s="2">
        <v>0.05</v>
      </c>
      <c r="O273" s="1">
        <f>Table1[[#This Row],[Gross Value]]*(1-Table1[[#This Row],[Discount]])</f>
        <v>403.75</v>
      </c>
      <c r="P273" s="2">
        <v>0.2</v>
      </c>
      <c r="Q273" s="1">
        <f>Table1[[#This Row],[Revenue]]*Table1[[#This Row],[VAT Rate]]</f>
        <v>80.75</v>
      </c>
      <c r="R273" s="1">
        <f>Table1[[#This Row],[Revenue]]+Table1[[#This Row],[VAT Charged]]</f>
        <v>484.5</v>
      </c>
      <c r="S273" s="1" cm="1">
        <f t="array" ref="S273">_xlfn.SWITCH(Table1[[#This Row],[Product ID]],"P001",140,"P002",80,"P003",72,"P004",30,"P005",110,"P006",24,"P007",14,"P008",12,"P009",115,"P010",360)</f>
        <v>14</v>
      </c>
      <c r="T273" s="1" cm="1">
        <f t="array" ref="T273">(_xlfn.SWITCH(Table1[[#This Row],[Product ID]],"P001",140,"P002",80,"P003",72,"P004",30,"P005",110,"P006",24,"P007",14,"P008",12,"P009",115,"P010",360))*Table1[[#This Row],[Quantity]]</f>
        <v>238</v>
      </c>
      <c r="U273" s="1" cm="1">
        <f t="array" ref="U273">_xlfn.SWITCH(Table1[[#This Row],[Product ID]],"P001",15,"P002",0,"P003",8,"P004",8,"P005",0,"P006",7,"P007",7,"P008",6,"P009",45,"P010",60)</f>
        <v>7</v>
      </c>
      <c r="V273" s="1">
        <f>Table1[[#This Row],[Shipping per Unit]]*Table1[[#This Row],[Quantity]]</f>
        <v>119</v>
      </c>
      <c r="W273" s="2">
        <f>IF(Table1[[#This Row],[Total Shipping]]&gt;0.1,0.2,0)</f>
        <v>0.2</v>
      </c>
      <c r="X273" s="4">
        <f>Table1[[#This Row],[Total Shipping]]*Table1[[#This Row],[VAT on Shipping]]</f>
        <v>23.8</v>
      </c>
      <c r="Y273" s="1">
        <f>Table1[[#This Row],[Revenue]]-Table1[[#This Row],[COGS]]</f>
        <v>165.75</v>
      </c>
      <c r="Z273" s="3">
        <f>(Table1[[#This Row],[Profit]]/Table1[[#This Row],[Revenue]])</f>
        <v>0.41052631578947368</v>
      </c>
      <c r="AA273" s="1">
        <f>Table1[[#This Row],[Profit]]-Table1[[#This Row],[Total Shipping]]</f>
        <v>46.75</v>
      </c>
      <c r="AB273" s="3">
        <f>Table1[[#This Row],[Operating Profit]]/Table1[[#This Row],[Revenue]]</f>
        <v>0.11578947368421053</v>
      </c>
    </row>
    <row r="274" spans="1:28" x14ac:dyDescent="0.25">
      <c r="A274" t="s">
        <v>183</v>
      </c>
      <c r="B274">
        <v>702</v>
      </c>
      <c r="C274" t="s">
        <v>71</v>
      </c>
      <c r="D274" t="s">
        <v>36</v>
      </c>
      <c r="E274" t="s">
        <v>31</v>
      </c>
      <c r="F274" t="s">
        <v>103</v>
      </c>
      <c r="G274" t="str" cm="1">
        <f t="array" ref="G274">_xlfn.SWITCH(F274,"Acme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274" t="s">
        <v>69</v>
      </c>
      <c r="I274" t="s">
        <v>42</v>
      </c>
      <c r="J274" t="str" cm="1">
        <f t="array" ref="J274">_xlfn.SWITCH(I274,"P001","Laptop","P002","Server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74" s="1" cm="1">
        <f t="array" ref="K274">_xlfn.SWITCH(Table1[[#This Row],[Product ID]],"P001",220,"P002",150,"P003",130,"P004",70,"P005",200,"P006",40,"P007",25,"P008",20,"P009",190,"P010",530)</f>
        <v>40</v>
      </c>
      <c r="L274">
        <v>2</v>
      </c>
      <c r="M274" s="1">
        <f>Table1[[#This Row],[Unit Price]]*Table1[[#This Row],[Quantity]]</f>
        <v>80</v>
      </c>
      <c r="N274" s="2">
        <v>0.05</v>
      </c>
      <c r="O274" s="1">
        <f>Table1[[#This Row],[Gross Value]]*(1-Table1[[#This Row],[Discount]])</f>
        <v>76</v>
      </c>
      <c r="P274" s="2">
        <v>0.2</v>
      </c>
      <c r="Q274" s="1">
        <f>Table1[[#This Row],[Revenue]]*Table1[[#This Row],[VAT Rate]]</f>
        <v>15.200000000000001</v>
      </c>
      <c r="R274" s="1">
        <f>Table1[[#This Row],[Revenue]]+Table1[[#This Row],[VAT Charged]]</f>
        <v>91.2</v>
      </c>
      <c r="S274" s="1" cm="1">
        <f t="array" ref="S274">_xlfn.SWITCH(Table1[[#This Row],[Product ID]],"P001",140,"P002",80,"P003",72,"P004",30,"P005",110,"P006",24,"P007",14,"P008",12,"P009",115,"P010",360)</f>
        <v>24</v>
      </c>
      <c r="T274" s="1" cm="1">
        <f t="array" ref="T274">(_xlfn.SWITCH(Table1[[#This Row],[Product ID]],"P001",140,"P002",80,"P003",72,"P004",30,"P005",110,"P006",24,"P007",14,"P008",12,"P009",115,"P010",360))*Table1[[#This Row],[Quantity]]</f>
        <v>48</v>
      </c>
      <c r="U274" s="1" cm="1">
        <f t="array" ref="U274">_xlfn.SWITCH(Table1[[#This Row],[Product ID]],"P001",15,"P002",0,"P003",8,"P004",8,"P005",0,"P006",7,"P007",7,"P008",6,"P009",45,"P010",60)</f>
        <v>7</v>
      </c>
      <c r="V274" s="1">
        <f>Table1[[#This Row],[Shipping per Unit]]*Table1[[#This Row],[Quantity]]</f>
        <v>14</v>
      </c>
      <c r="W274" s="2">
        <f>IF(Table1[[#This Row],[Total Shipping]]&gt;0.1,0.2,0)</f>
        <v>0.2</v>
      </c>
      <c r="X274" s="4">
        <f>Table1[[#This Row],[Total Shipping]]*Table1[[#This Row],[VAT on Shipping]]</f>
        <v>2.8000000000000003</v>
      </c>
      <c r="Y274" s="1">
        <f>Table1[[#This Row],[Revenue]]-Table1[[#This Row],[COGS]]</f>
        <v>28</v>
      </c>
      <c r="Z274" s="3">
        <f>(Table1[[#This Row],[Profit]]/Table1[[#This Row],[Revenue]])</f>
        <v>0.36842105263157893</v>
      </c>
      <c r="AA274" s="1">
        <f>Table1[[#This Row],[Profit]]-Table1[[#This Row],[Total Shipping]]</f>
        <v>14</v>
      </c>
      <c r="AB274" s="3">
        <f>Table1[[#This Row],[Operating Profit]]/Table1[[#This Row],[Revenue]]</f>
        <v>0.18421052631578946</v>
      </c>
    </row>
    <row r="275" spans="1:28" x14ac:dyDescent="0.25">
      <c r="A275" t="s">
        <v>184</v>
      </c>
      <c r="B275">
        <v>110</v>
      </c>
      <c r="C275" t="s">
        <v>38</v>
      </c>
      <c r="D275" t="s">
        <v>39</v>
      </c>
      <c r="E275" t="s">
        <v>31</v>
      </c>
      <c r="F275" t="s">
        <v>86</v>
      </c>
      <c r="G275" t="str" cm="1">
        <f t="array" ref="G275">_xlfn.SWITCH(F275,"Acme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275" t="s">
        <v>69</v>
      </c>
      <c r="I275" t="s">
        <v>42</v>
      </c>
      <c r="J275" t="str" cm="1">
        <f t="array" ref="J275">_xlfn.SWITCH(I275,"P001","Laptop","P002","Server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75" s="1" cm="1">
        <f t="array" ref="K275">_xlfn.SWITCH(Table1[[#This Row],[Product ID]],"P001",220,"P002",150,"P003",130,"P004",70,"P005",200,"P006",40,"P007",25,"P008",20,"P009",190,"P010",530)</f>
        <v>40</v>
      </c>
      <c r="L275">
        <v>10</v>
      </c>
      <c r="M275" s="1">
        <f>Table1[[#This Row],[Unit Price]]*Table1[[#This Row],[Quantity]]</f>
        <v>400</v>
      </c>
      <c r="N275" s="2">
        <v>7.0000000000000007E-2</v>
      </c>
      <c r="O275" s="1">
        <f>Table1[[#This Row],[Gross Value]]*(1-Table1[[#This Row],[Discount]])</f>
        <v>372</v>
      </c>
      <c r="P275" s="2">
        <v>0.2</v>
      </c>
      <c r="Q275" s="1">
        <f>Table1[[#This Row],[Revenue]]*Table1[[#This Row],[VAT Rate]]</f>
        <v>74.400000000000006</v>
      </c>
      <c r="R275" s="1">
        <f>Table1[[#This Row],[Revenue]]+Table1[[#This Row],[VAT Charged]]</f>
        <v>446.4</v>
      </c>
      <c r="S275" s="1" cm="1">
        <f t="array" ref="S275">_xlfn.SWITCH(Table1[[#This Row],[Product ID]],"P001",140,"P002",80,"P003",72,"P004",30,"P005",110,"P006",24,"P007",14,"P008",12,"P009",115,"P010",360)</f>
        <v>24</v>
      </c>
      <c r="T275" s="1" cm="1">
        <f t="array" ref="T275">(_xlfn.SWITCH(Table1[[#This Row],[Product ID]],"P001",140,"P002",80,"P003",72,"P004",30,"P005",110,"P006",24,"P007",14,"P008",12,"P009",115,"P010",360))*Table1[[#This Row],[Quantity]]</f>
        <v>240</v>
      </c>
      <c r="U275" s="1" cm="1">
        <f t="array" ref="U275">_xlfn.SWITCH(Table1[[#This Row],[Product ID]],"P001",15,"P002",0,"P003",8,"P004",8,"P005",0,"P006",7,"P007",7,"P008",6,"P009",45,"P010",60)</f>
        <v>7</v>
      </c>
      <c r="V275" s="1">
        <f>Table1[[#This Row],[Shipping per Unit]]*Table1[[#This Row],[Quantity]]</f>
        <v>70</v>
      </c>
      <c r="W275" s="2">
        <f>IF(Table1[[#This Row],[Total Shipping]]&gt;0.1,0.2,0)</f>
        <v>0.2</v>
      </c>
      <c r="X275" s="4">
        <f>Table1[[#This Row],[Total Shipping]]*Table1[[#This Row],[VAT on Shipping]]</f>
        <v>14</v>
      </c>
      <c r="Y275" s="1">
        <f>Table1[[#This Row],[Revenue]]-Table1[[#This Row],[COGS]]</f>
        <v>132</v>
      </c>
      <c r="Z275" s="3">
        <f>(Table1[[#This Row],[Profit]]/Table1[[#This Row],[Revenue]])</f>
        <v>0.35483870967741937</v>
      </c>
      <c r="AA275" s="1">
        <f>Table1[[#This Row],[Profit]]-Table1[[#This Row],[Total Shipping]]</f>
        <v>62</v>
      </c>
      <c r="AB275" s="3">
        <f>Table1[[#This Row],[Operating Profit]]/Table1[[#This Row],[Revenue]]</f>
        <v>0.16666666666666666</v>
      </c>
    </row>
    <row r="276" spans="1:28" x14ac:dyDescent="0.25">
      <c r="A276" t="s">
        <v>184</v>
      </c>
      <c r="B276">
        <v>454</v>
      </c>
      <c r="C276" t="s">
        <v>83</v>
      </c>
      <c r="D276" t="s">
        <v>30</v>
      </c>
      <c r="E276" t="s">
        <v>49</v>
      </c>
      <c r="F276" t="s">
        <v>92</v>
      </c>
      <c r="G276" t="str" cm="1">
        <f t="array" ref="G276">_xlfn.SWITCH(F276,"Acme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276" t="s">
        <v>33</v>
      </c>
      <c r="I276" t="s">
        <v>42</v>
      </c>
      <c r="J276" t="str" cm="1">
        <f t="array" ref="J276">_xlfn.SWITCH(I276,"P001","Laptop","P002","Server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76" s="1" cm="1">
        <f t="array" ref="K276">_xlfn.SWITCH(Table1[[#This Row],[Product ID]],"P001",220,"P002",150,"P003",130,"P004",70,"P005",200,"P006",40,"P007",25,"P008",20,"P009",190,"P010",530)</f>
        <v>40</v>
      </c>
      <c r="L276">
        <v>15</v>
      </c>
      <c r="M276" s="1">
        <f>Table1[[#This Row],[Unit Price]]*Table1[[#This Row],[Quantity]]</f>
        <v>600</v>
      </c>
      <c r="N276" s="2">
        <v>0.05</v>
      </c>
      <c r="O276" s="1">
        <f>Table1[[#This Row],[Gross Value]]*(1-Table1[[#This Row],[Discount]])</f>
        <v>570</v>
      </c>
      <c r="P276" s="2">
        <v>0.2</v>
      </c>
      <c r="Q276" s="1">
        <f>Table1[[#This Row],[Revenue]]*Table1[[#This Row],[VAT Rate]]</f>
        <v>114</v>
      </c>
      <c r="R276" s="1">
        <f>Table1[[#This Row],[Revenue]]+Table1[[#This Row],[VAT Charged]]</f>
        <v>684</v>
      </c>
      <c r="S276" s="1" cm="1">
        <f t="array" ref="S276">_xlfn.SWITCH(Table1[[#This Row],[Product ID]],"P001",140,"P002",80,"P003",72,"P004",30,"P005",110,"P006",24,"P007",14,"P008",12,"P009",115,"P010",360)</f>
        <v>24</v>
      </c>
      <c r="T276" s="1" cm="1">
        <f t="array" ref="T276">(_xlfn.SWITCH(Table1[[#This Row],[Product ID]],"P001",140,"P002",80,"P003",72,"P004",30,"P005",110,"P006",24,"P007",14,"P008",12,"P009",115,"P010",360))*Table1[[#This Row],[Quantity]]</f>
        <v>360</v>
      </c>
      <c r="U276" s="1" cm="1">
        <f t="array" ref="U276">_xlfn.SWITCH(Table1[[#This Row],[Product ID]],"P001",15,"P002",0,"P003",8,"P004",8,"P005",0,"P006",7,"P007",7,"P008",6,"P009",45,"P010",60)</f>
        <v>7</v>
      </c>
      <c r="V276" s="1">
        <f>Table1[[#This Row],[Shipping per Unit]]*Table1[[#This Row],[Quantity]]</f>
        <v>105</v>
      </c>
      <c r="W276" s="2">
        <f>IF(Table1[[#This Row],[Total Shipping]]&gt;0.1,0.2,0)</f>
        <v>0.2</v>
      </c>
      <c r="X276" s="4">
        <f>Table1[[#This Row],[Total Shipping]]*Table1[[#This Row],[VAT on Shipping]]</f>
        <v>21</v>
      </c>
      <c r="Y276" s="1">
        <f>Table1[[#This Row],[Revenue]]-Table1[[#This Row],[COGS]]</f>
        <v>210</v>
      </c>
      <c r="Z276" s="3">
        <f>(Table1[[#This Row],[Profit]]/Table1[[#This Row],[Revenue]])</f>
        <v>0.36842105263157893</v>
      </c>
      <c r="AA276" s="1">
        <f>Table1[[#This Row],[Profit]]-Table1[[#This Row],[Total Shipping]]</f>
        <v>105</v>
      </c>
      <c r="AB276" s="3">
        <f>Table1[[#This Row],[Operating Profit]]/Table1[[#This Row],[Revenue]]</f>
        <v>0.18421052631578946</v>
      </c>
    </row>
    <row r="277" spans="1:28" x14ac:dyDescent="0.25">
      <c r="A277" t="s">
        <v>184</v>
      </c>
      <c r="B277">
        <v>518</v>
      </c>
      <c r="C277" t="s">
        <v>83</v>
      </c>
      <c r="D277" t="s">
        <v>72</v>
      </c>
      <c r="E277" t="s">
        <v>31</v>
      </c>
      <c r="F277" t="s">
        <v>84</v>
      </c>
      <c r="G277" t="str" cm="1">
        <f t="array" ref="G277">_xlfn.SWITCH(F277,"Acme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277" t="s">
        <v>58</v>
      </c>
      <c r="I277" t="s">
        <v>91</v>
      </c>
      <c r="J277" t="str" cm="1">
        <f t="array" ref="J277">_xlfn.SWITCH(I277,"P001","Laptop","P002","Server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77" s="1" cm="1">
        <f t="array" ref="K277">_xlfn.SWITCH(Table1[[#This Row],[Product ID]],"P001",220,"P002",150,"P003",130,"P004",70,"P005",200,"P006",40,"P007",25,"P008",20,"P009",190,"P010",530)</f>
        <v>190</v>
      </c>
      <c r="L277">
        <v>18</v>
      </c>
      <c r="M277" s="1">
        <f>Table1[[#This Row],[Unit Price]]*Table1[[#This Row],[Quantity]]</f>
        <v>3420</v>
      </c>
      <c r="N277" s="2">
        <v>0.04</v>
      </c>
      <c r="O277" s="1">
        <f>Table1[[#This Row],[Gross Value]]*(1-Table1[[#This Row],[Discount]])</f>
        <v>3283.2</v>
      </c>
      <c r="P277" s="2">
        <v>0.2</v>
      </c>
      <c r="Q277" s="1">
        <f>Table1[[#This Row],[Revenue]]*Table1[[#This Row],[VAT Rate]]</f>
        <v>656.64</v>
      </c>
      <c r="R277" s="1">
        <f>Table1[[#This Row],[Revenue]]+Table1[[#This Row],[VAT Charged]]</f>
        <v>3939.8399999999997</v>
      </c>
      <c r="S277" s="1" cm="1">
        <f t="array" ref="S277">_xlfn.SWITCH(Table1[[#This Row],[Product ID]],"P001",140,"P002",80,"P003",72,"P004",30,"P005",110,"P006",24,"P007",14,"P008",12,"P009",115,"P010",360)</f>
        <v>115</v>
      </c>
      <c r="T277" s="1" cm="1">
        <f t="array" ref="T277">(_xlfn.SWITCH(Table1[[#This Row],[Product ID]],"P001",140,"P002",80,"P003",72,"P004",30,"P005",110,"P006",24,"P007",14,"P008",12,"P009",115,"P010",360))*Table1[[#This Row],[Quantity]]</f>
        <v>2070</v>
      </c>
      <c r="U277" s="1" cm="1">
        <f t="array" ref="U277">_xlfn.SWITCH(Table1[[#This Row],[Product ID]],"P001",15,"P002",0,"P003",8,"P004",8,"P005",0,"P006",7,"P007",7,"P008",6,"P009",45,"P010",60)</f>
        <v>45</v>
      </c>
      <c r="V277" s="1">
        <f>Table1[[#This Row],[Shipping per Unit]]*Table1[[#This Row],[Quantity]]</f>
        <v>810</v>
      </c>
      <c r="W277" s="2">
        <f>IF(Table1[[#This Row],[Total Shipping]]&gt;0.1,0.2,0)</f>
        <v>0.2</v>
      </c>
      <c r="X277" s="4">
        <f>Table1[[#This Row],[Total Shipping]]*Table1[[#This Row],[VAT on Shipping]]</f>
        <v>162</v>
      </c>
      <c r="Y277" s="1">
        <f>Table1[[#This Row],[Revenue]]-Table1[[#This Row],[COGS]]</f>
        <v>1213.1999999999998</v>
      </c>
      <c r="Z277" s="3">
        <f>(Table1[[#This Row],[Profit]]/Table1[[#This Row],[Revenue]])</f>
        <v>0.36951754385964908</v>
      </c>
      <c r="AA277" s="1">
        <f>Table1[[#This Row],[Profit]]-Table1[[#This Row],[Total Shipping]]</f>
        <v>403.19999999999982</v>
      </c>
      <c r="AB277" s="3">
        <f>Table1[[#This Row],[Operating Profit]]/Table1[[#This Row],[Revenue]]</f>
        <v>0.1228070175438596</v>
      </c>
    </row>
    <row r="278" spans="1:28" x14ac:dyDescent="0.25">
      <c r="A278" t="s">
        <v>184</v>
      </c>
      <c r="B278">
        <v>624</v>
      </c>
      <c r="C278" t="s">
        <v>65</v>
      </c>
      <c r="D278" t="s">
        <v>63</v>
      </c>
      <c r="E278" t="s">
        <v>49</v>
      </c>
      <c r="F278" t="s">
        <v>76</v>
      </c>
      <c r="G278" t="str" cm="1">
        <f t="array" ref="G278">_xlfn.SWITCH(F278,"Acme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278" t="s">
        <v>45</v>
      </c>
      <c r="I278" t="s">
        <v>68</v>
      </c>
      <c r="J278" t="str" cm="1">
        <f t="array" ref="J278">_xlfn.SWITCH(I278,"P001","Laptop","P002","Server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278" s="1" cm="1">
        <f t="array" ref="K278">_xlfn.SWITCH(Table1[[#This Row],[Product ID]],"P001",220,"P002",150,"P003",130,"P004",70,"P005",200,"P006",40,"P007",25,"P008",20,"P009",190,"P010",530)</f>
        <v>220</v>
      </c>
      <c r="L278">
        <v>4</v>
      </c>
      <c r="M278" s="1">
        <f>Table1[[#This Row],[Unit Price]]*Table1[[#This Row],[Quantity]]</f>
        <v>880</v>
      </c>
      <c r="N278" s="2">
        <v>0.1</v>
      </c>
      <c r="O278" s="1">
        <f>Table1[[#This Row],[Gross Value]]*(1-Table1[[#This Row],[Discount]])</f>
        <v>792</v>
      </c>
      <c r="P278" s="2">
        <v>0.2</v>
      </c>
      <c r="Q278" s="1">
        <f>Table1[[#This Row],[Revenue]]*Table1[[#This Row],[VAT Rate]]</f>
        <v>158.4</v>
      </c>
      <c r="R278" s="1">
        <f>Table1[[#This Row],[Revenue]]+Table1[[#This Row],[VAT Charged]]</f>
        <v>950.4</v>
      </c>
      <c r="S278" s="1" cm="1">
        <f t="array" ref="S278">_xlfn.SWITCH(Table1[[#This Row],[Product ID]],"P001",140,"P002",80,"P003",72,"P004",30,"P005",110,"P006",24,"P007",14,"P008",12,"P009",115,"P010",360)</f>
        <v>140</v>
      </c>
      <c r="T278" s="1" cm="1">
        <f t="array" ref="T278">(_xlfn.SWITCH(Table1[[#This Row],[Product ID]],"P001",140,"P002",80,"P003",72,"P004",30,"P005",110,"P006",24,"P007",14,"P008",12,"P009",115,"P010",360))*Table1[[#This Row],[Quantity]]</f>
        <v>560</v>
      </c>
      <c r="U278" s="1" cm="1">
        <f t="array" ref="U278">_xlfn.SWITCH(Table1[[#This Row],[Product ID]],"P001",15,"P002",0,"P003",8,"P004",8,"P005",0,"P006",7,"P007",7,"P008",6,"P009",45,"P010",60)</f>
        <v>15</v>
      </c>
      <c r="V278" s="1">
        <f>Table1[[#This Row],[Shipping per Unit]]*Table1[[#This Row],[Quantity]]</f>
        <v>60</v>
      </c>
      <c r="W278" s="2">
        <f>IF(Table1[[#This Row],[Total Shipping]]&gt;0.1,0.2,0)</f>
        <v>0.2</v>
      </c>
      <c r="X278" s="4">
        <f>Table1[[#This Row],[Total Shipping]]*Table1[[#This Row],[VAT on Shipping]]</f>
        <v>12</v>
      </c>
      <c r="Y278" s="1">
        <f>Table1[[#This Row],[Revenue]]-Table1[[#This Row],[COGS]]</f>
        <v>232</v>
      </c>
      <c r="Z278" s="3">
        <f>(Table1[[#This Row],[Profit]]/Table1[[#This Row],[Revenue]])</f>
        <v>0.29292929292929293</v>
      </c>
      <c r="AA278" s="1">
        <f>Table1[[#This Row],[Profit]]-Table1[[#This Row],[Total Shipping]]</f>
        <v>172</v>
      </c>
      <c r="AB278" s="3">
        <f>Table1[[#This Row],[Operating Profit]]/Table1[[#This Row],[Revenue]]</f>
        <v>0.21717171717171718</v>
      </c>
    </row>
    <row r="279" spans="1:28" x14ac:dyDescent="0.25">
      <c r="A279" t="s">
        <v>184</v>
      </c>
      <c r="B279">
        <v>853</v>
      </c>
      <c r="C279" t="s">
        <v>62</v>
      </c>
      <c r="D279" t="s">
        <v>39</v>
      </c>
      <c r="E279" t="s">
        <v>49</v>
      </c>
      <c r="F279" t="s">
        <v>103</v>
      </c>
      <c r="G279" t="str" cm="1">
        <f t="array" ref="G279">_xlfn.SWITCH(F279,"Acme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279" t="s">
        <v>69</v>
      </c>
      <c r="I279" t="s">
        <v>42</v>
      </c>
      <c r="J279" t="str" cm="1">
        <f t="array" ref="J279">_xlfn.SWITCH(I279,"P001","Laptop","P002","Server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79" s="1" cm="1">
        <f t="array" ref="K279">_xlfn.SWITCH(Table1[[#This Row],[Product ID]],"P001",220,"P002",150,"P003",130,"P004",70,"P005",200,"P006",40,"P007",25,"P008",20,"P009",190,"P010",530)</f>
        <v>40</v>
      </c>
      <c r="L279">
        <v>11</v>
      </c>
      <c r="M279" s="1">
        <f>Table1[[#This Row],[Unit Price]]*Table1[[#This Row],[Quantity]]</f>
        <v>440</v>
      </c>
      <c r="N279" s="2">
        <v>0.08</v>
      </c>
      <c r="O279" s="1">
        <f>Table1[[#This Row],[Gross Value]]*(1-Table1[[#This Row],[Discount]])</f>
        <v>404.8</v>
      </c>
      <c r="P279" s="2">
        <v>0.2</v>
      </c>
      <c r="Q279" s="1">
        <f>Table1[[#This Row],[Revenue]]*Table1[[#This Row],[VAT Rate]]</f>
        <v>80.960000000000008</v>
      </c>
      <c r="R279" s="1">
        <f>Table1[[#This Row],[Revenue]]+Table1[[#This Row],[VAT Charged]]</f>
        <v>485.76</v>
      </c>
      <c r="S279" s="1" cm="1">
        <f t="array" ref="S279">_xlfn.SWITCH(Table1[[#This Row],[Product ID]],"P001",140,"P002",80,"P003",72,"P004",30,"P005",110,"P006",24,"P007",14,"P008",12,"P009",115,"P010",360)</f>
        <v>24</v>
      </c>
      <c r="T279" s="1" cm="1">
        <f t="array" ref="T279">(_xlfn.SWITCH(Table1[[#This Row],[Product ID]],"P001",140,"P002",80,"P003",72,"P004",30,"P005",110,"P006",24,"P007",14,"P008",12,"P009",115,"P010",360))*Table1[[#This Row],[Quantity]]</f>
        <v>264</v>
      </c>
      <c r="U279" s="1" cm="1">
        <f t="array" ref="U279">_xlfn.SWITCH(Table1[[#This Row],[Product ID]],"P001",15,"P002",0,"P003",8,"P004",8,"P005",0,"P006",7,"P007",7,"P008",6,"P009",45,"P010",60)</f>
        <v>7</v>
      </c>
      <c r="V279" s="1">
        <f>Table1[[#This Row],[Shipping per Unit]]*Table1[[#This Row],[Quantity]]</f>
        <v>77</v>
      </c>
      <c r="W279" s="2">
        <f>IF(Table1[[#This Row],[Total Shipping]]&gt;0.1,0.2,0)</f>
        <v>0.2</v>
      </c>
      <c r="X279" s="4">
        <f>Table1[[#This Row],[Total Shipping]]*Table1[[#This Row],[VAT on Shipping]]</f>
        <v>15.4</v>
      </c>
      <c r="Y279" s="1">
        <f>Table1[[#This Row],[Revenue]]-Table1[[#This Row],[COGS]]</f>
        <v>140.80000000000001</v>
      </c>
      <c r="Z279" s="3">
        <f>(Table1[[#This Row],[Profit]]/Table1[[#This Row],[Revenue]])</f>
        <v>0.34782608695652178</v>
      </c>
      <c r="AA279" s="1">
        <f>Table1[[#This Row],[Profit]]-Table1[[#This Row],[Total Shipping]]</f>
        <v>63.800000000000011</v>
      </c>
      <c r="AB279" s="3">
        <f>Table1[[#This Row],[Operating Profit]]/Table1[[#This Row],[Revenue]]</f>
        <v>0.15760869565217395</v>
      </c>
    </row>
    <row r="280" spans="1:28" x14ac:dyDescent="0.25">
      <c r="A280" t="s">
        <v>185</v>
      </c>
      <c r="B280">
        <v>384</v>
      </c>
      <c r="C280" t="s">
        <v>29</v>
      </c>
      <c r="D280" t="s">
        <v>48</v>
      </c>
      <c r="E280" t="s">
        <v>31</v>
      </c>
      <c r="F280" t="s">
        <v>41</v>
      </c>
      <c r="G280" t="str" cm="1">
        <f t="array" ref="G280">_xlfn.SWITCH(F280,"Acme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280" t="s">
        <v>104</v>
      </c>
      <c r="I280" t="s">
        <v>75</v>
      </c>
      <c r="J280" t="str" cm="1">
        <f t="array" ref="J280">_xlfn.SWITCH(I280,"P001","Laptop","P002","Server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280" s="1" cm="1">
        <f t="array" ref="K280">_xlfn.SWITCH(Table1[[#This Row],[Product ID]],"P001",220,"P002",150,"P003",130,"P004",70,"P005",200,"P006",40,"P007",25,"P008",20,"P009",190,"P010",530)</f>
        <v>200</v>
      </c>
      <c r="L280">
        <v>4</v>
      </c>
      <c r="M280" s="1">
        <f>Table1[[#This Row],[Unit Price]]*Table1[[#This Row],[Quantity]]</f>
        <v>800</v>
      </c>
      <c r="N280" s="2">
        <v>0.01</v>
      </c>
      <c r="O280" s="1">
        <f>Table1[[#This Row],[Gross Value]]*(1-Table1[[#This Row],[Discount]])</f>
        <v>792</v>
      </c>
      <c r="P280" s="2">
        <v>0.2</v>
      </c>
      <c r="Q280" s="1">
        <f>Table1[[#This Row],[Revenue]]*Table1[[#This Row],[VAT Rate]]</f>
        <v>158.4</v>
      </c>
      <c r="R280" s="1">
        <f>Table1[[#This Row],[Revenue]]+Table1[[#This Row],[VAT Charged]]</f>
        <v>950.4</v>
      </c>
      <c r="S280" s="1" cm="1">
        <f t="array" ref="S280">_xlfn.SWITCH(Table1[[#This Row],[Product ID]],"P001",140,"P002",80,"P003",72,"P004",30,"P005",110,"P006",24,"P007",14,"P008",12,"P009",115,"P010",360)</f>
        <v>110</v>
      </c>
      <c r="T280" s="1" cm="1">
        <f t="array" ref="T280">(_xlfn.SWITCH(Table1[[#This Row],[Product ID]],"P001",140,"P002",80,"P003",72,"P004",30,"P005",110,"P006",24,"P007",14,"P008",12,"P009",115,"P010",360))*Table1[[#This Row],[Quantity]]</f>
        <v>440</v>
      </c>
      <c r="U280" s="1" cm="1">
        <f t="array" ref="U280">_xlfn.SWITCH(Table1[[#This Row],[Product ID]],"P001",15,"P002",0,"P003",8,"P004",8,"P005",0,"P006",7,"P007",7,"P008",6,"P009",45,"P010",60)</f>
        <v>0</v>
      </c>
      <c r="V280" s="1">
        <f>Table1[[#This Row],[Shipping per Unit]]*Table1[[#This Row],[Quantity]]</f>
        <v>0</v>
      </c>
      <c r="W280" s="2">
        <f>IF(Table1[[#This Row],[Total Shipping]]&gt;0.1,0.2,0)</f>
        <v>0</v>
      </c>
      <c r="X280" s="4">
        <f>Table1[[#This Row],[Total Shipping]]*Table1[[#This Row],[VAT on Shipping]]</f>
        <v>0</v>
      </c>
      <c r="Y280" s="1">
        <f>Table1[[#This Row],[Revenue]]-Table1[[#This Row],[COGS]]</f>
        <v>352</v>
      </c>
      <c r="Z280" s="3">
        <f>(Table1[[#This Row],[Profit]]/Table1[[#This Row],[Revenue]])</f>
        <v>0.44444444444444442</v>
      </c>
      <c r="AA280" s="1">
        <f>Table1[[#This Row],[Profit]]-Table1[[#This Row],[Total Shipping]]</f>
        <v>352</v>
      </c>
      <c r="AB280" s="3">
        <f>Table1[[#This Row],[Operating Profit]]/Table1[[#This Row],[Revenue]]</f>
        <v>0.44444444444444442</v>
      </c>
    </row>
    <row r="281" spans="1:28" x14ac:dyDescent="0.25">
      <c r="A281" t="s">
        <v>185</v>
      </c>
      <c r="B281">
        <v>504</v>
      </c>
      <c r="C281" t="s">
        <v>65</v>
      </c>
      <c r="D281" t="s">
        <v>72</v>
      </c>
      <c r="E281" t="s">
        <v>31</v>
      </c>
      <c r="F281" t="s">
        <v>119</v>
      </c>
      <c r="G281" t="str" cm="1">
        <f t="array" ref="G281">_xlfn.SWITCH(F281,"Acme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281" t="s">
        <v>104</v>
      </c>
      <c r="I281" t="s">
        <v>34</v>
      </c>
      <c r="J281" t="str" cm="1">
        <f t="array" ref="J281">_xlfn.SWITCH(I281,"P001","Laptop","P002","Server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81" s="1" cm="1">
        <f t="array" ref="K281">_xlfn.SWITCH(Table1[[#This Row],[Product ID]],"P001",220,"P002",150,"P003",130,"P004",70,"P005",200,"P006",40,"P007",25,"P008",20,"P009",190,"P010",530)</f>
        <v>20</v>
      </c>
      <c r="L281">
        <v>12</v>
      </c>
      <c r="M281" s="1">
        <f>Table1[[#This Row],[Unit Price]]*Table1[[#This Row],[Quantity]]</f>
        <v>240</v>
      </c>
      <c r="N281" s="2">
        <v>0.05</v>
      </c>
      <c r="O281" s="1">
        <f>Table1[[#This Row],[Gross Value]]*(1-Table1[[#This Row],[Discount]])</f>
        <v>228</v>
      </c>
      <c r="P281" s="2">
        <v>0.2</v>
      </c>
      <c r="Q281" s="1">
        <f>Table1[[#This Row],[Revenue]]*Table1[[#This Row],[VAT Rate]]</f>
        <v>45.6</v>
      </c>
      <c r="R281" s="1">
        <f>Table1[[#This Row],[Revenue]]+Table1[[#This Row],[VAT Charged]]</f>
        <v>273.60000000000002</v>
      </c>
      <c r="S281" s="1" cm="1">
        <f t="array" ref="S281">_xlfn.SWITCH(Table1[[#This Row],[Product ID]],"P001",140,"P002",80,"P003",72,"P004",30,"P005",110,"P006",24,"P007",14,"P008",12,"P009",115,"P010",360)</f>
        <v>12</v>
      </c>
      <c r="T281" s="1" cm="1">
        <f t="array" ref="T281">(_xlfn.SWITCH(Table1[[#This Row],[Product ID]],"P001",140,"P002",80,"P003",72,"P004",30,"P005",110,"P006",24,"P007",14,"P008",12,"P009",115,"P010",360))*Table1[[#This Row],[Quantity]]</f>
        <v>144</v>
      </c>
      <c r="U281" s="1" cm="1">
        <f t="array" ref="U281">_xlfn.SWITCH(Table1[[#This Row],[Product ID]],"P001",15,"P002",0,"P003",8,"P004",8,"P005",0,"P006",7,"P007",7,"P008",6,"P009",45,"P010",60)</f>
        <v>6</v>
      </c>
      <c r="V281" s="1">
        <f>Table1[[#This Row],[Shipping per Unit]]*Table1[[#This Row],[Quantity]]</f>
        <v>72</v>
      </c>
      <c r="W281" s="2">
        <f>IF(Table1[[#This Row],[Total Shipping]]&gt;0.1,0.2,0)</f>
        <v>0.2</v>
      </c>
      <c r="X281" s="4">
        <f>Table1[[#This Row],[Total Shipping]]*Table1[[#This Row],[VAT on Shipping]]</f>
        <v>14.4</v>
      </c>
      <c r="Y281" s="1">
        <f>Table1[[#This Row],[Revenue]]-Table1[[#This Row],[COGS]]</f>
        <v>84</v>
      </c>
      <c r="Z281" s="3">
        <f>(Table1[[#This Row],[Profit]]/Table1[[#This Row],[Revenue]])</f>
        <v>0.36842105263157893</v>
      </c>
      <c r="AA281" s="1">
        <f>Table1[[#This Row],[Profit]]-Table1[[#This Row],[Total Shipping]]</f>
        <v>12</v>
      </c>
      <c r="AB281" s="3">
        <f>Table1[[#This Row],[Operating Profit]]/Table1[[#This Row],[Revenue]]</f>
        <v>5.2631578947368418E-2</v>
      </c>
    </row>
    <row r="282" spans="1:28" x14ac:dyDescent="0.25">
      <c r="A282" t="s">
        <v>185</v>
      </c>
      <c r="B282">
        <v>632</v>
      </c>
      <c r="C282" t="s">
        <v>38</v>
      </c>
      <c r="D282" t="s">
        <v>63</v>
      </c>
      <c r="E282" t="s">
        <v>31</v>
      </c>
      <c r="F282" t="s">
        <v>37</v>
      </c>
      <c r="G282" t="str" cm="1">
        <f t="array" ref="G282">_xlfn.SWITCH(F282,"Acme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282" t="s">
        <v>33</v>
      </c>
      <c r="I282" t="s">
        <v>34</v>
      </c>
      <c r="J282" t="str" cm="1">
        <f t="array" ref="J282">_xlfn.SWITCH(I282,"P001","Laptop","P002","Server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82" s="1" cm="1">
        <f t="array" ref="K282">_xlfn.SWITCH(Table1[[#This Row],[Product ID]],"P001",220,"P002",150,"P003",130,"P004",70,"P005",200,"P006",40,"P007",25,"P008",20,"P009",190,"P010",530)</f>
        <v>20</v>
      </c>
      <c r="L282">
        <v>3</v>
      </c>
      <c r="M282" s="1">
        <f>Table1[[#This Row],[Unit Price]]*Table1[[#This Row],[Quantity]]</f>
        <v>60</v>
      </c>
      <c r="N282" s="2">
        <v>0.01</v>
      </c>
      <c r="O282" s="1">
        <f>Table1[[#This Row],[Gross Value]]*(1-Table1[[#This Row],[Discount]])</f>
        <v>59.4</v>
      </c>
      <c r="P282" s="2">
        <v>0.2</v>
      </c>
      <c r="Q282" s="1">
        <f>Table1[[#This Row],[Revenue]]*Table1[[#This Row],[VAT Rate]]</f>
        <v>11.88</v>
      </c>
      <c r="R282" s="1">
        <f>Table1[[#This Row],[Revenue]]+Table1[[#This Row],[VAT Charged]]</f>
        <v>71.28</v>
      </c>
      <c r="S282" s="1" cm="1">
        <f t="array" ref="S282">_xlfn.SWITCH(Table1[[#This Row],[Product ID]],"P001",140,"P002",80,"P003",72,"P004",30,"P005",110,"P006",24,"P007",14,"P008",12,"P009",115,"P010",360)</f>
        <v>12</v>
      </c>
      <c r="T282" s="1" cm="1">
        <f t="array" ref="T282">(_xlfn.SWITCH(Table1[[#This Row],[Product ID]],"P001",140,"P002",80,"P003",72,"P004",30,"P005",110,"P006",24,"P007",14,"P008",12,"P009",115,"P010",360))*Table1[[#This Row],[Quantity]]</f>
        <v>36</v>
      </c>
      <c r="U282" s="1" cm="1">
        <f t="array" ref="U282">_xlfn.SWITCH(Table1[[#This Row],[Product ID]],"P001",15,"P002",0,"P003",8,"P004",8,"P005",0,"P006",7,"P007",7,"P008",6,"P009",45,"P010",60)</f>
        <v>6</v>
      </c>
      <c r="V282" s="1">
        <f>Table1[[#This Row],[Shipping per Unit]]*Table1[[#This Row],[Quantity]]</f>
        <v>18</v>
      </c>
      <c r="W282" s="2">
        <f>IF(Table1[[#This Row],[Total Shipping]]&gt;0.1,0.2,0)</f>
        <v>0.2</v>
      </c>
      <c r="X282" s="4">
        <f>Table1[[#This Row],[Total Shipping]]*Table1[[#This Row],[VAT on Shipping]]</f>
        <v>3.6</v>
      </c>
      <c r="Y282" s="1">
        <f>Table1[[#This Row],[Revenue]]-Table1[[#This Row],[COGS]]</f>
        <v>23.4</v>
      </c>
      <c r="Z282" s="3">
        <f>(Table1[[#This Row],[Profit]]/Table1[[#This Row],[Revenue]])</f>
        <v>0.39393939393939392</v>
      </c>
      <c r="AA282" s="1">
        <f>Table1[[#This Row],[Profit]]-Table1[[#This Row],[Total Shipping]]</f>
        <v>5.3999999999999986</v>
      </c>
      <c r="AB282" s="3">
        <f>Table1[[#This Row],[Operating Profit]]/Table1[[#This Row],[Revenue]]</f>
        <v>9.0909090909090884E-2</v>
      </c>
    </row>
    <row r="283" spans="1:28" x14ac:dyDescent="0.25">
      <c r="A283" t="s">
        <v>185</v>
      </c>
      <c r="B283">
        <v>868</v>
      </c>
      <c r="C283" t="s">
        <v>35</v>
      </c>
      <c r="D283" t="s">
        <v>57</v>
      </c>
      <c r="E283" t="s">
        <v>31</v>
      </c>
      <c r="F283" t="s">
        <v>54</v>
      </c>
      <c r="G283" t="str" cm="1">
        <f t="array" ref="G283">_xlfn.SWITCH(F283,"Acme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283" t="s">
        <v>33</v>
      </c>
      <c r="I283" t="s">
        <v>55</v>
      </c>
      <c r="J283" t="str" cm="1">
        <f t="array" ref="J283">_xlfn.SWITCH(I283,"P001","Laptop","P002","Server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83" s="1" cm="1">
        <f t="array" ref="K283">_xlfn.SWITCH(Table1[[#This Row],[Product ID]],"P001",220,"P002",150,"P003",130,"P004",70,"P005",200,"P006",40,"P007",25,"P008",20,"P009",190,"P010",530)</f>
        <v>70</v>
      </c>
      <c r="L283">
        <v>12</v>
      </c>
      <c r="M283" s="1">
        <f>Table1[[#This Row],[Unit Price]]*Table1[[#This Row],[Quantity]]</f>
        <v>840</v>
      </c>
      <c r="N283" s="2">
        <v>7.0000000000000007E-2</v>
      </c>
      <c r="O283" s="1">
        <f>Table1[[#This Row],[Gross Value]]*(1-Table1[[#This Row],[Discount]])</f>
        <v>781.19999999999993</v>
      </c>
      <c r="P283" s="2">
        <v>0.2</v>
      </c>
      <c r="Q283" s="1">
        <f>Table1[[#This Row],[Revenue]]*Table1[[#This Row],[VAT Rate]]</f>
        <v>156.24</v>
      </c>
      <c r="R283" s="1">
        <f>Table1[[#This Row],[Revenue]]+Table1[[#This Row],[VAT Charged]]</f>
        <v>937.43999999999994</v>
      </c>
      <c r="S283" s="1" cm="1">
        <f t="array" ref="S283">_xlfn.SWITCH(Table1[[#This Row],[Product ID]],"P001",140,"P002",80,"P003",72,"P004",30,"P005",110,"P006",24,"P007",14,"P008",12,"P009",115,"P010",360)</f>
        <v>30</v>
      </c>
      <c r="T283" s="1" cm="1">
        <f t="array" ref="T283">(_xlfn.SWITCH(Table1[[#This Row],[Product ID]],"P001",140,"P002",80,"P003",72,"P004",30,"P005",110,"P006",24,"P007",14,"P008",12,"P009",115,"P010",360))*Table1[[#This Row],[Quantity]]</f>
        <v>360</v>
      </c>
      <c r="U283" s="1" cm="1">
        <f t="array" ref="U283">_xlfn.SWITCH(Table1[[#This Row],[Product ID]],"P001",15,"P002",0,"P003",8,"P004",8,"P005",0,"P006",7,"P007",7,"P008",6,"P009",45,"P010",60)</f>
        <v>8</v>
      </c>
      <c r="V283" s="1">
        <f>Table1[[#This Row],[Shipping per Unit]]*Table1[[#This Row],[Quantity]]</f>
        <v>96</v>
      </c>
      <c r="W283" s="2">
        <f>IF(Table1[[#This Row],[Total Shipping]]&gt;0.1,0.2,0)</f>
        <v>0.2</v>
      </c>
      <c r="X283" s="4">
        <f>Table1[[#This Row],[Total Shipping]]*Table1[[#This Row],[VAT on Shipping]]</f>
        <v>19.200000000000003</v>
      </c>
      <c r="Y283" s="1">
        <f>Table1[[#This Row],[Revenue]]-Table1[[#This Row],[COGS]]</f>
        <v>421.19999999999993</v>
      </c>
      <c r="Z283" s="3">
        <f>(Table1[[#This Row],[Profit]]/Table1[[#This Row],[Revenue]])</f>
        <v>0.53917050691244239</v>
      </c>
      <c r="AA283" s="1">
        <f>Table1[[#This Row],[Profit]]-Table1[[#This Row],[Total Shipping]]</f>
        <v>325.19999999999993</v>
      </c>
      <c r="AB283" s="3">
        <f>Table1[[#This Row],[Operating Profit]]/Table1[[#This Row],[Revenue]]</f>
        <v>0.41628264208909366</v>
      </c>
    </row>
    <row r="284" spans="1:28" x14ac:dyDescent="0.25">
      <c r="A284" t="s">
        <v>186</v>
      </c>
      <c r="B284">
        <v>530</v>
      </c>
      <c r="C284" t="s">
        <v>35</v>
      </c>
      <c r="D284" t="s">
        <v>95</v>
      </c>
      <c r="E284" t="s">
        <v>40</v>
      </c>
      <c r="F284" t="s">
        <v>102</v>
      </c>
      <c r="G284" t="str" cm="1">
        <f t="array" ref="G284">_xlfn.SWITCH(F284,"Acme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284" t="s">
        <v>33</v>
      </c>
      <c r="I284" t="s">
        <v>70</v>
      </c>
      <c r="J284" t="str" cm="1">
        <f t="array" ref="J284">_xlfn.SWITCH(I284,"P001","Laptop","P002","Server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84" s="1" cm="1">
        <f t="array" ref="K284">_xlfn.SWITCH(Table1[[#This Row],[Product ID]],"P001",220,"P002",150,"P003",130,"P004",70,"P005",200,"P006",40,"P007",25,"P008",20,"P009",190,"P010",530)</f>
        <v>150</v>
      </c>
      <c r="L284">
        <v>16</v>
      </c>
      <c r="M284" s="1">
        <f>Table1[[#This Row],[Unit Price]]*Table1[[#This Row],[Quantity]]</f>
        <v>2400</v>
      </c>
      <c r="N284" s="2">
        <v>0.05</v>
      </c>
      <c r="O284" s="1">
        <f>Table1[[#This Row],[Gross Value]]*(1-Table1[[#This Row],[Discount]])</f>
        <v>2280</v>
      </c>
      <c r="P284" s="2">
        <v>0.2</v>
      </c>
      <c r="Q284" s="1">
        <f>Table1[[#This Row],[Revenue]]*Table1[[#This Row],[VAT Rate]]</f>
        <v>456</v>
      </c>
      <c r="R284" s="1">
        <f>Table1[[#This Row],[Revenue]]+Table1[[#This Row],[VAT Charged]]</f>
        <v>2736</v>
      </c>
      <c r="S284" s="1" cm="1">
        <f t="array" ref="S284">_xlfn.SWITCH(Table1[[#This Row],[Product ID]],"P001",140,"P002",80,"P003",72,"P004",30,"P005",110,"P006",24,"P007",14,"P008",12,"P009",115,"P010",360)</f>
        <v>80</v>
      </c>
      <c r="T284" s="1" cm="1">
        <f t="array" ref="T284">(_xlfn.SWITCH(Table1[[#This Row],[Product ID]],"P001",140,"P002",80,"P003",72,"P004",30,"P005",110,"P006",24,"P007",14,"P008",12,"P009",115,"P010",360))*Table1[[#This Row],[Quantity]]</f>
        <v>1280</v>
      </c>
      <c r="U284" s="1" cm="1">
        <f t="array" ref="U284">_xlfn.SWITCH(Table1[[#This Row],[Product ID]],"P001",15,"P002",0,"P003",8,"P004",8,"P005",0,"P006",7,"P007",7,"P008",6,"P009",45,"P010",60)</f>
        <v>0</v>
      </c>
      <c r="V284" s="1">
        <f>Table1[[#This Row],[Shipping per Unit]]*Table1[[#This Row],[Quantity]]</f>
        <v>0</v>
      </c>
      <c r="W284" s="2">
        <f>IF(Table1[[#This Row],[Total Shipping]]&gt;0.1,0.2,0)</f>
        <v>0</v>
      </c>
      <c r="X284" s="4">
        <f>Table1[[#This Row],[Total Shipping]]*Table1[[#This Row],[VAT on Shipping]]</f>
        <v>0</v>
      </c>
      <c r="Y284" s="1">
        <f>Table1[[#This Row],[Revenue]]-Table1[[#This Row],[COGS]]</f>
        <v>1000</v>
      </c>
      <c r="Z284" s="3">
        <f>(Table1[[#This Row],[Profit]]/Table1[[#This Row],[Revenue]])</f>
        <v>0.43859649122807015</v>
      </c>
      <c r="AA284" s="1">
        <f>Table1[[#This Row],[Profit]]-Table1[[#This Row],[Total Shipping]]</f>
        <v>1000</v>
      </c>
      <c r="AB284" s="3">
        <f>Table1[[#This Row],[Operating Profit]]/Table1[[#This Row],[Revenue]]</f>
        <v>0.43859649122807015</v>
      </c>
    </row>
    <row r="285" spans="1:28" x14ac:dyDescent="0.25">
      <c r="A285" t="s">
        <v>187</v>
      </c>
      <c r="B285">
        <v>115</v>
      </c>
      <c r="C285" t="s">
        <v>83</v>
      </c>
      <c r="D285" t="s">
        <v>72</v>
      </c>
      <c r="E285" t="s">
        <v>40</v>
      </c>
      <c r="F285" t="s">
        <v>64</v>
      </c>
      <c r="G285" t="str" cm="1">
        <f t="array" ref="G285">_xlfn.SWITCH(F285,"Acme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285" t="s">
        <v>45</v>
      </c>
      <c r="I285" t="s">
        <v>60</v>
      </c>
      <c r="J285" t="str" cm="1">
        <f t="array" ref="J285">_xlfn.SWITCH(I285,"P001","Laptop","P002","Server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85" s="1" cm="1">
        <f t="array" ref="K285">_xlfn.SWITCH(Table1[[#This Row],[Product ID]],"P001",220,"P002",150,"P003",130,"P004",70,"P005",200,"P006",40,"P007",25,"P008",20,"P009",190,"P010",530)</f>
        <v>25</v>
      </c>
      <c r="L285">
        <v>14</v>
      </c>
      <c r="M285" s="1">
        <f>Table1[[#This Row],[Unit Price]]*Table1[[#This Row],[Quantity]]</f>
        <v>350</v>
      </c>
      <c r="N285" s="2">
        <v>0.04</v>
      </c>
      <c r="O285" s="1">
        <f>Table1[[#This Row],[Gross Value]]*(1-Table1[[#This Row],[Discount]])</f>
        <v>336</v>
      </c>
      <c r="P285" s="2">
        <v>0.2</v>
      </c>
      <c r="Q285" s="1">
        <f>Table1[[#This Row],[Revenue]]*Table1[[#This Row],[VAT Rate]]</f>
        <v>67.2</v>
      </c>
      <c r="R285" s="1">
        <f>Table1[[#This Row],[Revenue]]+Table1[[#This Row],[VAT Charged]]</f>
        <v>403.2</v>
      </c>
      <c r="S285" s="1" cm="1">
        <f t="array" ref="S285">_xlfn.SWITCH(Table1[[#This Row],[Product ID]],"P001",140,"P002",80,"P003",72,"P004",30,"P005",110,"P006",24,"P007",14,"P008",12,"P009",115,"P010",360)</f>
        <v>14</v>
      </c>
      <c r="T285" s="1" cm="1">
        <f t="array" ref="T285">(_xlfn.SWITCH(Table1[[#This Row],[Product ID]],"P001",140,"P002",80,"P003",72,"P004",30,"P005",110,"P006",24,"P007",14,"P008",12,"P009",115,"P010",360))*Table1[[#This Row],[Quantity]]</f>
        <v>196</v>
      </c>
      <c r="U285" s="1" cm="1">
        <f t="array" ref="U285">_xlfn.SWITCH(Table1[[#This Row],[Product ID]],"P001",15,"P002",0,"P003",8,"P004",8,"P005",0,"P006",7,"P007",7,"P008",6,"P009",45,"P010",60)</f>
        <v>7</v>
      </c>
      <c r="V285" s="1">
        <f>Table1[[#This Row],[Shipping per Unit]]*Table1[[#This Row],[Quantity]]</f>
        <v>98</v>
      </c>
      <c r="W285" s="2">
        <f>IF(Table1[[#This Row],[Total Shipping]]&gt;0.1,0.2,0)</f>
        <v>0.2</v>
      </c>
      <c r="X285" s="4">
        <f>Table1[[#This Row],[Total Shipping]]*Table1[[#This Row],[VAT on Shipping]]</f>
        <v>19.600000000000001</v>
      </c>
      <c r="Y285" s="1">
        <f>Table1[[#This Row],[Revenue]]-Table1[[#This Row],[COGS]]</f>
        <v>140</v>
      </c>
      <c r="Z285" s="3">
        <f>(Table1[[#This Row],[Profit]]/Table1[[#This Row],[Revenue]])</f>
        <v>0.41666666666666669</v>
      </c>
      <c r="AA285" s="1">
        <f>Table1[[#This Row],[Profit]]-Table1[[#This Row],[Total Shipping]]</f>
        <v>42</v>
      </c>
      <c r="AB285" s="3">
        <f>Table1[[#This Row],[Operating Profit]]/Table1[[#This Row],[Revenue]]</f>
        <v>0.125</v>
      </c>
    </row>
    <row r="286" spans="1:28" x14ac:dyDescent="0.25">
      <c r="A286" t="s">
        <v>187</v>
      </c>
      <c r="B286">
        <v>371</v>
      </c>
      <c r="C286" t="s">
        <v>83</v>
      </c>
      <c r="D286" t="s">
        <v>72</v>
      </c>
      <c r="E286" t="s">
        <v>31</v>
      </c>
      <c r="F286" t="s">
        <v>41</v>
      </c>
      <c r="G286" t="str" cm="1">
        <f t="array" ref="G286">_xlfn.SWITCH(F286,"Acme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286" t="s">
        <v>45</v>
      </c>
      <c r="I286" t="s">
        <v>52</v>
      </c>
      <c r="J286" t="str" cm="1">
        <f t="array" ref="J286">_xlfn.SWITCH(I286,"P001","Laptop","P002","Server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286" s="1" cm="1">
        <f t="array" ref="K286">_xlfn.SWITCH(Table1[[#This Row],[Product ID]],"P001",220,"P002",150,"P003",130,"P004",70,"P005",200,"P006",40,"P007",25,"P008",20,"P009",190,"P010",530)</f>
        <v>130</v>
      </c>
      <c r="L286">
        <v>4</v>
      </c>
      <c r="M286" s="1">
        <f>Table1[[#This Row],[Unit Price]]*Table1[[#This Row],[Quantity]]</f>
        <v>520</v>
      </c>
      <c r="N286" s="2">
        <v>0.06</v>
      </c>
      <c r="O286" s="1">
        <f>Table1[[#This Row],[Gross Value]]*(1-Table1[[#This Row],[Discount]])</f>
        <v>488.79999999999995</v>
      </c>
      <c r="P286" s="2">
        <v>0.2</v>
      </c>
      <c r="Q286" s="1">
        <f>Table1[[#This Row],[Revenue]]*Table1[[#This Row],[VAT Rate]]</f>
        <v>97.759999999999991</v>
      </c>
      <c r="R286" s="1">
        <f>Table1[[#This Row],[Revenue]]+Table1[[#This Row],[VAT Charged]]</f>
        <v>586.55999999999995</v>
      </c>
      <c r="S286" s="1" cm="1">
        <f t="array" ref="S286">_xlfn.SWITCH(Table1[[#This Row],[Product ID]],"P001",140,"P002",80,"P003",72,"P004",30,"P005",110,"P006",24,"P007",14,"P008",12,"P009",115,"P010",360)</f>
        <v>72</v>
      </c>
      <c r="T286" s="1" cm="1">
        <f t="array" ref="T286">(_xlfn.SWITCH(Table1[[#This Row],[Product ID]],"P001",140,"P002",80,"P003",72,"P004",30,"P005",110,"P006",24,"P007",14,"P008",12,"P009",115,"P010",360))*Table1[[#This Row],[Quantity]]</f>
        <v>288</v>
      </c>
      <c r="U286" s="1" cm="1">
        <f t="array" ref="U286">_xlfn.SWITCH(Table1[[#This Row],[Product ID]],"P001",15,"P002",0,"P003",8,"P004",8,"P005",0,"P006",7,"P007",7,"P008",6,"P009",45,"P010",60)</f>
        <v>8</v>
      </c>
      <c r="V286" s="1">
        <f>Table1[[#This Row],[Shipping per Unit]]*Table1[[#This Row],[Quantity]]</f>
        <v>32</v>
      </c>
      <c r="W286" s="2">
        <f>IF(Table1[[#This Row],[Total Shipping]]&gt;0.1,0.2,0)</f>
        <v>0.2</v>
      </c>
      <c r="X286" s="4">
        <f>Table1[[#This Row],[Total Shipping]]*Table1[[#This Row],[VAT on Shipping]]</f>
        <v>6.4</v>
      </c>
      <c r="Y286" s="1">
        <f>Table1[[#This Row],[Revenue]]-Table1[[#This Row],[COGS]]</f>
        <v>200.79999999999995</v>
      </c>
      <c r="Z286" s="3">
        <f>(Table1[[#This Row],[Profit]]/Table1[[#This Row],[Revenue]])</f>
        <v>0.41080196399345331</v>
      </c>
      <c r="AA286" s="1">
        <f>Table1[[#This Row],[Profit]]-Table1[[#This Row],[Total Shipping]]</f>
        <v>168.79999999999995</v>
      </c>
      <c r="AB286" s="3">
        <f>Table1[[#This Row],[Operating Profit]]/Table1[[#This Row],[Revenue]]</f>
        <v>0.34533551554828146</v>
      </c>
    </row>
    <row r="287" spans="1:28" x14ac:dyDescent="0.25">
      <c r="A287" t="s">
        <v>187</v>
      </c>
      <c r="B287">
        <v>618</v>
      </c>
      <c r="C287" t="s">
        <v>38</v>
      </c>
      <c r="D287" t="s">
        <v>72</v>
      </c>
      <c r="E287" t="s">
        <v>31</v>
      </c>
      <c r="F287" t="s">
        <v>54</v>
      </c>
      <c r="G287" t="str" cm="1">
        <f t="array" ref="G287">_xlfn.SWITCH(F287,"Acme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287" t="s">
        <v>58</v>
      </c>
      <c r="I287" t="s">
        <v>55</v>
      </c>
      <c r="J287" t="str" cm="1">
        <f t="array" ref="J287">_xlfn.SWITCH(I287,"P001","Laptop","P002","Server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87" s="1" cm="1">
        <f t="array" ref="K287">_xlfn.SWITCH(Table1[[#This Row],[Product ID]],"P001",220,"P002",150,"P003",130,"P004",70,"P005",200,"P006",40,"P007",25,"P008",20,"P009",190,"P010",530)</f>
        <v>70</v>
      </c>
      <c r="L287">
        <v>8</v>
      </c>
      <c r="M287" s="1">
        <f>Table1[[#This Row],[Unit Price]]*Table1[[#This Row],[Quantity]]</f>
        <v>560</v>
      </c>
      <c r="N287" s="2">
        <v>0.06</v>
      </c>
      <c r="O287" s="1">
        <f>Table1[[#This Row],[Gross Value]]*(1-Table1[[#This Row],[Discount]])</f>
        <v>526.4</v>
      </c>
      <c r="P287" s="2">
        <v>0.2</v>
      </c>
      <c r="Q287" s="1">
        <f>Table1[[#This Row],[Revenue]]*Table1[[#This Row],[VAT Rate]]</f>
        <v>105.28</v>
      </c>
      <c r="R287" s="1">
        <f>Table1[[#This Row],[Revenue]]+Table1[[#This Row],[VAT Charged]]</f>
        <v>631.67999999999995</v>
      </c>
      <c r="S287" s="1" cm="1">
        <f t="array" ref="S287">_xlfn.SWITCH(Table1[[#This Row],[Product ID]],"P001",140,"P002",80,"P003",72,"P004",30,"P005",110,"P006",24,"P007",14,"P008",12,"P009",115,"P010",360)</f>
        <v>30</v>
      </c>
      <c r="T287" s="1" cm="1">
        <f t="array" ref="T287">(_xlfn.SWITCH(Table1[[#This Row],[Product ID]],"P001",140,"P002",80,"P003",72,"P004",30,"P005",110,"P006",24,"P007",14,"P008",12,"P009",115,"P010",360))*Table1[[#This Row],[Quantity]]</f>
        <v>240</v>
      </c>
      <c r="U287" s="1" cm="1">
        <f t="array" ref="U287">_xlfn.SWITCH(Table1[[#This Row],[Product ID]],"P001",15,"P002",0,"P003",8,"P004",8,"P005",0,"P006",7,"P007",7,"P008",6,"P009",45,"P010",60)</f>
        <v>8</v>
      </c>
      <c r="V287" s="1">
        <f>Table1[[#This Row],[Shipping per Unit]]*Table1[[#This Row],[Quantity]]</f>
        <v>64</v>
      </c>
      <c r="W287" s="2">
        <f>IF(Table1[[#This Row],[Total Shipping]]&gt;0.1,0.2,0)</f>
        <v>0.2</v>
      </c>
      <c r="X287" s="4">
        <f>Table1[[#This Row],[Total Shipping]]*Table1[[#This Row],[VAT on Shipping]]</f>
        <v>12.8</v>
      </c>
      <c r="Y287" s="1">
        <f>Table1[[#This Row],[Revenue]]-Table1[[#This Row],[COGS]]</f>
        <v>286.39999999999998</v>
      </c>
      <c r="Z287" s="3">
        <f>(Table1[[#This Row],[Profit]]/Table1[[#This Row],[Revenue]])</f>
        <v>0.54407294832826747</v>
      </c>
      <c r="AA287" s="1">
        <f>Table1[[#This Row],[Profit]]-Table1[[#This Row],[Total Shipping]]</f>
        <v>222.39999999999998</v>
      </c>
      <c r="AB287" s="3">
        <f>Table1[[#This Row],[Operating Profit]]/Table1[[#This Row],[Revenue]]</f>
        <v>0.42249240121580545</v>
      </c>
    </row>
    <row r="288" spans="1:28" x14ac:dyDescent="0.25">
      <c r="A288" t="s">
        <v>187</v>
      </c>
      <c r="B288">
        <v>665</v>
      </c>
      <c r="C288" t="s">
        <v>38</v>
      </c>
      <c r="D288" t="s">
        <v>48</v>
      </c>
      <c r="E288" t="s">
        <v>40</v>
      </c>
      <c r="F288" t="s">
        <v>102</v>
      </c>
      <c r="G288" t="str" cm="1">
        <f t="array" ref="G288">_xlfn.SWITCH(F288,"Acme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288" t="s">
        <v>58</v>
      </c>
      <c r="I288" t="s">
        <v>34</v>
      </c>
      <c r="J288" t="str" cm="1">
        <f t="array" ref="J288">_xlfn.SWITCH(I288,"P001","Laptop","P002","Server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88" s="1" cm="1">
        <f t="array" ref="K288">_xlfn.SWITCH(Table1[[#This Row],[Product ID]],"P001",220,"P002",150,"P003",130,"P004",70,"P005",200,"P006",40,"P007",25,"P008",20,"P009",190,"P010",530)</f>
        <v>20</v>
      </c>
      <c r="L288">
        <v>18</v>
      </c>
      <c r="M288" s="1">
        <f>Table1[[#This Row],[Unit Price]]*Table1[[#This Row],[Quantity]]</f>
        <v>360</v>
      </c>
      <c r="N288" s="2">
        <v>0.05</v>
      </c>
      <c r="O288" s="1">
        <f>Table1[[#This Row],[Gross Value]]*(1-Table1[[#This Row],[Discount]])</f>
        <v>342</v>
      </c>
      <c r="P288" s="2">
        <v>0.2</v>
      </c>
      <c r="Q288" s="1">
        <f>Table1[[#This Row],[Revenue]]*Table1[[#This Row],[VAT Rate]]</f>
        <v>68.400000000000006</v>
      </c>
      <c r="R288" s="1">
        <f>Table1[[#This Row],[Revenue]]+Table1[[#This Row],[VAT Charged]]</f>
        <v>410.4</v>
      </c>
      <c r="S288" s="1" cm="1">
        <f t="array" ref="S288">_xlfn.SWITCH(Table1[[#This Row],[Product ID]],"P001",140,"P002",80,"P003",72,"P004",30,"P005",110,"P006",24,"P007",14,"P008",12,"P009",115,"P010",360)</f>
        <v>12</v>
      </c>
      <c r="T288" s="1" cm="1">
        <f t="array" ref="T288">(_xlfn.SWITCH(Table1[[#This Row],[Product ID]],"P001",140,"P002",80,"P003",72,"P004",30,"P005",110,"P006",24,"P007",14,"P008",12,"P009",115,"P010",360))*Table1[[#This Row],[Quantity]]</f>
        <v>216</v>
      </c>
      <c r="U288" s="1" cm="1">
        <f t="array" ref="U288">_xlfn.SWITCH(Table1[[#This Row],[Product ID]],"P001",15,"P002",0,"P003",8,"P004",8,"P005",0,"P006",7,"P007",7,"P008",6,"P009",45,"P010",60)</f>
        <v>6</v>
      </c>
      <c r="V288" s="1">
        <f>Table1[[#This Row],[Shipping per Unit]]*Table1[[#This Row],[Quantity]]</f>
        <v>108</v>
      </c>
      <c r="W288" s="2">
        <f>IF(Table1[[#This Row],[Total Shipping]]&gt;0.1,0.2,0)</f>
        <v>0.2</v>
      </c>
      <c r="X288" s="4">
        <f>Table1[[#This Row],[Total Shipping]]*Table1[[#This Row],[VAT on Shipping]]</f>
        <v>21.6</v>
      </c>
      <c r="Y288" s="1">
        <f>Table1[[#This Row],[Revenue]]-Table1[[#This Row],[COGS]]</f>
        <v>126</v>
      </c>
      <c r="Z288" s="3">
        <f>(Table1[[#This Row],[Profit]]/Table1[[#This Row],[Revenue]])</f>
        <v>0.36842105263157893</v>
      </c>
      <c r="AA288" s="1">
        <f>Table1[[#This Row],[Profit]]-Table1[[#This Row],[Total Shipping]]</f>
        <v>18</v>
      </c>
      <c r="AB288" s="3">
        <f>Table1[[#This Row],[Operating Profit]]/Table1[[#This Row],[Revenue]]</f>
        <v>5.2631578947368418E-2</v>
      </c>
    </row>
    <row r="289" spans="1:28" x14ac:dyDescent="0.25">
      <c r="A289" t="s">
        <v>188</v>
      </c>
      <c r="B289">
        <v>43</v>
      </c>
      <c r="C289" t="s">
        <v>56</v>
      </c>
      <c r="D289" t="s">
        <v>95</v>
      </c>
      <c r="E289" t="s">
        <v>31</v>
      </c>
      <c r="F289" t="s">
        <v>41</v>
      </c>
      <c r="G289" t="str" cm="1">
        <f t="array" ref="G289">_xlfn.SWITCH(F289,"Acme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289" t="s">
        <v>45</v>
      </c>
      <c r="I289" t="s">
        <v>68</v>
      </c>
      <c r="J289" t="str" cm="1">
        <f t="array" ref="J289">_xlfn.SWITCH(I289,"P001","Laptop","P002","Server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289" s="1" cm="1">
        <f t="array" ref="K289">_xlfn.SWITCH(Table1[[#This Row],[Product ID]],"P001",220,"P002",150,"P003",130,"P004",70,"P005",200,"P006",40,"P007",25,"P008",20,"P009",190,"P010",530)</f>
        <v>220</v>
      </c>
      <c r="L289">
        <v>17</v>
      </c>
      <c r="M289" s="1">
        <f>Table1[[#This Row],[Unit Price]]*Table1[[#This Row],[Quantity]]</f>
        <v>3740</v>
      </c>
      <c r="N289" s="2">
        <v>0.01</v>
      </c>
      <c r="O289" s="1">
        <f>Table1[[#This Row],[Gross Value]]*(1-Table1[[#This Row],[Discount]])</f>
        <v>3702.6</v>
      </c>
      <c r="P289" s="2">
        <v>0.2</v>
      </c>
      <c r="Q289" s="1">
        <f>Table1[[#This Row],[Revenue]]*Table1[[#This Row],[VAT Rate]]</f>
        <v>740.52</v>
      </c>
      <c r="R289" s="1">
        <f>Table1[[#This Row],[Revenue]]+Table1[[#This Row],[VAT Charged]]</f>
        <v>4443.12</v>
      </c>
      <c r="S289" s="1" cm="1">
        <f t="array" ref="S289">_xlfn.SWITCH(Table1[[#This Row],[Product ID]],"P001",140,"P002",80,"P003",72,"P004",30,"P005",110,"P006",24,"P007",14,"P008",12,"P009",115,"P010",360)</f>
        <v>140</v>
      </c>
      <c r="T289" s="1" cm="1">
        <f t="array" ref="T289">(_xlfn.SWITCH(Table1[[#This Row],[Product ID]],"P001",140,"P002",80,"P003",72,"P004",30,"P005",110,"P006",24,"P007",14,"P008",12,"P009",115,"P010",360))*Table1[[#This Row],[Quantity]]</f>
        <v>2380</v>
      </c>
      <c r="U289" s="1" cm="1">
        <f t="array" ref="U289">_xlfn.SWITCH(Table1[[#This Row],[Product ID]],"P001",15,"P002",0,"P003",8,"P004",8,"P005",0,"P006",7,"P007",7,"P008",6,"P009",45,"P010",60)</f>
        <v>15</v>
      </c>
      <c r="V289" s="1">
        <f>Table1[[#This Row],[Shipping per Unit]]*Table1[[#This Row],[Quantity]]</f>
        <v>255</v>
      </c>
      <c r="W289" s="2">
        <f>IF(Table1[[#This Row],[Total Shipping]]&gt;0.1,0.2,0)</f>
        <v>0.2</v>
      </c>
      <c r="X289" s="4">
        <f>Table1[[#This Row],[Total Shipping]]*Table1[[#This Row],[VAT on Shipping]]</f>
        <v>51</v>
      </c>
      <c r="Y289" s="1">
        <f>Table1[[#This Row],[Revenue]]-Table1[[#This Row],[COGS]]</f>
        <v>1322.6</v>
      </c>
      <c r="Z289" s="3">
        <f>(Table1[[#This Row],[Profit]]/Table1[[#This Row],[Revenue]])</f>
        <v>0.35720844811753899</v>
      </c>
      <c r="AA289" s="1">
        <f>Table1[[#This Row],[Profit]]-Table1[[#This Row],[Total Shipping]]</f>
        <v>1067.5999999999999</v>
      </c>
      <c r="AB289" s="3">
        <f>Table1[[#This Row],[Operating Profit]]/Table1[[#This Row],[Revenue]]</f>
        <v>0.28833792470156105</v>
      </c>
    </row>
    <row r="290" spans="1:28" x14ac:dyDescent="0.25">
      <c r="A290" t="s">
        <v>188</v>
      </c>
      <c r="B290">
        <v>65</v>
      </c>
      <c r="C290" t="s">
        <v>56</v>
      </c>
      <c r="D290" t="s">
        <v>30</v>
      </c>
      <c r="E290" t="s">
        <v>31</v>
      </c>
      <c r="F290" t="s">
        <v>92</v>
      </c>
      <c r="G290" t="str" cm="1">
        <f t="array" ref="G290">_xlfn.SWITCH(F290,"Acme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290" t="s">
        <v>104</v>
      </c>
      <c r="I290" t="s">
        <v>34</v>
      </c>
      <c r="J290" t="str" cm="1">
        <f t="array" ref="J290">_xlfn.SWITCH(I290,"P001","Laptop","P002","Server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90" s="1" cm="1">
        <f t="array" ref="K290">_xlfn.SWITCH(Table1[[#This Row],[Product ID]],"P001",220,"P002",150,"P003",130,"P004",70,"P005",200,"P006",40,"P007",25,"P008",20,"P009",190,"P010",530)</f>
        <v>20</v>
      </c>
      <c r="L290">
        <v>16</v>
      </c>
      <c r="M290" s="1">
        <f>Table1[[#This Row],[Unit Price]]*Table1[[#This Row],[Quantity]]</f>
        <v>320</v>
      </c>
      <c r="N290" s="2">
        <v>0.05</v>
      </c>
      <c r="O290" s="1">
        <f>Table1[[#This Row],[Gross Value]]*(1-Table1[[#This Row],[Discount]])</f>
        <v>304</v>
      </c>
      <c r="P290" s="2">
        <v>0.2</v>
      </c>
      <c r="Q290" s="1">
        <f>Table1[[#This Row],[Revenue]]*Table1[[#This Row],[VAT Rate]]</f>
        <v>60.800000000000004</v>
      </c>
      <c r="R290" s="1">
        <f>Table1[[#This Row],[Revenue]]+Table1[[#This Row],[VAT Charged]]</f>
        <v>364.8</v>
      </c>
      <c r="S290" s="1" cm="1">
        <f t="array" ref="S290">_xlfn.SWITCH(Table1[[#This Row],[Product ID]],"P001",140,"P002",80,"P003",72,"P004",30,"P005",110,"P006",24,"P007",14,"P008",12,"P009",115,"P010",360)</f>
        <v>12</v>
      </c>
      <c r="T290" s="1" cm="1">
        <f t="array" ref="T290">(_xlfn.SWITCH(Table1[[#This Row],[Product ID]],"P001",140,"P002",80,"P003",72,"P004",30,"P005",110,"P006",24,"P007",14,"P008",12,"P009",115,"P010",360))*Table1[[#This Row],[Quantity]]</f>
        <v>192</v>
      </c>
      <c r="U290" s="1" cm="1">
        <f t="array" ref="U290">_xlfn.SWITCH(Table1[[#This Row],[Product ID]],"P001",15,"P002",0,"P003",8,"P004",8,"P005",0,"P006",7,"P007",7,"P008",6,"P009",45,"P010",60)</f>
        <v>6</v>
      </c>
      <c r="V290" s="1">
        <f>Table1[[#This Row],[Shipping per Unit]]*Table1[[#This Row],[Quantity]]</f>
        <v>96</v>
      </c>
      <c r="W290" s="2">
        <f>IF(Table1[[#This Row],[Total Shipping]]&gt;0.1,0.2,0)</f>
        <v>0.2</v>
      </c>
      <c r="X290" s="4">
        <f>Table1[[#This Row],[Total Shipping]]*Table1[[#This Row],[VAT on Shipping]]</f>
        <v>19.200000000000003</v>
      </c>
      <c r="Y290" s="1">
        <f>Table1[[#This Row],[Revenue]]-Table1[[#This Row],[COGS]]</f>
        <v>112</v>
      </c>
      <c r="Z290" s="3">
        <f>(Table1[[#This Row],[Profit]]/Table1[[#This Row],[Revenue]])</f>
        <v>0.36842105263157893</v>
      </c>
      <c r="AA290" s="1">
        <f>Table1[[#This Row],[Profit]]-Table1[[#This Row],[Total Shipping]]</f>
        <v>16</v>
      </c>
      <c r="AB290" s="3">
        <f>Table1[[#This Row],[Operating Profit]]/Table1[[#This Row],[Revenue]]</f>
        <v>5.2631578947368418E-2</v>
      </c>
    </row>
    <row r="291" spans="1:28" x14ac:dyDescent="0.25">
      <c r="A291" t="s">
        <v>188</v>
      </c>
      <c r="B291">
        <v>486</v>
      </c>
      <c r="C291" t="s">
        <v>65</v>
      </c>
      <c r="D291" t="s">
        <v>39</v>
      </c>
      <c r="E291" t="s">
        <v>40</v>
      </c>
      <c r="F291" t="s">
        <v>32</v>
      </c>
      <c r="G291" t="str" cm="1">
        <f t="array" ref="G291">_xlfn.SWITCH(F291,"Acme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291" t="s">
        <v>45</v>
      </c>
      <c r="I291" t="s">
        <v>60</v>
      </c>
      <c r="J291" t="str" cm="1">
        <f t="array" ref="J291">_xlfn.SWITCH(I291,"P001","Laptop","P002","Server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291" s="1" cm="1">
        <f t="array" ref="K291">_xlfn.SWITCH(Table1[[#This Row],[Product ID]],"P001",220,"P002",150,"P003",130,"P004",70,"P005",200,"P006",40,"P007",25,"P008",20,"P009",190,"P010",530)</f>
        <v>25</v>
      </c>
      <c r="L291">
        <v>11</v>
      </c>
      <c r="M291" s="1">
        <f>Table1[[#This Row],[Unit Price]]*Table1[[#This Row],[Quantity]]</f>
        <v>275</v>
      </c>
      <c r="N291" s="2">
        <v>0.05</v>
      </c>
      <c r="O291" s="1">
        <f>Table1[[#This Row],[Gross Value]]*(1-Table1[[#This Row],[Discount]])</f>
        <v>261.25</v>
      </c>
      <c r="P291" s="2">
        <v>0.2</v>
      </c>
      <c r="Q291" s="1">
        <f>Table1[[#This Row],[Revenue]]*Table1[[#This Row],[VAT Rate]]</f>
        <v>52.25</v>
      </c>
      <c r="R291" s="1">
        <f>Table1[[#This Row],[Revenue]]+Table1[[#This Row],[VAT Charged]]</f>
        <v>313.5</v>
      </c>
      <c r="S291" s="1" cm="1">
        <f t="array" ref="S291">_xlfn.SWITCH(Table1[[#This Row],[Product ID]],"P001",140,"P002",80,"P003",72,"P004",30,"P005",110,"P006",24,"P007",14,"P008",12,"P009",115,"P010",360)</f>
        <v>14</v>
      </c>
      <c r="T291" s="1" cm="1">
        <f t="array" ref="T291">(_xlfn.SWITCH(Table1[[#This Row],[Product ID]],"P001",140,"P002",80,"P003",72,"P004",30,"P005",110,"P006",24,"P007",14,"P008",12,"P009",115,"P010",360))*Table1[[#This Row],[Quantity]]</f>
        <v>154</v>
      </c>
      <c r="U291" s="1" cm="1">
        <f t="array" ref="U291">_xlfn.SWITCH(Table1[[#This Row],[Product ID]],"P001",15,"P002",0,"P003",8,"P004",8,"P005",0,"P006",7,"P007",7,"P008",6,"P009",45,"P010",60)</f>
        <v>7</v>
      </c>
      <c r="V291" s="1">
        <f>Table1[[#This Row],[Shipping per Unit]]*Table1[[#This Row],[Quantity]]</f>
        <v>77</v>
      </c>
      <c r="W291" s="2">
        <f>IF(Table1[[#This Row],[Total Shipping]]&gt;0.1,0.2,0)</f>
        <v>0.2</v>
      </c>
      <c r="X291" s="4">
        <f>Table1[[#This Row],[Total Shipping]]*Table1[[#This Row],[VAT on Shipping]]</f>
        <v>15.4</v>
      </c>
      <c r="Y291" s="1">
        <f>Table1[[#This Row],[Revenue]]-Table1[[#This Row],[COGS]]</f>
        <v>107.25</v>
      </c>
      <c r="Z291" s="3">
        <f>(Table1[[#This Row],[Profit]]/Table1[[#This Row],[Revenue]])</f>
        <v>0.41052631578947368</v>
      </c>
      <c r="AA291" s="1">
        <f>Table1[[#This Row],[Profit]]-Table1[[#This Row],[Total Shipping]]</f>
        <v>30.25</v>
      </c>
      <c r="AB291" s="3">
        <f>Table1[[#This Row],[Operating Profit]]/Table1[[#This Row],[Revenue]]</f>
        <v>0.11578947368421053</v>
      </c>
    </row>
    <row r="292" spans="1:28" x14ac:dyDescent="0.25">
      <c r="A292" t="s">
        <v>188</v>
      </c>
      <c r="B292">
        <v>882</v>
      </c>
      <c r="C292" t="s">
        <v>56</v>
      </c>
      <c r="D292" t="s">
        <v>48</v>
      </c>
      <c r="E292" t="s">
        <v>49</v>
      </c>
      <c r="F292" t="s">
        <v>90</v>
      </c>
      <c r="G292" t="str" cm="1">
        <f t="array" ref="G292">_xlfn.SWITCH(F292,"Acme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292" t="s">
        <v>45</v>
      </c>
      <c r="I292" t="s">
        <v>42</v>
      </c>
      <c r="J292" t="str" cm="1">
        <f t="array" ref="J292">_xlfn.SWITCH(I292,"P001","Laptop","P002","Server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92" s="1" cm="1">
        <f t="array" ref="K292">_xlfn.SWITCH(Table1[[#This Row],[Product ID]],"P001",220,"P002",150,"P003",130,"P004",70,"P005",200,"P006",40,"P007",25,"P008",20,"P009",190,"P010",530)</f>
        <v>40</v>
      </c>
      <c r="L292">
        <v>1</v>
      </c>
      <c r="M292" s="1">
        <f>Table1[[#This Row],[Unit Price]]*Table1[[#This Row],[Quantity]]</f>
        <v>40</v>
      </c>
      <c r="N292" s="2">
        <v>0.05</v>
      </c>
      <c r="O292" s="1">
        <f>Table1[[#This Row],[Gross Value]]*(1-Table1[[#This Row],[Discount]])</f>
        <v>38</v>
      </c>
      <c r="P292" s="2">
        <v>0.2</v>
      </c>
      <c r="Q292" s="1">
        <f>Table1[[#This Row],[Revenue]]*Table1[[#This Row],[VAT Rate]]</f>
        <v>7.6000000000000005</v>
      </c>
      <c r="R292" s="1">
        <f>Table1[[#This Row],[Revenue]]+Table1[[#This Row],[VAT Charged]]</f>
        <v>45.6</v>
      </c>
      <c r="S292" s="1" cm="1">
        <f t="array" ref="S292">_xlfn.SWITCH(Table1[[#This Row],[Product ID]],"P001",140,"P002",80,"P003",72,"P004",30,"P005",110,"P006",24,"P007",14,"P008",12,"P009",115,"P010",360)</f>
        <v>24</v>
      </c>
      <c r="T292" s="1" cm="1">
        <f t="array" ref="T292">(_xlfn.SWITCH(Table1[[#This Row],[Product ID]],"P001",140,"P002",80,"P003",72,"P004",30,"P005",110,"P006",24,"P007",14,"P008",12,"P009",115,"P010",360))*Table1[[#This Row],[Quantity]]</f>
        <v>24</v>
      </c>
      <c r="U292" s="1" cm="1">
        <f t="array" ref="U292">_xlfn.SWITCH(Table1[[#This Row],[Product ID]],"P001",15,"P002",0,"P003",8,"P004",8,"P005",0,"P006",7,"P007",7,"P008",6,"P009",45,"P010",60)</f>
        <v>7</v>
      </c>
      <c r="V292" s="1">
        <f>Table1[[#This Row],[Shipping per Unit]]*Table1[[#This Row],[Quantity]]</f>
        <v>7</v>
      </c>
      <c r="W292" s="2">
        <f>IF(Table1[[#This Row],[Total Shipping]]&gt;0.1,0.2,0)</f>
        <v>0.2</v>
      </c>
      <c r="X292" s="4">
        <f>Table1[[#This Row],[Total Shipping]]*Table1[[#This Row],[VAT on Shipping]]</f>
        <v>1.4000000000000001</v>
      </c>
      <c r="Y292" s="1">
        <f>Table1[[#This Row],[Revenue]]-Table1[[#This Row],[COGS]]</f>
        <v>14</v>
      </c>
      <c r="Z292" s="3">
        <f>(Table1[[#This Row],[Profit]]/Table1[[#This Row],[Revenue]])</f>
        <v>0.36842105263157893</v>
      </c>
      <c r="AA292" s="1">
        <f>Table1[[#This Row],[Profit]]-Table1[[#This Row],[Total Shipping]]</f>
        <v>7</v>
      </c>
      <c r="AB292" s="3">
        <f>Table1[[#This Row],[Operating Profit]]/Table1[[#This Row],[Revenue]]</f>
        <v>0.18421052631578946</v>
      </c>
    </row>
    <row r="293" spans="1:28" x14ac:dyDescent="0.25">
      <c r="A293" t="s">
        <v>189</v>
      </c>
      <c r="B293">
        <v>232</v>
      </c>
      <c r="C293" t="s">
        <v>83</v>
      </c>
      <c r="D293" t="s">
        <v>36</v>
      </c>
      <c r="E293" t="s">
        <v>40</v>
      </c>
      <c r="F293" t="s">
        <v>78</v>
      </c>
      <c r="G293" t="str" cm="1">
        <f t="array" ref="G293">_xlfn.SWITCH(F293,"Acme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293" t="s">
        <v>104</v>
      </c>
      <c r="I293" t="s">
        <v>42</v>
      </c>
      <c r="J293" t="str" cm="1">
        <f t="array" ref="J293">_xlfn.SWITCH(I293,"P001","Laptop","P002","Server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293" s="1" cm="1">
        <f t="array" ref="K293">_xlfn.SWITCH(Table1[[#This Row],[Product ID]],"P001",220,"P002",150,"P003",130,"P004",70,"P005",200,"P006",40,"P007",25,"P008",20,"P009",190,"P010",530)</f>
        <v>40</v>
      </c>
      <c r="L293">
        <v>1</v>
      </c>
      <c r="M293" s="1">
        <f>Table1[[#This Row],[Unit Price]]*Table1[[#This Row],[Quantity]]</f>
        <v>40</v>
      </c>
      <c r="N293" s="2">
        <v>7.0000000000000007E-2</v>
      </c>
      <c r="O293" s="1">
        <f>Table1[[#This Row],[Gross Value]]*(1-Table1[[#This Row],[Discount]])</f>
        <v>37.199999999999996</v>
      </c>
      <c r="P293" s="2">
        <v>0.2</v>
      </c>
      <c r="Q293" s="1">
        <f>Table1[[#This Row],[Revenue]]*Table1[[#This Row],[VAT Rate]]</f>
        <v>7.4399999999999995</v>
      </c>
      <c r="R293" s="1">
        <f>Table1[[#This Row],[Revenue]]+Table1[[#This Row],[VAT Charged]]</f>
        <v>44.639999999999993</v>
      </c>
      <c r="S293" s="1" cm="1">
        <f t="array" ref="S293">_xlfn.SWITCH(Table1[[#This Row],[Product ID]],"P001",140,"P002",80,"P003",72,"P004",30,"P005",110,"P006",24,"P007",14,"P008",12,"P009",115,"P010",360)</f>
        <v>24</v>
      </c>
      <c r="T293" s="1" cm="1">
        <f t="array" ref="T293">(_xlfn.SWITCH(Table1[[#This Row],[Product ID]],"P001",140,"P002",80,"P003",72,"P004",30,"P005",110,"P006",24,"P007",14,"P008",12,"P009",115,"P010",360))*Table1[[#This Row],[Quantity]]</f>
        <v>24</v>
      </c>
      <c r="U293" s="1" cm="1">
        <f t="array" ref="U293">_xlfn.SWITCH(Table1[[#This Row],[Product ID]],"P001",15,"P002",0,"P003",8,"P004",8,"P005",0,"P006",7,"P007",7,"P008",6,"P009",45,"P010",60)</f>
        <v>7</v>
      </c>
      <c r="V293" s="1">
        <f>Table1[[#This Row],[Shipping per Unit]]*Table1[[#This Row],[Quantity]]</f>
        <v>7</v>
      </c>
      <c r="W293" s="2">
        <f>IF(Table1[[#This Row],[Total Shipping]]&gt;0.1,0.2,0)</f>
        <v>0.2</v>
      </c>
      <c r="X293" s="4">
        <f>Table1[[#This Row],[Total Shipping]]*Table1[[#This Row],[VAT on Shipping]]</f>
        <v>1.4000000000000001</v>
      </c>
      <c r="Y293" s="1">
        <f>Table1[[#This Row],[Revenue]]-Table1[[#This Row],[COGS]]</f>
        <v>13.199999999999996</v>
      </c>
      <c r="Z293" s="3">
        <f>(Table1[[#This Row],[Profit]]/Table1[[#This Row],[Revenue]])</f>
        <v>0.35483870967741926</v>
      </c>
      <c r="AA293" s="1">
        <f>Table1[[#This Row],[Profit]]-Table1[[#This Row],[Total Shipping]]</f>
        <v>6.1999999999999957</v>
      </c>
      <c r="AB293" s="3">
        <f>Table1[[#This Row],[Operating Profit]]/Table1[[#This Row],[Revenue]]</f>
        <v>0.16666666666666657</v>
      </c>
    </row>
    <row r="294" spans="1:28" x14ac:dyDescent="0.25">
      <c r="A294" t="s">
        <v>190</v>
      </c>
      <c r="B294">
        <v>457</v>
      </c>
      <c r="C294" t="s">
        <v>38</v>
      </c>
      <c r="D294" t="s">
        <v>67</v>
      </c>
      <c r="E294" t="s">
        <v>49</v>
      </c>
      <c r="F294" t="s">
        <v>90</v>
      </c>
      <c r="G294" t="str" cm="1">
        <f t="array" ref="G294">_xlfn.SWITCH(F294,"Acme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294" t="s">
        <v>45</v>
      </c>
      <c r="I294" t="s">
        <v>34</v>
      </c>
      <c r="J294" t="str" cm="1">
        <f t="array" ref="J294">_xlfn.SWITCH(I294,"P001","Laptop","P002","Server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294" s="1" cm="1">
        <f t="array" ref="K294">_xlfn.SWITCH(Table1[[#This Row],[Product ID]],"P001",220,"P002",150,"P003",130,"P004",70,"P005",200,"P006",40,"P007",25,"P008",20,"P009",190,"P010",530)</f>
        <v>20</v>
      </c>
      <c r="L294">
        <v>9</v>
      </c>
      <c r="M294" s="1">
        <f>Table1[[#This Row],[Unit Price]]*Table1[[#This Row],[Quantity]]</f>
        <v>180</v>
      </c>
      <c r="N294" s="2">
        <v>0.09</v>
      </c>
      <c r="O294" s="1">
        <f>Table1[[#This Row],[Gross Value]]*(1-Table1[[#This Row],[Discount]])</f>
        <v>163.80000000000001</v>
      </c>
      <c r="P294" s="2">
        <v>0.2</v>
      </c>
      <c r="Q294" s="1">
        <f>Table1[[#This Row],[Revenue]]*Table1[[#This Row],[VAT Rate]]</f>
        <v>32.760000000000005</v>
      </c>
      <c r="R294" s="1">
        <f>Table1[[#This Row],[Revenue]]+Table1[[#This Row],[VAT Charged]]</f>
        <v>196.56</v>
      </c>
      <c r="S294" s="1" cm="1">
        <f t="array" ref="S294">_xlfn.SWITCH(Table1[[#This Row],[Product ID]],"P001",140,"P002",80,"P003",72,"P004",30,"P005",110,"P006",24,"P007",14,"P008",12,"P009",115,"P010",360)</f>
        <v>12</v>
      </c>
      <c r="T294" s="1" cm="1">
        <f t="array" ref="T294">(_xlfn.SWITCH(Table1[[#This Row],[Product ID]],"P001",140,"P002",80,"P003",72,"P004",30,"P005",110,"P006",24,"P007",14,"P008",12,"P009",115,"P010",360))*Table1[[#This Row],[Quantity]]</f>
        <v>108</v>
      </c>
      <c r="U294" s="1" cm="1">
        <f t="array" ref="U294">_xlfn.SWITCH(Table1[[#This Row],[Product ID]],"P001",15,"P002",0,"P003",8,"P004",8,"P005",0,"P006",7,"P007",7,"P008",6,"P009",45,"P010",60)</f>
        <v>6</v>
      </c>
      <c r="V294" s="1">
        <f>Table1[[#This Row],[Shipping per Unit]]*Table1[[#This Row],[Quantity]]</f>
        <v>54</v>
      </c>
      <c r="W294" s="2">
        <f>IF(Table1[[#This Row],[Total Shipping]]&gt;0.1,0.2,0)</f>
        <v>0.2</v>
      </c>
      <c r="X294" s="4">
        <f>Table1[[#This Row],[Total Shipping]]*Table1[[#This Row],[VAT on Shipping]]</f>
        <v>10.8</v>
      </c>
      <c r="Y294" s="1">
        <f>Table1[[#This Row],[Revenue]]-Table1[[#This Row],[COGS]]</f>
        <v>55.800000000000011</v>
      </c>
      <c r="Z294" s="3">
        <f>(Table1[[#This Row],[Profit]]/Table1[[#This Row],[Revenue]])</f>
        <v>0.34065934065934073</v>
      </c>
      <c r="AA294" s="1">
        <f>Table1[[#This Row],[Profit]]-Table1[[#This Row],[Total Shipping]]</f>
        <v>1.8000000000000114</v>
      </c>
      <c r="AB294" s="3">
        <f>Table1[[#This Row],[Operating Profit]]/Table1[[#This Row],[Revenue]]</f>
        <v>1.0989010989011058E-2</v>
      </c>
    </row>
    <row r="295" spans="1:28" x14ac:dyDescent="0.25">
      <c r="A295" t="s">
        <v>191</v>
      </c>
      <c r="B295">
        <v>320</v>
      </c>
      <c r="C295" t="s">
        <v>65</v>
      </c>
      <c r="D295" t="s">
        <v>95</v>
      </c>
      <c r="E295" t="s">
        <v>49</v>
      </c>
      <c r="F295" t="s">
        <v>78</v>
      </c>
      <c r="G295" t="str" cm="1">
        <f t="array" ref="G295">_xlfn.SWITCH(F295,"Acme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295" t="s">
        <v>45</v>
      </c>
      <c r="I295" t="s">
        <v>91</v>
      </c>
      <c r="J295" t="str" cm="1">
        <f t="array" ref="J295">_xlfn.SWITCH(I295,"P001","Laptop","P002","Server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295" s="1" cm="1">
        <f t="array" ref="K295">_xlfn.SWITCH(Table1[[#This Row],[Product ID]],"P001",220,"P002",150,"P003",130,"P004",70,"P005",200,"P006",40,"P007",25,"P008",20,"P009",190,"P010",530)</f>
        <v>190</v>
      </c>
      <c r="L295">
        <v>19</v>
      </c>
      <c r="M295" s="1">
        <f>Table1[[#This Row],[Unit Price]]*Table1[[#This Row],[Quantity]]</f>
        <v>3610</v>
      </c>
      <c r="N295" s="2">
        <v>0.03</v>
      </c>
      <c r="O295" s="1">
        <f>Table1[[#This Row],[Gross Value]]*(1-Table1[[#This Row],[Discount]])</f>
        <v>3501.7</v>
      </c>
      <c r="P295" s="2">
        <v>0.2</v>
      </c>
      <c r="Q295" s="1">
        <f>Table1[[#This Row],[Revenue]]*Table1[[#This Row],[VAT Rate]]</f>
        <v>700.34</v>
      </c>
      <c r="R295" s="1">
        <f>Table1[[#This Row],[Revenue]]+Table1[[#This Row],[VAT Charged]]</f>
        <v>4202.04</v>
      </c>
      <c r="S295" s="1" cm="1">
        <f t="array" ref="S295">_xlfn.SWITCH(Table1[[#This Row],[Product ID]],"P001",140,"P002",80,"P003",72,"P004",30,"P005",110,"P006",24,"P007",14,"P008",12,"P009",115,"P010",360)</f>
        <v>115</v>
      </c>
      <c r="T295" s="1" cm="1">
        <f t="array" ref="T295">(_xlfn.SWITCH(Table1[[#This Row],[Product ID]],"P001",140,"P002",80,"P003",72,"P004",30,"P005",110,"P006",24,"P007",14,"P008",12,"P009",115,"P010",360))*Table1[[#This Row],[Quantity]]</f>
        <v>2185</v>
      </c>
      <c r="U295" s="1" cm="1">
        <f t="array" ref="U295">_xlfn.SWITCH(Table1[[#This Row],[Product ID]],"P001",15,"P002",0,"P003",8,"P004",8,"P005",0,"P006",7,"P007",7,"P008",6,"P009",45,"P010",60)</f>
        <v>45</v>
      </c>
      <c r="V295" s="1">
        <f>Table1[[#This Row],[Shipping per Unit]]*Table1[[#This Row],[Quantity]]</f>
        <v>855</v>
      </c>
      <c r="W295" s="2">
        <f>IF(Table1[[#This Row],[Total Shipping]]&gt;0.1,0.2,0)</f>
        <v>0.2</v>
      </c>
      <c r="X295" s="4">
        <f>Table1[[#This Row],[Total Shipping]]*Table1[[#This Row],[VAT on Shipping]]</f>
        <v>171</v>
      </c>
      <c r="Y295" s="1">
        <f>Table1[[#This Row],[Revenue]]-Table1[[#This Row],[COGS]]</f>
        <v>1316.6999999999998</v>
      </c>
      <c r="Z295" s="3">
        <f>(Table1[[#This Row],[Profit]]/Table1[[#This Row],[Revenue]])</f>
        <v>0.37601736299511662</v>
      </c>
      <c r="AA295" s="1">
        <f>Table1[[#This Row],[Profit]]-Table1[[#This Row],[Total Shipping]]</f>
        <v>461.69999999999982</v>
      </c>
      <c r="AB295" s="3">
        <f>Table1[[#This Row],[Operating Profit]]/Table1[[#This Row],[Revenue]]</f>
        <v>0.1318502441671188</v>
      </c>
    </row>
    <row r="296" spans="1:28" x14ac:dyDescent="0.25">
      <c r="A296" t="s">
        <v>191</v>
      </c>
      <c r="B296">
        <v>739</v>
      </c>
      <c r="C296" t="s">
        <v>56</v>
      </c>
      <c r="D296" t="s">
        <v>95</v>
      </c>
      <c r="E296" t="s">
        <v>49</v>
      </c>
      <c r="F296" t="s">
        <v>86</v>
      </c>
      <c r="G296" t="str" cm="1">
        <f t="array" ref="G296">_xlfn.SWITCH(F296,"Acme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296" t="s">
        <v>69</v>
      </c>
      <c r="I296" t="s">
        <v>70</v>
      </c>
      <c r="J296" t="str" cm="1">
        <f t="array" ref="J296">_xlfn.SWITCH(I296,"P001","Laptop","P002","Server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96" s="1" cm="1">
        <f t="array" ref="K296">_xlfn.SWITCH(Table1[[#This Row],[Product ID]],"P001",220,"P002",150,"P003",130,"P004",70,"P005",200,"P006",40,"P007",25,"P008",20,"P009",190,"P010",530)</f>
        <v>150</v>
      </c>
      <c r="L296">
        <v>3</v>
      </c>
      <c r="M296" s="1">
        <f>Table1[[#This Row],[Unit Price]]*Table1[[#This Row],[Quantity]]</f>
        <v>450</v>
      </c>
      <c r="N296" s="2">
        <v>0.04</v>
      </c>
      <c r="O296" s="1">
        <f>Table1[[#This Row],[Gross Value]]*(1-Table1[[#This Row],[Discount]])</f>
        <v>432</v>
      </c>
      <c r="P296" s="2">
        <v>0.2</v>
      </c>
      <c r="Q296" s="1">
        <f>Table1[[#This Row],[Revenue]]*Table1[[#This Row],[VAT Rate]]</f>
        <v>86.4</v>
      </c>
      <c r="R296" s="1">
        <f>Table1[[#This Row],[Revenue]]+Table1[[#This Row],[VAT Charged]]</f>
        <v>518.4</v>
      </c>
      <c r="S296" s="1" cm="1">
        <f t="array" ref="S296">_xlfn.SWITCH(Table1[[#This Row],[Product ID]],"P001",140,"P002",80,"P003",72,"P004",30,"P005",110,"P006",24,"P007",14,"P008",12,"P009",115,"P010",360)</f>
        <v>80</v>
      </c>
      <c r="T296" s="1" cm="1">
        <f t="array" ref="T296">(_xlfn.SWITCH(Table1[[#This Row],[Product ID]],"P001",140,"P002",80,"P003",72,"P004",30,"P005",110,"P006",24,"P007",14,"P008",12,"P009",115,"P010",360))*Table1[[#This Row],[Quantity]]</f>
        <v>240</v>
      </c>
      <c r="U296" s="1" cm="1">
        <f t="array" ref="U296">_xlfn.SWITCH(Table1[[#This Row],[Product ID]],"P001",15,"P002",0,"P003",8,"P004",8,"P005",0,"P006",7,"P007",7,"P008",6,"P009",45,"P010",60)</f>
        <v>0</v>
      </c>
      <c r="V296" s="1">
        <f>Table1[[#This Row],[Shipping per Unit]]*Table1[[#This Row],[Quantity]]</f>
        <v>0</v>
      </c>
      <c r="W296" s="2">
        <f>IF(Table1[[#This Row],[Total Shipping]]&gt;0.1,0.2,0)</f>
        <v>0</v>
      </c>
      <c r="X296" s="4">
        <f>Table1[[#This Row],[Total Shipping]]*Table1[[#This Row],[VAT on Shipping]]</f>
        <v>0</v>
      </c>
      <c r="Y296" s="1">
        <f>Table1[[#This Row],[Revenue]]-Table1[[#This Row],[COGS]]</f>
        <v>192</v>
      </c>
      <c r="Z296" s="3">
        <f>(Table1[[#This Row],[Profit]]/Table1[[#This Row],[Revenue]])</f>
        <v>0.44444444444444442</v>
      </c>
      <c r="AA296" s="1">
        <f>Table1[[#This Row],[Profit]]-Table1[[#This Row],[Total Shipping]]</f>
        <v>192</v>
      </c>
      <c r="AB296" s="3">
        <f>Table1[[#This Row],[Operating Profit]]/Table1[[#This Row],[Revenue]]</f>
        <v>0.44444444444444442</v>
      </c>
    </row>
    <row r="297" spans="1:28" x14ac:dyDescent="0.25">
      <c r="A297" t="s">
        <v>191</v>
      </c>
      <c r="B297">
        <v>932</v>
      </c>
      <c r="C297" t="s">
        <v>38</v>
      </c>
      <c r="D297" t="s">
        <v>53</v>
      </c>
      <c r="E297" t="s">
        <v>40</v>
      </c>
      <c r="F297" t="s">
        <v>74</v>
      </c>
      <c r="G297" t="str" cm="1">
        <f t="array" ref="G297">_xlfn.SWITCH(F297,"Acme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297" t="s">
        <v>69</v>
      </c>
      <c r="I297" t="s">
        <v>70</v>
      </c>
      <c r="J297" t="str" cm="1">
        <f t="array" ref="J297">_xlfn.SWITCH(I297,"P001","Laptop","P002","Server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297" s="1" cm="1">
        <f t="array" ref="K297">_xlfn.SWITCH(Table1[[#This Row],[Product ID]],"P001",220,"P002",150,"P003",130,"P004",70,"P005",200,"P006",40,"P007",25,"P008",20,"P009",190,"P010",530)</f>
        <v>150</v>
      </c>
      <c r="L297">
        <v>1</v>
      </c>
      <c r="M297" s="1">
        <f>Table1[[#This Row],[Unit Price]]*Table1[[#This Row],[Quantity]]</f>
        <v>150</v>
      </c>
      <c r="N297" s="2">
        <v>0.03</v>
      </c>
      <c r="O297" s="1">
        <f>Table1[[#This Row],[Gross Value]]*(1-Table1[[#This Row],[Discount]])</f>
        <v>145.5</v>
      </c>
      <c r="P297" s="2">
        <v>0.2</v>
      </c>
      <c r="Q297" s="1">
        <f>Table1[[#This Row],[Revenue]]*Table1[[#This Row],[VAT Rate]]</f>
        <v>29.1</v>
      </c>
      <c r="R297" s="1">
        <f>Table1[[#This Row],[Revenue]]+Table1[[#This Row],[VAT Charged]]</f>
        <v>174.6</v>
      </c>
      <c r="S297" s="1" cm="1">
        <f t="array" ref="S297">_xlfn.SWITCH(Table1[[#This Row],[Product ID]],"P001",140,"P002",80,"P003",72,"P004",30,"P005",110,"P006",24,"P007",14,"P008",12,"P009",115,"P010",360)</f>
        <v>80</v>
      </c>
      <c r="T297" s="1" cm="1">
        <f t="array" ref="T297">(_xlfn.SWITCH(Table1[[#This Row],[Product ID]],"P001",140,"P002",80,"P003",72,"P004",30,"P005",110,"P006",24,"P007",14,"P008",12,"P009",115,"P010",360))*Table1[[#This Row],[Quantity]]</f>
        <v>80</v>
      </c>
      <c r="U297" s="1" cm="1">
        <f t="array" ref="U297">_xlfn.SWITCH(Table1[[#This Row],[Product ID]],"P001",15,"P002",0,"P003",8,"P004",8,"P005",0,"P006",7,"P007",7,"P008",6,"P009",45,"P010",60)</f>
        <v>0</v>
      </c>
      <c r="V297" s="1">
        <f>Table1[[#This Row],[Shipping per Unit]]*Table1[[#This Row],[Quantity]]</f>
        <v>0</v>
      </c>
      <c r="W297" s="2">
        <f>IF(Table1[[#This Row],[Total Shipping]]&gt;0.1,0.2,0)</f>
        <v>0</v>
      </c>
      <c r="X297" s="4">
        <f>Table1[[#This Row],[Total Shipping]]*Table1[[#This Row],[VAT on Shipping]]</f>
        <v>0</v>
      </c>
      <c r="Y297" s="1">
        <f>Table1[[#This Row],[Revenue]]-Table1[[#This Row],[COGS]]</f>
        <v>65.5</v>
      </c>
      <c r="Z297" s="3">
        <f>(Table1[[#This Row],[Profit]]/Table1[[#This Row],[Revenue]])</f>
        <v>0.45017182130584193</v>
      </c>
      <c r="AA297" s="1">
        <f>Table1[[#This Row],[Profit]]-Table1[[#This Row],[Total Shipping]]</f>
        <v>65.5</v>
      </c>
      <c r="AB297" s="3">
        <f>Table1[[#This Row],[Operating Profit]]/Table1[[#This Row],[Revenue]]</f>
        <v>0.45017182130584193</v>
      </c>
    </row>
    <row r="298" spans="1:28" x14ac:dyDescent="0.25">
      <c r="A298" t="s">
        <v>192</v>
      </c>
      <c r="B298">
        <v>2</v>
      </c>
      <c r="C298" t="s">
        <v>62</v>
      </c>
      <c r="D298" t="s">
        <v>72</v>
      </c>
      <c r="E298" t="s">
        <v>31</v>
      </c>
      <c r="F298" t="s">
        <v>97</v>
      </c>
      <c r="G298" t="str" cm="1">
        <f t="array" ref="G298">_xlfn.SWITCH(F298,"Acme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298" t="s">
        <v>104</v>
      </c>
      <c r="I298" t="s">
        <v>55</v>
      </c>
      <c r="J298" t="str" cm="1">
        <f t="array" ref="J298">_xlfn.SWITCH(I298,"P001","Laptop","P002","Server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298" s="1" cm="1">
        <f t="array" ref="K298">_xlfn.SWITCH(Table1[[#This Row],[Product ID]],"P001",220,"P002",150,"P003",130,"P004",70,"P005",200,"P006",40,"P007",25,"P008",20,"P009",190,"P010",530)</f>
        <v>70</v>
      </c>
      <c r="L298">
        <v>2</v>
      </c>
      <c r="M298" s="1">
        <f>Table1[[#This Row],[Unit Price]]*Table1[[#This Row],[Quantity]]</f>
        <v>140</v>
      </c>
      <c r="N298" s="2">
        <v>0.03</v>
      </c>
      <c r="O298" s="1">
        <f>Table1[[#This Row],[Gross Value]]*(1-Table1[[#This Row],[Discount]])</f>
        <v>135.79999999999998</v>
      </c>
      <c r="P298" s="2">
        <v>0.2</v>
      </c>
      <c r="Q298" s="1">
        <f>Table1[[#This Row],[Revenue]]*Table1[[#This Row],[VAT Rate]]</f>
        <v>27.159999999999997</v>
      </c>
      <c r="R298" s="1">
        <f>Table1[[#This Row],[Revenue]]+Table1[[#This Row],[VAT Charged]]</f>
        <v>162.95999999999998</v>
      </c>
      <c r="S298" s="1" cm="1">
        <f t="array" ref="S298">_xlfn.SWITCH(Table1[[#This Row],[Product ID]],"P001",140,"P002",80,"P003",72,"P004",30,"P005",110,"P006",24,"P007",14,"P008",12,"P009",115,"P010",360)</f>
        <v>30</v>
      </c>
      <c r="T298" s="1" cm="1">
        <f t="array" ref="T298">(_xlfn.SWITCH(Table1[[#This Row],[Product ID]],"P001",140,"P002",80,"P003",72,"P004",30,"P005",110,"P006",24,"P007",14,"P008",12,"P009",115,"P010",360))*Table1[[#This Row],[Quantity]]</f>
        <v>60</v>
      </c>
      <c r="U298" s="1" cm="1">
        <f t="array" ref="U298">_xlfn.SWITCH(Table1[[#This Row],[Product ID]],"P001",15,"P002",0,"P003",8,"P004",8,"P005",0,"P006",7,"P007",7,"P008",6,"P009",45,"P010",60)</f>
        <v>8</v>
      </c>
      <c r="V298" s="1">
        <f>Table1[[#This Row],[Shipping per Unit]]*Table1[[#This Row],[Quantity]]</f>
        <v>16</v>
      </c>
      <c r="W298" s="2">
        <f>IF(Table1[[#This Row],[Total Shipping]]&gt;0.1,0.2,0)</f>
        <v>0.2</v>
      </c>
      <c r="X298" s="4">
        <f>Table1[[#This Row],[Total Shipping]]*Table1[[#This Row],[VAT on Shipping]]</f>
        <v>3.2</v>
      </c>
      <c r="Y298" s="1">
        <f>Table1[[#This Row],[Revenue]]-Table1[[#This Row],[COGS]]</f>
        <v>75.799999999999983</v>
      </c>
      <c r="Z298" s="3">
        <f>(Table1[[#This Row],[Profit]]/Table1[[#This Row],[Revenue]])</f>
        <v>0.55817378497790859</v>
      </c>
      <c r="AA298" s="1">
        <f>Table1[[#This Row],[Profit]]-Table1[[#This Row],[Total Shipping]]</f>
        <v>59.799999999999983</v>
      </c>
      <c r="AB298" s="3">
        <f>Table1[[#This Row],[Operating Profit]]/Table1[[#This Row],[Revenue]]</f>
        <v>0.44035346097201761</v>
      </c>
    </row>
    <row r="299" spans="1:28" x14ac:dyDescent="0.25">
      <c r="A299" t="s">
        <v>192</v>
      </c>
      <c r="B299">
        <v>605</v>
      </c>
      <c r="C299" t="s">
        <v>83</v>
      </c>
      <c r="D299" t="s">
        <v>53</v>
      </c>
      <c r="E299" t="s">
        <v>31</v>
      </c>
      <c r="F299" t="s">
        <v>41</v>
      </c>
      <c r="G299" t="str" cm="1">
        <f t="array" ref="G299">_xlfn.SWITCH(F299,"Acme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299" t="s">
        <v>58</v>
      </c>
      <c r="I299" t="s">
        <v>46</v>
      </c>
      <c r="J299" t="str" cm="1">
        <f t="array" ref="J299">_xlfn.SWITCH(I299,"P001","Laptop","P002","Server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299" s="1" cm="1">
        <f t="array" ref="K299">_xlfn.SWITCH(Table1[[#This Row],[Product ID]],"P001",220,"P002",150,"P003",130,"P004",70,"P005",200,"P006",40,"P007",25,"P008",20,"P009",190,"P010",530)</f>
        <v>530</v>
      </c>
      <c r="L299">
        <v>4</v>
      </c>
      <c r="M299" s="1">
        <f>Table1[[#This Row],[Unit Price]]*Table1[[#This Row],[Quantity]]</f>
        <v>2120</v>
      </c>
      <c r="N299" s="2">
        <v>0.08</v>
      </c>
      <c r="O299" s="1">
        <f>Table1[[#This Row],[Gross Value]]*(1-Table1[[#This Row],[Discount]])</f>
        <v>1950.4</v>
      </c>
      <c r="P299" s="2">
        <v>0.2</v>
      </c>
      <c r="Q299" s="1">
        <f>Table1[[#This Row],[Revenue]]*Table1[[#This Row],[VAT Rate]]</f>
        <v>390.08000000000004</v>
      </c>
      <c r="R299" s="1">
        <f>Table1[[#This Row],[Revenue]]+Table1[[#This Row],[VAT Charged]]</f>
        <v>2340.48</v>
      </c>
      <c r="S299" s="1" cm="1">
        <f t="array" ref="S299">_xlfn.SWITCH(Table1[[#This Row],[Product ID]],"P001",140,"P002",80,"P003",72,"P004",30,"P005",110,"P006",24,"P007",14,"P008",12,"P009",115,"P010",360)</f>
        <v>360</v>
      </c>
      <c r="T299" s="1" cm="1">
        <f t="array" ref="T299">(_xlfn.SWITCH(Table1[[#This Row],[Product ID]],"P001",140,"P002",80,"P003",72,"P004",30,"P005",110,"P006",24,"P007",14,"P008",12,"P009",115,"P010",360))*Table1[[#This Row],[Quantity]]</f>
        <v>1440</v>
      </c>
      <c r="U299" s="1" cm="1">
        <f t="array" ref="U299">_xlfn.SWITCH(Table1[[#This Row],[Product ID]],"P001",15,"P002",0,"P003",8,"P004",8,"P005",0,"P006",7,"P007",7,"P008",6,"P009",45,"P010",60)</f>
        <v>60</v>
      </c>
      <c r="V299" s="1">
        <f>Table1[[#This Row],[Shipping per Unit]]*Table1[[#This Row],[Quantity]]</f>
        <v>240</v>
      </c>
      <c r="W299" s="2">
        <f>IF(Table1[[#This Row],[Total Shipping]]&gt;0.1,0.2,0)</f>
        <v>0.2</v>
      </c>
      <c r="X299" s="4">
        <f>Table1[[#This Row],[Total Shipping]]*Table1[[#This Row],[VAT on Shipping]]</f>
        <v>48</v>
      </c>
      <c r="Y299" s="1">
        <f>Table1[[#This Row],[Revenue]]-Table1[[#This Row],[COGS]]</f>
        <v>510.40000000000009</v>
      </c>
      <c r="Z299" s="3">
        <f>(Table1[[#This Row],[Profit]]/Table1[[#This Row],[Revenue]])</f>
        <v>0.2616899097621001</v>
      </c>
      <c r="AA299" s="1">
        <f>Table1[[#This Row],[Profit]]-Table1[[#This Row],[Total Shipping]]</f>
        <v>270.40000000000009</v>
      </c>
      <c r="AB299" s="3">
        <f>Table1[[#This Row],[Operating Profit]]/Table1[[#This Row],[Revenue]]</f>
        <v>0.13863822805578346</v>
      </c>
    </row>
    <row r="300" spans="1:28" x14ac:dyDescent="0.25">
      <c r="A300" t="s">
        <v>192</v>
      </c>
      <c r="B300">
        <v>629</v>
      </c>
      <c r="C300" t="s">
        <v>62</v>
      </c>
      <c r="D300" t="s">
        <v>72</v>
      </c>
      <c r="E300" t="s">
        <v>40</v>
      </c>
      <c r="F300" t="s">
        <v>50</v>
      </c>
      <c r="G300" t="str" cm="1">
        <f t="array" ref="G300">_xlfn.SWITCH(F300,"Acme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300" t="s">
        <v>51</v>
      </c>
      <c r="I300" t="s">
        <v>60</v>
      </c>
      <c r="J300" t="str" cm="1">
        <f t="array" ref="J300">_xlfn.SWITCH(I300,"P001","Laptop","P002","Server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00" s="1" cm="1">
        <f t="array" ref="K300">_xlfn.SWITCH(Table1[[#This Row],[Product ID]],"P001",220,"P002",150,"P003",130,"P004",70,"P005",200,"P006",40,"P007",25,"P008",20,"P009",190,"P010",530)</f>
        <v>25</v>
      </c>
      <c r="L300">
        <v>2</v>
      </c>
      <c r="M300" s="1">
        <f>Table1[[#This Row],[Unit Price]]*Table1[[#This Row],[Quantity]]</f>
        <v>50</v>
      </c>
      <c r="N300" s="2">
        <v>0.03</v>
      </c>
      <c r="O300" s="1">
        <f>Table1[[#This Row],[Gross Value]]*(1-Table1[[#This Row],[Discount]])</f>
        <v>48.5</v>
      </c>
      <c r="P300" s="2">
        <v>0.2</v>
      </c>
      <c r="Q300" s="1">
        <f>Table1[[#This Row],[Revenue]]*Table1[[#This Row],[VAT Rate]]</f>
        <v>9.7000000000000011</v>
      </c>
      <c r="R300" s="1">
        <f>Table1[[#This Row],[Revenue]]+Table1[[#This Row],[VAT Charged]]</f>
        <v>58.2</v>
      </c>
      <c r="S300" s="1" cm="1">
        <f t="array" ref="S300">_xlfn.SWITCH(Table1[[#This Row],[Product ID]],"P001",140,"P002",80,"P003",72,"P004",30,"P005",110,"P006",24,"P007",14,"P008",12,"P009",115,"P010",360)</f>
        <v>14</v>
      </c>
      <c r="T300" s="1" cm="1">
        <f t="array" ref="T300">(_xlfn.SWITCH(Table1[[#This Row],[Product ID]],"P001",140,"P002",80,"P003",72,"P004",30,"P005",110,"P006",24,"P007",14,"P008",12,"P009",115,"P010",360))*Table1[[#This Row],[Quantity]]</f>
        <v>28</v>
      </c>
      <c r="U300" s="1" cm="1">
        <f t="array" ref="U300">_xlfn.SWITCH(Table1[[#This Row],[Product ID]],"P001",15,"P002",0,"P003",8,"P004",8,"P005",0,"P006",7,"P007",7,"P008",6,"P009",45,"P010",60)</f>
        <v>7</v>
      </c>
      <c r="V300" s="1">
        <f>Table1[[#This Row],[Shipping per Unit]]*Table1[[#This Row],[Quantity]]</f>
        <v>14</v>
      </c>
      <c r="W300" s="2">
        <f>IF(Table1[[#This Row],[Total Shipping]]&gt;0.1,0.2,0)</f>
        <v>0.2</v>
      </c>
      <c r="X300" s="4">
        <f>Table1[[#This Row],[Total Shipping]]*Table1[[#This Row],[VAT on Shipping]]</f>
        <v>2.8000000000000003</v>
      </c>
      <c r="Y300" s="1">
        <f>Table1[[#This Row],[Revenue]]-Table1[[#This Row],[COGS]]</f>
        <v>20.5</v>
      </c>
      <c r="Z300" s="3">
        <f>(Table1[[#This Row],[Profit]]/Table1[[#This Row],[Revenue]])</f>
        <v>0.42268041237113402</v>
      </c>
      <c r="AA300" s="1">
        <f>Table1[[#This Row],[Profit]]-Table1[[#This Row],[Total Shipping]]</f>
        <v>6.5</v>
      </c>
      <c r="AB300" s="3">
        <f>Table1[[#This Row],[Operating Profit]]/Table1[[#This Row],[Revenue]]</f>
        <v>0.13402061855670103</v>
      </c>
    </row>
    <row r="301" spans="1:28" x14ac:dyDescent="0.25">
      <c r="A301" t="s">
        <v>192</v>
      </c>
      <c r="B301">
        <v>701</v>
      </c>
      <c r="C301" t="s">
        <v>62</v>
      </c>
      <c r="D301" t="s">
        <v>30</v>
      </c>
      <c r="E301" t="s">
        <v>31</v>
      </c>
      <c r="F301" t="s">
        <v>66</v>
      </c>
      <c r="G301" t="str" cm="1">
        <f t="array" ref="G301">_xlfn.SWITCH(F301,"Acme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301" t="s">
        <v>58</v>
      </c>
      <c r="I301" t="s">
        <v>42</v>
      </c>
      <c r="J301" t="str" cm="1">
        <f t="array" ref="J301">_xlfn.SWITCH(I301,"P001","Laptop","P002","Server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01" s="1" cm="1">
        <f t="array" ref="K301">_xlfn.SWITCH(Table1[[#This Row],[Product ID]],"P001",220,"P002",150,"P003",130,"P004",70,"P005",200,"P006",40,"P007",25,"P008",20,"P009",190,"P010",530)</f>
        <v>40</v>
      </c>
      <c r="L301">
        <v>20</v>
      </c>
      <c r="M301" s="1">
        <f>Table1[[#This Row],[Unit Price]]*Table1[[#This Row],[Quantity]]</f>
        <v>800</v>
      </c>
      <c r="N301" s="2">
        <v>0.06</v>
      </c>
      <c r="O301" s="1">
        <f>Table1[[#This Row],[Gross Value]]*(1-Table1[[#This Row],[Discount]])</f>
        <v>752</v>
      </c>
      <c r="P301" s="2">
        <v>0.2</v>
      </c>
      <c r="Q301" s="1">
        <f>Table1[[#This Row],[Revenue]]*Table1[[#This Row],[VAT Rate]]</f>
        <v>150.4</v>
      </c>
      <c r="R301" s="1">
        <f>Table1[[#This Row],[Revenue]]+Table1[[#This Row],[VAT Charged]]</f>
        <v>902.4</v>
      </c>
      <c r="S301" s="1" cm="1">
        <f t="array" ref="S301">_xlfn.SWITCH(Table1[[#This Row],[Product ID]],"P001",140,"P002",80,"P003",72,"P004",30,"P005",110,"P006",24,"P007",14,"P008",12,"P009",115,"P010",360)</f>
        <v>24</v>
      </c>
      <c r="T301" s="1" cm="1">
        <f t="array" ref="T301">(_xlfn.SWITCH(Table1[[#This Row],[Product ID]],"P001",140,"P002",80,"P003",72,"P004",30,"P005",110,"P006",24,"P007",14,"P008",12,"P009",115,"P010",360))*Table1[[#This Row],[Quantity]]</f>
        <v>480</v>
      </c>
      <c r="U301" s="1" cm="1">
        <f t="array" ref="U301">_xlfn.SWITCH(Table1[[#This Row],[Product ID]],"P001",15,"P002",0,"P003",8,"P004",8,"P005",0,"P006",7,"P007",7,"P008",6,"P009",45,"P010",60)</f>
        <v>7</v>
      </c>
      <c r="V301" s="1">
        <f>Table1[[#This Row],[Shipping per Unit]]*Table1[[#This Row],[Quantity]]</f>
        <v>140</v>
      </c>
      <c r="W301" s="2">
        <f>IF(Table1[[#This Row],[Total Shipping]]&gt;0.1,0.2,0)</f>
        <v>0.2</v>
      </c>
      <c r="X301" s="4">
        <f>Table1[[#This Row],[Total Shipping]]*Table1[[#This Row],[VAT on Shipping]]</f>
        <v>28</v>
      </c>
      <c r="Y301" s="1">
        <f>Table1[[#This Row],[Revenue]]-Table1[[#This Row],[COGS]]</f>
        <v>272</v>
      </c>
      <c r="Z301" s="3">
        <f>(Table1[[#This Row],[Profit]]/Table1[[#This Row],[Revenue]])</f>
        <v>0.36170212765957449</v>
      </c>
      <c r="AA301" s="1">
        <f>Table1[[#This Row],[Profit]]-Table1[[#This Row],[Total Shipping]]</f>
        <v>132</v>
      </c>
      <c r="AB301" s="3">
        <f>Table1[[#This Row],[Operating Profit]]/Table1[[#This Row],[Revenue]]</f>
        <v>0.17553191489361702</v>
      </c>
    </row>
    <row r="302" spans="1:28" x14ac:dyDescent="0.25">
      <c r="A302" t="s">
        <v>193</v>
      </c>
      <c r="B302">
        <v>268</v>
      </c>
      <c r="C302" t="s">
        <v>56</v>
      </c>
      <c r="D302" t="s">
        <v>95</v>
      </c>
      <c r="E302" t="s">
        <v>31</v>
      </c>
      <c r="F302" t="s">
        <v>90</v>
      </c>
      <c r="G302" t="str" cm="1">
        <f t="array" ref="G302">_xlfn.SWITCH(F302,"Acme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302" t="s">
        <v>33</v>
      </c>
      <c r="I302" t="s">
        <v>55</v>
      </c>
      <c r="J302" t="str" cm="1">
        <f t="array" ref="J302">_xlfn.SWITCH(I302,"P001","Laptop","P002","Server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02" s="1" cm="1">
        <f t="array" ref="K302">_xlfn.SWITCH(Table1[[#This Row],[Product ID]],"P001",220,"P002",150,"P003",130,"P004",70,"P005",200,"P006",40,"P007",25,"P008",20,"P009",190,"P010",530)</f>
        <v>70</v>
      </c>
      <c r="L302">
        <v>10</v>
      </c>
      <c r="M302" s="1">
        <f>Table1[[#This Row],[Unit Price]]*Table1[[#This Row],[Quantity]]</f>
        <v>700</v>
      </c>
      <c r="N302" s="2">
        <v>0.05</v>
      </c>
      <c r="O302" s="1">
        <f>Table1[[#This Row],[Gross Value]]*(1-Table1[[#This Row],[Discount]])</f>
        <v>665</v>
      </c>
      <c r="P302" s="2">
        <v>0.2</v>
      </c>
      <c r="Q302" s="1">
        <f>Table1[[#This Row],[Revenue]]*Table1[[#This Row],[VAT Rate]]</f>
        <v>133</v>
      </c>
      <c r="R302" s="1">
        <f>Table1[[#This Row],[Revenue]]+Table1[[#This Row],[VAT Charged]]</f>
        <v>798</v>
      </c>
      <c r="S302" s="1" cm="1">
        <f t="array" ref="S302">_xlfn.SWITCH(Table1[[#This Row],[Product ID]],"P001",140,"P002",80,"P003",72,"P004",30,"P005",110,"P006",24,"P007",14,"P008",12,"P009",115,"P010",360)</f>
        <v>30</v>
      </c>
      <c r="T302" s="1" cm="1">
        <f t="array" ref="T302">(_xlfn.SWITCH(Table1[[#This Row],[Product ID]],"P001",140,"P002",80,"P003",72,"P004",30,"P005",110,"P006",24,"P007",14,"P008",12,"P009",115,"P010",360))*Table1[[#This Row],[Quantity]]</f>
        <v>300</v>
      </c>
      <c r="U302" s="1" cm="1">
        <f t="array" ref="U302">_xlfn.SWITCH(Table1[[#This Row],[Product ID]],"P001",15,"P002",0,"P003",8,"P004",8,"P005",0,"P006",7,"P007",7,"P008",6,"P009",45,"P010",60)</f>
        <v>8</v>
      </c>
      <c r="V302" s="1">
        <f>Table1[[#This Row],[Shipping per Unit]]*Table1[[#This Row],[Quantity]]</f>
        <v>80</v>
      </c>
      <c r="W302" s="2">
        <f>IF(Table1[[#This Row],[Total Shipping]]&gt;0.1,0.2,0)</f>
        <v>0.2</v>
      </c>
      <c r="X302" s="4">
        <f>Table1[[#This Row],[Total Shipping]]*Table1[[#This Row],[VAT on Shipping]]</f>
        <v>16</v>
      </c>
      <c r="Y302" s="1">
        <f>Table1[[#This Row],[Revenue]]-Table1[[#This Row],[COGS]]</f>
        <v>365</v>
      </c>
      <c r="Z302" s="3">
        <f>(Table1[[#This Row],[Profit]]/Table1[[#This Row],[Revenue]])</f>
        <v>0.54887218045112784</v>
      </c>
      <c r="AA302" s="1">
        <f>Table1[[#This Row],[Profit]]-Table1[[#This Row],[Total Shipping]]</f>
        <v>285</v>
      </c>
      <c r="AB302" s="3">
        <f>Table1[[#This Row],[Operating Profit]]/Table1[[#This Row],[Revenue]]</f>
        <v>0.42857142857142855</v>
      </c>
    </row>
    <row r="303" spans="1:28" x14ac:dyDescent="0.25">
      <c r="A303" t="s">
        <v>193</v>
      </c>
      <c r="B303">
        <v>576</v>
      </c>
      <c r="C303" t="s">
        <v>71</v>
      </c>
      <c r="D303" t="s">
        <v>36</v>
      </c>
      <c r="E303" t="s">
        <v>31</v>
      </c>
      <c r="F303" t="s">
        <v>44</v>
      </c>
      <c r="G303" t="str" cm="1">
        <f t="array" ref="G303">_xlfn.SWITCH(F303,"Acme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303" t="s">
        <v>58</v>
      </c>
      <c r="I303" t="s">
        <v>52</v>
      </c>
      <c r="J303" t="str" cm="1">
        <f t="array" ref="J303">_xlfn.SWITCH(I303,"P001","Laptop","P002","Server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03" s="1" cm="1">
        <f t="array" ref="K303">_xlfn.SWITCH(Table1[[#This Row],[Product ID]],"P001",220,"P002",150,"P003",130,"P004",70,"P005",200,"P006",40,"P007",25,"P008",20,"P009",190,"P010",530)</f>
        <v>130</v>
      </c>
      <c r="L303">
        <v>4</v>
      </c>
      <c r="M303" s="1">
        <f>Table1[[#This Row],[Unit Price]]*Table1[[#This Row],[Quantity]]</f>
        <v>520</v>
      </c>
      <c r="N303" s="2">
        <v>0.08</v>
      </c>
      <c r="O303" s="1">
        <f>Table1[[#This Row],[Gross Value]]*(1-Table1[[#This Row],[Discount]])</f>
        <v>478.40000000000003</v>
      </c>
      <c r="P303" s="2">
        <v>0.2</v>
      </c>
      <c r="Q303" s="1">
        <f>Table1[[#This Row],[Revenue]]*Table1[[#This Row],[VAT Rate]]</f>
        <v>95.68</v>
      </c>
      <c r="R303" s="1">
        <f>Table1[[#This Row],[Revenue]]+Table1[[#This Row],[VAT Charged]]</f>
        <v>574.08000000000004</v>
      </c>
      <c r="S303" s="1" cm="1">
        <f t="array" ref="S303">_xlfn.SWITCH(Table1[[#This Row],[Product ID]],"P001",140,"P002",80,"P003",72,"P004",30,"P005",110,"P006",24,"P007",14,"P008",12,"P009",115,"P010",360)</f>
        <v>72</v>
      </c>
      <c r="T303" s="1" cm="1">
        <f t="array" ref="T303">(_xlfn.SWITCH(Table1[[#This Row],[Product ID]],"P001",140,"P002",80,"P003",72,"P004",30,"P005",110,"P006",24,"P007",14,"P008",12,"P009",115,"P010",360))*Table1[[#This Row],[Quantity]]</f>
        <v>288</v>
      </c>
      <c r="U303" s="1" cm="1">
        <f t="array" ref="U303">_xlfn.SWITCH(Table1[[#This Row],[Product ID]],"P001",15,"P002",0,"P003",8,"P004",8,"P005",0,"P006",7,"P007",7,"P008",6,"P009",45,"P010",60)</f>
        <v>8</v>
      </c>
      <c r="V303" s="1">
        <f>Table1[[#This Row],[Shipping per Unit]]*Table1[[#This Row],[Quantity]]</f>
        <v>32</v>
      </c>
      <c r="W303" s="2">
        <f>IF(Table1[[#This Row],[Total Shipping]]&gt;0.1,0.2,0)</f>
        <v>0.2</v>
      </c>
      <c r="X303" s="4">
        <f>Table1[[#This Row],[Total Shipping]]*Table1[[#This Row],[VAT on Shipping]]</f>
        <v>6.4</v>
      </c>
      <c r="Y303" s="1">
        <f>Table1[[#This Row],[Revenue]]-Table1[[#This Row],[COGS]]</f>
        <v>190.40000000000003</v>
      </c>
      <c r="Z303" s="3">
        <f>(Table1[[#This Row],[Profit]]/Table1[[#This Row],[Revenue]])</f>
        <v>0.39799331103678937</v>
      </c>
      <c r="AA303" s="1">
        <f>Table1[[#This Row],[Profit]]-Table1[[#This Row],[Total Shipping]]</f>
        <v>158.40000000000003</v>
      </c>
      <c r="AB303" s="3">
        <f>Table1[[#This Row],[Operating Profit]]/Table1[[#This Row],[Revenue]]</f>
        <v>0.33110367892976594</v>
      </c>
    </row>
    <row r="304" spans="1:28" x14ac:dyDescent="0.25">
      <c r="A304" t="s">
        <v>194</v>
      </c>
      <c r="B304">
        <v>366</v>
      </c>
      <c r="C304" t="s">
        <v>38</v>
      </c>
      <c r="D304" t="s">
        <v>57</v>
      </c>
      <c r="E304" t="s">
        <v>49</v>
      </c>
      <c r="F304" t="s">
        <v>74</v>
      </c>
      <c r="G304" t="str" cm="1">
        <f t="array" ref="G304">_xlfn.SWITCH(F304,"Acme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304" t="s">
        <v>69</v>
      </c>
      <c r="I304" t="s">
        <v>68</v>
      </c>
      <c r="J304" t="str" cm="1">
        <f t="array" ref="J304">_xlfn.SWITCH(I304,"P001","Laptop","P002","Server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04" s="1" cm="1">
        <f t="array" ref="K304">_xlfn.SWITCH(Table1[[#This Row],[Product ID]],"P001",220,"P002",150,"P003",130,"P004",70,"P005",200,"P006",40,"P007",25,"P008",20,"P009",190,"P010",530)</f>
        <v>220</v>
      </c>
      <c r="L304">
        <v>14</v>
      </c>
      <c r="M304" s="1">
        <f>Table1[[#This Row],[Unit Price]]*Table1[[#This Row],[Quantity]]</f>
        <v>3080</v>
      </c>
      <c r="N304" s="2">
        <v>0.1</v>
      </c>
      <c r="O304" s="1">
        <f>Table1[[#This Row],[Gross Value]]*(1-Table1[[#This Row],[Discount]])</f>
        <v>2772</v>
      </c>
      <c r="P304" s="2">
        <v>0.2</v>
      </c>
      <c r="Q304" s="1">
        <f>Table1[[#This Row],[Revenue]]*Table1[[#This Row],[VAT Rate]]</f>
        <v>554.4</v>
      </c>
      <c r="R304" s="1">
        <f>Table1[[#This Row],[Revenue]]+Table1[[#This Row],[VAT Charged]]</f>
        <v>3326.4</v>
      </c>
      <c r="S304" s="1" cm="1">
        <f t="array" ref="S304">_xlfn.SWITCH(Table1[[#This Row],[Product ID]],"P001",140,"P002",80,"P003",72,"P004",30,"P005",110,"P006",24,"P007",14,"P008",12,"P009",115,"P010",360)</f>
        <v>140</v>
      </c>
      <c r="T304" s="1" cm="1">
        <f t="array" ref="T304">(_xlfn.SWITCH(Table1[[#This Row],[Product ID]],"P001",140,"P002",80,"P003",72,"P004",30,"P005",110,"P006",24,"P007",14,"P008",12,"P009",115,"P010",360))*Table1[[#This Row],[Quantity]]</f>
        <v>1960</v>
      </c>
      <c r="U304" s="1" cm="1">
        <f t="array" ref="U304">_xlfn.SWITCH(Table1[[#This Row],[Product ID]],"P001",15,"P002",0,"P003",8,"P004",8,"P005",0,"P006",7,"P007",7,"P008",6,"P009",45,"P010",60)</f>
        <v>15</v>
      </c>
      <c r="V304" s="1">
        <f>Table1[[#This Row],[Shipping per Unit]]*Table1[[#This Row],[Quantity]]</f>
        <v>210</v>
      </c>
      <c r="W304" s="2">
        <f>IF(Table1[[#This Row],[Total Shipping]]&gt;0.1,0.2,0)</f>
        <v>0.2</v>
      </c>
      <c r="X304" s="4">
        <f>Table1[[#This Row],[Total Shipping]]*Table1[[#This Row],[VAT on Shipping]]</f>
        <v>42</v>
      </c>
      <c r="Y304" s="1">
        <f>Table1[[#This Row],[Revenue]]-Table1[[#This Row],[COGS]]</f>
        <v>812</v>
      </c>
      <c r="Z304" s="3">
        <f>(Table1[[#This Row],[Profit]]/Table1[[#This Row],[Revenue]])</f>
        <v>0.29292929292929293</v>
      </c>
      <c r="AA304" s="1">
        <f>Table1[[#This Row],[Profit]]-Table1[[#This Row],[Total Shipping]]</f>
        <v>602</v>
      </c>
      <c r="AB304" s="3">
        <f>Table1[[#This Row],[Operating Profit]]/Table1[[#This Row],[Revenue]]</f>
        <v>0.21717171717171718</v>
      </c>
    </row>
    <row r="305" spans="1:28" x14ac:dyDescent="0.25">
      <c r="A305" t="s">
        <v>194</v>
      </c>
      <c r="B305">
        <v>638</v>
      </c>
      <c r="C305" t="s">
        <v>62</v>
      </c>
      <c r="D305" t="s">
        <v>57</v>
      </c>
      <c r="E305" t="s">
        <v>49</v>
      </c>
      <c r="F305" t="s">
        <v>103</v>
      </c>
      <c r="G305" t="str" cm="1">
        <f t="array" ref="G305">_xlfn.SWITCH(F305,"Acme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305" t="s">
        <v>104</v>
      </c>
      <c r="I305" t="s">
        <v>42</v>
      </c>
      <c r="J305" t="str" cm="1">
        <f t="array" ref="J305">_xlfn.SWITCH(I305,"P001","Laptop","P002","Server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05" s="1" cm="1">
        <f t="array" ref="K305">_xlfn.SWITCH(Table1[[#This Row],[Product ID]],"P001",220,"P002",150,"P003",130,"P004",70,"P005",200,"P006",40,"P007",25,"P008",20,"P009",190,"P010",530)</f>
        <v>40</v>
      </c>
      <c r="L305">
        <v>14</v>
      </c>
      <c r="M305" s="1">
        <f>Table1[[#This Row],[Unit Price]]*Table1[[#This Row],[Quantity]]</f>
        <v>560</v>
      </c>
      <c r="N305" s="2">
        <v>0.08</v>
      </c>
      <c r="O305" s="1">
        <f>Table1[[#This Row],[Gross Value]]*(1-Table1[[#This Row],[Discount]])</f>
        <v>515.20000000000005</v>
      </c>
      <c r="P305" s="2">
        <v>0.2</v>
      </c>
      <c r="Q305" s="1">
        <f>Table1[[#This Row],[Revenue]]*Table1[[#This Row],[VAT Rate]]</f>
        <v>103.04000000000002</v>
      </c>
      <c r="R305" s="1">
        <f>Table1[[#This Row],[Revenue]]+Table1[[#This Row],[VAT Charged]]</f>
        <v>618.24</v>
      </c>
      <c r="S305" s="1" cm="1">
        <f t="array" ref="S305">_xlfn.SWITCH(Table1[[#This Row],[Product ID]],"P001",140,"P002",80,"P003",72,"P004",30,"P005",110,"P006",24,"P007",14,"P008",12,"P009",115,"P010",360)</f>
        <v>24</v>
      </c>
      <c r="T305" s="1" cm="1">
        <f t="array" ref="T305">(_xlfn.SWITCH(Table1[[#This Row],[Product ID]],"P001",140,"P002",80,"P003",72,"P004",30,"P005",110,"P006",24,"P007",14,"P008",12,"P009",115,"P010",360))*Table1[[#This Row],[Quantity]]</f>
        <v>336</v>
      </c>
      <c r="U305" s="1" cm="1">
        <f t="array" ref="U305">_xlfn.SWITCH(Table1[[#This Row],[Product ID]],"P001",15,"P002",0,"P003",8,"P004",8,"P005",0,"P006",7,"P007",7,"P008",6,"P009",45,"P010",60)</f>
        <v>7</v>
      </c>
      <c r="V305" s="1">
        <f>Table1[[#This Row],[Shipping per Unit]]*Table1[[#This Row],[Quantity]]</f>
        <v>98</v>
      </c>
      <c r="W305" s="2">
        <f>IF(Table1[[#This Row],[Total Shipping]]&gt;0.1,0.2,0)</f>
        <v>0.2</v>
      </c>
      <c r="X305" s="4">
        <f>Table1[[#This Row],[Total Shipping]]*Table1[[#This Row],[VAT on Shipping]]</f>
        <v>19.600000000000001</v>
      </c>
      <c r="Y305" s="1">
        <f>Table1[[#This Row],[Revenue]]-Table1[[#This Row],[COGS]]</f>
        <v>179.20000000000005</v>
      </c>
      <c r="Z305" s="3">
        <f>(Table1[[#This Row],[Profit]]/Table1[[#This Row],[Revenue]])</f>
        <v>0.34782608695652178</v>
      </c>
      <c r="AA305" s="1">
        <f>Table1[[#This Row],[Profit]]-Table1[[#This Row],[Total Shipping]]</f>
        <v>81.200000000000045</v>
      </c>
      <c r="AB305" s="3">
        <f>Table1[[#This Row],[Operating Profit]]/Table1[[#This Row],[Revenue]]</f>
        <v>0.15760869565217397</v>
      </c>
    </row>
    <row r="306" spans="1:28" x14ac:dyDescent="0.25">
      <c r="A306" t="s">
        <v>194</v>
      </c>
      <c r="B306">
        <v>928</v>
      </c>
      <c r="C306" t="s">
        <v>56</v>
      </c>
      <c r="D306" t="s">
        <v>39</v>
      </c>
      <c r="E306" t="s">
        <v>49</v>
      </c>
      <c r="F306" t="s">
        <v>87</v>
      </c>
      <c r="G306" t="str" cm="1">
        <f t="array" ref="G306">_xlfn.SWITCH(F306,"Acme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306" t="s">
        <v>33</v>
      </c>
      <c r="I306" t="s">
        <v>42</v>
      </c>
      <c r="J306" t="str" cm="1">
        <f t="array" ref="J306">_xlfn.SWITCH(I306,"P001","Laptop","P002","Server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06" s="1" cm="1">
        <f t="array" ref="K306">_xlfn.SWITCH(Table1[[#This Row],[Product ID]],"P001",220,"P002",150,"P003",130,"P004",70,"P005",200,"P006",40,"P007",25,"P008",20,"P009",190,"P010",530)</f>
        <v>40</v>
      </c>
      <c r="L306">
        <v>8</v>
      </c>
      <c r="M306" s="1">
        <f>Table1[[#This Row],[Unit Price]]*Table1[[#This Row],[Quantity]]</f>
        <v>320</v>
      </c>
      <c r="N306" s="2">
        <v>0.06</v>
      </c>
      <c r="O306" s="1">
        <f>Table1[[#This Row],[Gross Value]]*(1-Table1[[#This Row],[Discount]])</f>
        <v>300.79999999999995</v>
      </c>
      <c r="P306" s="2">
        <v>0.2</v>
      </c>
      <c r="Q306" s="1">
        <f>Table1[[#This Row],[Revenue]]*Table1[[#This Row],[VAT Rate]]</f>
        <v>60.16</v>
      </c>
      <c r="R306" s="1">
        <f>Table1[[#This Row],[Revenue]]+Table1[[#This Row],[VAT Charged]]</f>
        <v>360.95999999999992</v>
      </c>
      <c r="S306" s="1" cm="1">
        <f t="array" ref="S306">_xlfn.SWITCH(Table1[[#This Row],[Product ID]],"P001",140,"P002",80,"P003",72,"P004",30,"P005",110,"P006",24,"P007",14,"P008",12,"P009",115,"P010",360)</f>
        <v>24</v>
      </c>
      <c r="T306" s="1" cm="1">
        <f t="array" ref="T306">(_xlfn.SWITCH(Table1[[#This Row],[Product ID]],"P001",140,"P002",80,"P003",72,"P004",30,"P005",110,"P006",24,"P007",14,"P008",12,"P009",115,"P010",360))*Table1[[#This Row],[Quantity]]</f>
        <v>192</v>
      </c>
      <c r="U306" s="1" cm="1">
        <f t="array" ref="U306">_xlfn.SWITCH(Table1[[#This Row],[Product ID]],"P001",15,"P002",0,"P003",8,"P004",8,"P005",0,"P006",7,"P007",7,"P008",6,"P009",45,"P010",60)</f>
        <v>7</v>
      </c>
      <c r="V306" s="1">
        <f>Table1[[#This Row],[Shipping per Unit]]*Table1[[#This Row],[Quantity]]</f>
        <v>56</v>
      </c>
      <c r="W306" s="2">
        <f>IF(Table1[[#This Row],[Total Shipping]]&gt;0.1,0.2,0)</f>
        <v>0.2</v>
      </c>
      <c r="X306" s="4">
        <f>Table1[[#This Row],[Total Shipping]]*Table1[[#This Row],[VAT on Shipping]]</f>
        <v>11.200000000000001</v>
      </c>
      <c r="Y306" s="1">
        <f>Table1[[#This Row],[Revenue]]-Table1[[#This Row],[COGS]]</f>
        <v>108.79999999999995</v>
      </c>
      <c r="Z306" s="3">
        <f>(Table1[[#This Row],[Profit]]/Table1[[#This Row],[Revenue]])</f>
        <v>0.36170212765957438</v>
      </c>
      <c r="AA306" s="1">
        <f>Table1[[#This Row],[Profit]]-Table1[[#This Row],[Total Shipping]]</f>
        <v>52.799999999999955</v>
      </c>
      <c r="AB306" s="3">
        <f>Table1[[#This Row],[Operating Profit]]/Table1[[#This Row],[Revenue]]</f>
        <v>0.17553191489361689</v>
      </c>
    </row>
    <row r="307" spans="1:28" x14ac:dyDescent="0.25">
      <c r="A307" t="s">
        <v>195</v>
      </c>
      <c r="B307">
        <v>64</v>
      </c>
      <c r="C307" t="s">
        <v>56</v>
      </c>
      <c r="D307" t="s">
        <v>30</v>
      </c>
      <c r="E307" t="s">
        <v>40</v>
      </c>
      <c r="F307" t="s">
        <v>44</v>
      </c>
      <c r="G307" t="str" cm="1">
        <f t="array" ref="G307">_xlfn.SWITCH(F307,"Acme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307" t="s">
        <v>58</v>
      </c>
      <c r="I307" t="s">
        <v>68</v>
      </c>
      <c r="J307" t="str" cm="1">
        <f t="array" ref="J307">_xlfn.SWITCH(I307,"P001","Laptop","P002","Server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07" s="1" cm="1">
        <f t="array" ref="K307">_xlfn.SWITCH(Table1[[#This Row],[Product ID]],"P001",220,"P002",150,"P003",130,"P004",70,"P005",200,"P006",40,"P007",25,"P008",20,"P009",190,"P010",530)</f>
        <v>220</v>
      </c>
      <c r="L307">
        <v>14</v>
      </c>
      <c r="M307" s="1">
        <f>Table1[[#This Row],[Unit Price]]*Table1[[#This Row],[Quantity]]</f>
        <v>3080</v>
      </c>
      <c r="N307" s="2">
        <v>0.03</v>
      </c>
      <c r="O307" s="1">
        <f>Table1[[#This Row],[Gross Value]]*(1-Table1[[#This Row],[Discount]])</f>
        <v>2987.6</v>
      </c>
      <c r="P307" s="2">
        <v>0.2</v>
      </c>
      <c r="Q307" s="1">
        <f>Table1[[#This Row],[Revenue]]*Table1[[#This Row],[VAT Rate]]</f>
        <v>597.52</v>
      </c>
      <c r="R307" s="1">
        <f>Table1[[#This Row],[Revenue]]+Table1[[#This Row],[VAT Charged]]</f>
        <v>3585.12</v>
      </c>
      <c r="S307" s="1" cm="1">
        <f t="array" ref="S307">_xlfn.SWITCH(Table1[[#This Row],[Product ID]],"P001",140,"P002",80,"P003",72,"P004",30,"P005",110,"P006",24,"P007",14,"P008",12,"P009",115,"P010",360)</f>
        <v>140</v>
      </c>
      <c r="T307" s="1" cm="1">
        <f t="array" ref="T307">(_xlfn.SWITCH(Table1[[#This Row],[Product ID]],"P001",140,"P002",80,"P003",72,"P004",30,"P005",110,"P006",24,"P007",14,"P008",12,"P009",115,"P010",360))*Table1[[#This Row],[Quantity]]</f>
        <v>1960</v>
      </c>
      <c r="U307" s="1" cm="1">
        <f t="array" ref="U307">_xlfn.SWITCH(Table1[[#This Row],[Product ID]],"P001",15,"P002",0,"P003",8,"P004",8,"P005",0,"P006",7,"P007",7,"P008",6,"P009",45,"P010",60)</f>
        <v>15</v>
      </c>
      <c r="V307" s="1">
        <f>Table1[[#This Row],[Shipping per Unit]]*Table1[[#This Row],[Quantity]]</f>
        <v>210</v>
      </c>
      <c r="W307" s="2">
        <f>IF(Table1[[#This Row],[Total Shipping]]&gt;0.1,0.2,0)</f>
        <v>0.2</v>
      </c>
      <c r="X307" s="4">
        <f>Table1[[#This Row],[Total Shipping]]*Table1[[#This Row],[VAT on Shipping]]</f>
        <v>42</v>
      </c>
      <c r="Y307" s="1">
        <f>Table1[[#This Row],[Revenue]]-Table1[[#This Row],[COGS]]</f>
        <v>1027.5999999999999</v>
      </c>
      <c r="Z307" s="3">
        <f>(Table1[[#This Row],[Profit]]/Table1[[#This Row],[Revenue]])</f>
        <v>0.3439550140581068</v>
      </c>
      <c r="AA307" s="1">
        <f>Table1[[#This Row],[Profit]]-Table1[[#This Row],[Total Shipping]]</f>
        <v>817.59999999999991</v>
      </c>
      <c r="AB307" s="3">
        <f>Table1[[#This Row],[Operating Profit]]/Table1[[#This Row],[Revenue]]</f>
        <v>0.27366447985004683</v>
      </c>
    </row>
    <row r="308" spans="1:28" x14ac:dyDescent="0.25">
      <c r="A308" t="s">
        <v>195</v>
      </c>
      <c r="B308">
        <v>252</v>
      </c>
      <c r="C308" t="s">
        <v>56</v>
      </c>
      <c r="D308" t="s">
        <v>36</v>
      </c>
      <c r="E308" t="s">
        <v>49</v>
      </c>
      <c r="F308" t="s">
        <v>98</v>
      </c>
      <c r="G308" t="str" cm="1">
        <f t="array" ref="G308">_xlfn.SWITCH(F308,"Acme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308" t="s">
        <v>33</v>
      </c>
      <c r="I308" t="s">
        <v>68</v>
      </c>
      <c r="J308" t="str" cm="1">
        <f t="array" ref="J308">_xlfn.SWITCH(I308,"P001","Laptop","P002","Server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08" s="1" cm="1">
        <f t="array" ref="K308">_xlfn.SWITCH(Table1[[#This Row],[Product ID]],"P001",220,"P002",150,"P003",130,"P004",70,"P005",200,"P006",40,"P007",25,"P008",20,"P009",190,"P010",530)</f>
        <v>220</v>
      </c>
      <c r="L308">
        <v>17</v>
      </c>
      <c r="M308" s="1">
        <f>Table1[[#This Row],[Unit Price]]*Table1[[#This Row],[Quantity]]</f>
        <v>3740</v>
      </c>
      <c r="N308" s="2">
        <v>0.1</v>
      </c>
      <c r="O308" s="1">
        <f>Table1[[#This Row],[Gross Value]]*(1-Table1[[#This Row],[Discount]])</f>
        <v>3366</v>
      </c>
      <c r="P308" s="2">
        <v>0.2</v>
      </c>
      <c r="Q308" s="1">
        <f>Table1[[#This Row],[Revenue]]*Table1[[#This Row],[VAT Rate]]</f>
        <v>673.2</v>
      </c>
      <c r="R308" s="1">
        <f>Table1[[#This Row],[Revenue]]+Table1[[#This Row],[VAT Charged]]</f>
        <v>4039.2</v>
      </c>
      <c r="S308" s="1" cm="1">
        <f t="array" ref="S308">_xlfn.SWITCH(Table1[[#This Row],[Product ID]],"P001",140,"P002",80,"P003",72,"P004",30,"P005",110,"P006",24,"P007",14,"P008",12,"P009",115,"P010",360)</f>
        <v>140</v>
      </c>
      <c r="T308" s="1" cm="1">
        <f t="array" ref="T308">(_xlfn.SWITCH(Table1[[#This Row],[Product ID]],"P001",140,"P002",80,"P003",72,"P004",30,"P005",110,"P006",24,"P007",14,"P008",12,"P009",115,"P010",360))*Table1[[#This Row],[Quantity]]</f>
        <v>2380</v>
      </c>
      <c r="U308" s="1" cm="1">
        <f t="array" ref="U308">_xlfn.SWITCH(Table1[[#This Row],[Product ID]],"P001",15,"P002",0,"P003",8,"P004",8,"P005",0,"P006",7,"P007",7,"P008",6,"P009",45,"P010",60)</f>
        <v>15</v>
      </c>
      <c r="V308" s="1">
        <f>Table1[[#This Row],[Shipping per Unit]]*Table1[[#This Row],[Quantity]]</f>
        <v>255</v>
      </c>
      <c r="W308" s="2">
        <f>IF(Table1[[#This Row],[Total Shipping]]&gt;0.1,0.2,0)</f>
        <v>0.2</v>
      </c>
      <c r="X308" s="4">
        <f>Table1[[#This Row],[Total Shipping]]*Table1[[#This Row],[VAT on Shipping]]</f>
        <v>51</v>
      </c>
      <c r="Y308" s="1">
        <f>Table1[[#This Row],[Revenue]]-Table1[[#This Row],[COGS]]</f>
        <v>986</v>
      </c>
      <c r="Z308" s="3">
        <f>(Table1[[#This Row],[Profit]]/Table1[[#This Row],[Revenue]])</f>
        <v>0.29292929292929293</v>
      </c>
      <c r="AA308" s="1">
        <f>Table1[[#This Row],[Profit]]-Table1[[#This Row],[Total Shipping]]</f>
        <v>731</v>
      </c>
      <c r="AB308" s="3">
        <f>Table1[[#This Row],[Operating Profit]]/Table1[[#This Row],[Revenue]]</f>
        <v>0.21717171717171718</v>
      </c>
    </row>
    <row r="309" spans="1:28" x14ac:dyDescent="0.25">
      <c r="A309" t="s">
        <v>195</v>
      </c>
      <c r="B309">
        <v>850</v>
      </c>
      <c r="C309" t="s">
        <v>62</v>
      </c>
      <c r="D309" t="s">
        <v>48</v>
      </c>
      <c r="E309" t="s">
        <v>49</v>
      </c>
      <c r="F309" t="s">
        <v>37</v>
      </c>
      <c r="G309" t="str" cm="1">
        <f t="array" ref="G309">_xlfn.SWITCH(F309,"Acme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309" t="s">
        <v>69</v>
      </c>
      <c r="I309" t="s">
        <v>75</v>
      </c>
      <c r="J309" t="str" cm="1">
        <f t="array" ref="J309">_xlfn.SWITCH(I309,"P001","Laptop","P002","Server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309" s="1" cm="1">
        <f t="array" ref="K309">_xlfn.SWITCH(Table1[[#This Row],[Product ID]],"P001",220,"P002",150,"P003",130,"P004",70,"P005",200,"P006",40,"P007",25,"P008",20,"P009",190,"P010",530)</f>
        <v>200</v>
      </c>
      <c r="L309">
        <v>14</v>
      </c>
      <c r="M309" s="1">
        <f>Table1[[#This Row],[Unit Price]]*Table1[[#This Row],[Quantity]]</f>
        <v>2800</v>
      </c>
      <c r="N309" s="2">
        <v>0.03</v>
      </c>
      <c r="O309" s="1">
        <f>Table1[[#This Row],[Gross Value]]*(1-Table1[[#This Row],[Discount]])</f>
        <v>2716</v>
      </c>
      <c r="P309" s="2">
        <v>0.2</v>
      </c>
      <c r="Q309" s="1">
        <f>Table1[[#This Row],[Revenue]]*Table1[[#This Row],[VAT Rate]]</f>
        <v>543.20000000000005</v>
      </c>
      <c r="R309" s="1">
        <f>Table1[[#This Row],[Revenue]]+Table1[[#This Row],[VAT Charged]]</f>
        <v>3259.2</v>
      </c>
      <c r="S309" s="1" cm="1">
        <f t="array" ref="S309">_xlfn.SWITCH(Table1[[#This Row],[Product ID]],"P001",140,"P002",80,"P003",72,"P004",30,"P005",110,"P006",24,"P007",14,"P008",12,"P009",115,"P010",360)</f>
        <v>110</v>
      </c>
      <c r="T309" s="1" cm="1">
        <f t="array" ref="T309">(_xlfn.SWITCH(Table1[[#This Row],[Product ID]],"P001",140,"P002",80,"P003",72,"P004",30,"P005",110,"P006",24,"P007",14,"P008",12,"P009",115,"P010",360))*Table1[[#This Row],[Quantity]]</f>
        <v>1540</v>
      </c>
      <c r="U309" s="1" cm="1">
        <f t="array" ref="U309">_xlfn.SWITCH(Table1[[#This Row],[Product ID]],"P001",15,"P002",0,"P003",8,"P004",8,"P005",0,"P006",7,"P007",7,"P008",6,"P009",45,"P010",60)</f>
        <v>0</v>
      </c>
      <c r="V309" s="1">
        <f>Table1[[#This Row],[Shipping per Unit]]*Table1[[#This Row],[Quantity]]</f>
        <v>0</v>
      </c>
      <c r="W309" s="2">
        <f>IF(Table1[[#This Row],[Total Shipping]]&gt;0.1,0.2,0)</f>
        <v>0</v>
      </c>
      <c r="X309" s="4">
        <f>Table1[[#This Row],[Total Shipping]]*Table1[[#This Row],[VAT on Shipping]]</f>
        <v>0</v>
      </c>
      <c r="Y309" s="1">
        <f>Table1[[#This Row],[Revenue]]-Table1[[#This Row],[COGS]]</f>
        <v>1176</v>
      </c>
      <c r="Z309" s="3">
        <f>(Table1[[#This Row],[Profit]]/Table1[[#This Row],[Revenue]])</f>
        <v>0.4329896907216495</v>
      </c>
      <c r="AA309" s="1">
        <f>Table1[[#This Row],[Profit]]-Table1[[#This Row],[Total Shipping]]</f>
        <v>1176</v>
      </c>
      <c r="AB309" s="3">
        <f>Table1[[#This Row],[Operating Profit]]/Table1[[#This Row],[Revenue]]</f>
        <v>0.4329896907216495</v>
      </c>
    </row>
    <row r="310" spans="1:28" x14ac:dyDescent="0.25">
      <c r="A310" t="s">
        <v>195</v>
      </c>
      <c r="B310">
        <v>862</v>
      </c>
      <c r="C310" t="s">
        <v>62</v>
      </c>
      <c r="D310" t="s">
        <v>72</v>
      </c>
      <c r="E310" t="s">
        <v>31</v>
      </c>
      <c r="F310" t="s">
        <v>92</v>
      </c>
      <c r="G310" t="str" cm="1">
        <f t="array" ref="G310">_xlfn.SWITCH(F310,"Acme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310" t="s">
        <v>58</v>
      </c>
      <c r="I310" t="s">
        <v>34</v>
      </c>
      <c r="J310" t="str" cm="1">
        <f t="array" ref="J310">_xlfn.SWITCH(I310,"P001","Laptop","P002","Server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10" s="1" cm="1">
        <f t="array" ref="K310">_xlfn.SWITCH(Table1[[#This Row],[Product ID]],"P001",220,"P002",150,"P003",130,"P004",70,"P005",200,"P006",40,"P007",25,"P008",20,"P009",190,"P010",530)</f>
        <v>20</v>
      </c>
      <c r="L310">
        <v>20</v>
      </c>
      <c r="M310" s="1">
        <f>Table1[[#This Row],[Unit Price]]*Table1[[#This Row],[Quantity]]</f>
        <v>400</v>
      </c>
      <c r="N310" s="2">
        <v>0.1</v>
      </c>
      <c r="O310" s="1">
        <f>Table1[[#This Row],[Gross Value]]*(1-Table1[[#This Row],[Discount]])</f>
        <v>360</v>
      </c>
      <c r="P310" s="2">
        <v>0.2</v>
      </c>
      <c r="Q310" s="1">
        <f>Table1[[#This Row],[Revenue]]*Table1[[#This Row],[VAT Rate]]</f>
        <v>72</v>
      </c>
      <c r="R310" s="1">
        <f>Table1[[#This Row],[Revenue]]+Table1[[#This Row],[VAT Charged]]</f>
        <v>432</v>
      </c>
      <c r="S310" s="1" cm="1">
        <f t="array" ref="S310">_xlfn.SWITCH(Table1[[#This Row],[Product ID]],"P001",140,"P002",80,"P003",72,"P004",30,"P005",110,"P006",24,"P007",14,"P008",12,"P009",115,"P010",360)</f>
        <v>12</v>
      </c>
      <c r="T310" s="1" cm="1">
        <f t="array" ref="T310">(_xlfn.SWITCH(Table1[[#This Row],[Product ID]],"P001",140,"P002",80,"P003",72,"P004",30,"P005",110,"P006",24,"P007",14,"P008",12,"P009",115,"P010",360))*Table1[[#This Row],[Quantity]]</f>
        <v>240</v>
      </c>
      <c r="U310" s="1" cm="1">
        <f t="array" ref="U310">_xlfn.SWITCH(Table1[[#This Row],[Product ID]],"P001",15,"P002",0,"P003",8,"P004",8,"P005",0,"P006",7,"P007",7,"P008",6,"P009",45,"P010",60)</f>
        <v>6</v>
      </c>
      <c r="V310" s="1">
        <f>Table1[[#This Row],[Shipping per Unit]]*Table1[[#This Row],[Quantity]]</f>
        <v>120</v>
      </c>
      <c r="W310" s="2">
        <f>IF(Table1[[#This Row],[Total Shipping]]&gt;0.1,0.2,0)</f>
        <v>0.2</v>
      </c>
      <c r="X310" s="4">
        <f>Table1[[#This Row],[Total Shipping]]*Table1[[#This Row],[VAT on Shipping]]</f>
        <v>24</v>
      </c>
      <c r="Y310" s="1">
        <f>Table1[[#This Row],[Revenue]]-Table1[[#This Row],[COGS]]</f>
        <v>120</v>
      </c>
      <c r="Z310" s="3">
        <f>(Table1[[#This Row],[Profit]]/Table1[[#This Row],[Revenue]])</f>
        <v>0.33333333333333331</v>
      </c>
      <c r="AA310" s="1">
        <f>Table1[[#This Row],[Profit]]-Table1[[#This Row],[Total Shipping]]</f>
        <v>0</v>
      </c>
      <c r="AB310" s="3">
        <f>Table1[[#This Row],[Operating Profit]]/Table1[[#This Row],[Revenue]]</f>
        <v>0</v>
      </c>
    </row>
    <row r="311" spans="1:28" x14ac:dyDescent="0.25">
      <c r="A311" t="s">
        <v>196</v>
      </c>
      <c r="B311">
        <v>227</v>
      </c>
      <c r="C311" t="s">
        <v>71</v>
      </c>
      <c r="D311" t="s">
        <v>67</v>
      </c>
      <c r="E311" t="s">
        <v>40</v>
      </c>
      <c r="F311" t="s">
        <v>76</v>
      </c>
      <c r="G311" t="str" cm="1">
        <f t="array" ref="G311">_xlfn.SWITCH(F311,"Acme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311" t="s">
        <v>51</v>
      </c>
      <c r="I311" t="s">
        <v>42</v>
      </c>
      <c r="J311" t="str" cm="1">
        <f t="array" ref="J311">_xlfn.SWITCH(I311,"P001","Laptop","P002","Server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11" s="1" cm="1">
        <f t="array" ref="K311">_xlfn.SWITCH(Table1[[#This Row],[Product ID]],"P001",220,"P002",150,"P003",130,"P004",70,"P005",200,"P006",40,"P007",25,"P008",20,"P009",190,"P010",530)</f>
        <v>40</v>
      </c>
      <c r="L311">
        <v>9</v>
      </c>
      <c r="M311" s="1">
        <f>Table1[[#This Row],[Unit Price]]*Table1[[#This Row],[Quantity]]</f>
        <v>360</v>
      </c>
      <c r="N311" s="2">
        <v>0.03</v>
      </c>
      <c r="O311" s="1">
        <f>Table1[[#This Row],[Gross Value]]*(1-Table1[[#This Row],[Discount]])</f>
        <v>349.2</v>
      </c>
      <c r="P311" s="2">
        <v>0.2</v>
      </c>
      <c r="Q311" s="1">
        <f>Table1[[#This Row],[Revenue]]*Table1[[#This Row],[VAT Rate]]</f>
        <v>69.84</v>
      </c>
      <c r="R311" s="1">
        <f>Table1[[#This Row],[Revenue]]+Table1[[#This Row],[VAT Charged]]</f>
        <v>419.03999999999996</v>
      </c>
      <c r="S311" s="1" cm="1">
        <f t="array" ref="S311">_xlfn.SWITCH(Table1[[#This Row],[Product ID]],"P001",140,"P002",80,"P003",72,"P004",30,"P005",110,"P006",24,"P007",14,"P008",12,"P009",115,"P010",360)</f>
        <v>24</v>
      </c>
      <c r="T311" s="1" cm="1">
        <f t="array" ref="T311">(_xlfn.SWITCH(Table1[[#This Row],[Product ID]],"P001",140,"P002",80,"P003",72,"P004",30,"P005",110,"P006",24,"P007",14,"P008",12,"P009",115,"P010",360))*Table1[[#This Row],[Quantity]]</f>
        <v>216</v>
      </c>
      <c r="U311" s="1" cm="1">
        <f t="array" ref="U311">_xlfn.SWITCH(Table1[[#This Row],[Product ID]],"P001",15,"P002",0,"P003",8,"P004",8,"P005",0,"P006",7,"P007",7,"P008",6,"P009",45,"P010",60)</f>
        <v>7</v>
      </c>
      <c r="V311" s="1">
        <f>Table1[[#This Row],[Shipping per Unit]]*Table1[[#This Row],[Quantity]]</f>
        <v>63</v>
      </c>
      <c r="W311" s="2">
        <f>IF(Table1[[#This Row],[Total Shipping]]&gt;0.1,0.2,0)</f>
        <v>0.2</v>
      </c>
      <c r="X311" s="4">
        <f>Table1[[#This Row],[Total Shipping]]*Table1[[#This Row],[VAT on Shipping]]</f>
        <v>12.600000000000001</v>
      </c>
      <c r="Y311" s="1">
        <f>Table1[[#This Row],[Revenue]]-Table1[[#This Row],[COGS]]</f>
        <v>133.19999999999999</v>
      </c>
      <c r="Z311" s="3">
        <f>(Table1[[#This Row],[Profit]]/Table1[[#This Row],[Revenue]])</f>
        <v>0.38144329896907214</v>
      </c>
      <c r="AA311" s="1">
        <f>Table1[[#This Row],[Profit]]-Table1[[#This Row],[Total Shipping]]</f>
        <v>70.199999999999989</v>
      </c>
      <c r="AB311" s="3">
        <f>Table1[[#This Row],[Operating Profit]]/Table1[[#This Row],[Revenue]]</f>
        <v>0.20103092783505153</v>
      </c>
    </row>
    <row r="312" spans="1:28" x14ac:dyDescent="0.25">
      <c r="A312" t="s">
        <v>196</v>
      </c>
      <c r="B312">
        <v>355</v>
      </c>
      <c r="C312" t="s">
        <v>83</v>
      </c>
      <c r="D312" t="s">
        <v>72</v>
      </c>
      <c r="E312" t="s">
        <v>49</v>
      </c>
      <c r="F312" t="s">
        <v>84</v>
      </c>
      <c r="G312" t="str" cm="1">
        <f t="array" ref="G312">_xlfn.SWITCH(F312,"Acme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312" t="s">
        <v>33</v>
      </c>
      <c r="I312" t="s">
        <v>42</v>
      </c>
      <c r="J312" t="str" cm="1">
        <f t="array" ref="J312">_xlfn.SWITCH(I312,"P001","Laptop","P002","Server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12" s="1" cm="1">
        <f t="array" ref="K312">_xlfn.SWITCH(Table1[[#This Row],[Product ID]],"P001",220,"P002",150,"P003",130,"P004",70,"P005",200,"P006",40,"P007",25,"P008",20,"P009",190,"P010",530)</f>
        <v>40</v>
      </c>
      <c r="L312">
        <v>3</v>
      </c>
      <c r="M312" s="1">
        <f>Table1[[#This Row],[Unit Price]]*Table1[[#This Row],[Quantity]]</f>
        <v>120</v>
      </c>
      <c r="N312" s="2">
        <v>0.05</v>
      </c>
      <c r="O312" s="1">
        <f>Table1[[#This Row],[Gross Value]]*(1-Table1[[#This Row],[Discount]])</f>
        <v>114</v>
      </c>
      <c r="P312" s="2">
        <v>0.2</v>
      </c>
      <c r="Q312" s="1">
        <f>Table1[[#This Row],[Revenue]]*Table1[[#This Row],[VAT Rate]]</f>
        <v>22.8</v>
      </c>
      <c r="R312" s="1">
        <f>Table1[[#This Row],[Revenue]]+Table1[[#This Row],[VAT Charged]]</f>
        <v>136.80000000000001</v>
      </c>
      <c r="S312" s="1" cm="1">
        <f t="array" ref="S312">_xlfn.SWITCH(Table1[[#This Row],[Product ID]],"P001",140,"P002",80,"P003",72,"P004",30,"P005",110,"P006",24,"P007",14,"P008",12,"P009",115,"P010",360)</f>
        <v>24</v>
      </c>
      <c r="T312" s="1" cm="1">
        <f t="array" ref="T312">(_xlfn.SWITCH(Table1[[#This Row],[Product ID]],"P001",140,"P002",80,"P003",72,"P004",30,"P005",110,"P006",24,"P007",14,"P008",12,"P009",115,"P010",360))*Table1[[#This Row],[Quantity]]</f>
        <v>72</v>
      </c>
      <c r="U312" s="1" cm="1">
        <f t="array" ref="U312">_xlfn.SWITCH(Table1[[#This Row],[Product ID]],"P001",15,"P002",0,"P003",8,"P004",8,"P005",0,"P006",7,"P007",7,"P008",6,"P009",45,"P010",60)</f>
        <v>7</v>
      </c>
      <c r="V312" s="1">
        <f>Table1[[#This Row],[Shipping per Unit]]*Table1[[#This Row],[Quantity]]</f>
        <v>21</v>
      </c>
      <c r="W312" s="2">
        <f>IF(Table1[[#This Row],[Total Shipping]]&gt;0.1,0.2,0)</f>
        <v>0.2</v>
      </c>
      <c r="X312" s="4">
        <f>Table1[[#This Row],[Total Shipping]]*Table1[[#This Row],[VAT on Shipping]]</f>
        <v>4.2</v>
      </c>
      <c r="Y312" s="1">
        <f>Table1[[#This Row],[Revenue]]-Table1[[#This Row],[COGS]]</f>
        <v>42</v>
      </c>
      <c r="Z312" s="3">
        <f>(Table1[[#This Row],[Profit]]/Table1[[#This Row],[Revenue]])</f>
        <v>0.36842105263157893</v>
      </c>
      <c r="AA312" s="1">
        <f>Table1[[#This Row],[Profit]]-Table1[[#This Row],[Total Shipping]]</f>
        <v>21</v>
      </c>
      <c r="AB312" s="3">
        <f>Table1[[#This Row],[Operating Profit]]/Table1[[#This Row],[Revenue]]</f>
        <v>0.18421052631578946</v>
      </c>
    </row>
    <row r="313" spans="1:28" x14ac:dyDescent="0.25">
      <c r="A313" t="s">
        <v>196</v>
      </c>
      <c r="B313">
        <v>697</v>
      </c>
      <c r="C313" t="s">
        <v>62</v>
      </c>
      <c r="D313" t="s">
        <v>30</v>
      </c>
      <c r="E313" t="s">
        <v>31</v>
      </c>
      <c r="F313" t="s">
        <v>37</v>
      </c>
      <c r="G313" t="str" cm="1">
        <f t="array" ref="G313">_xlfn.SWITCH(F313,"Acme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313" t="s">
        <v>45</v>
      </c>
      <c r="I313" t="s">
        <v>46</v>
      </c>
      <c r="J313" t="str" cm="1">
        <f t="array" ref="J313">_xlfn.SWITCH(I313,"P001","Laptop","P002","Server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313" s="1" cm="1">
        <f t="array" ref="K313">_xlfn.SWITCH(Table1[[#This Row],[Product ID]],"P001",220,"P002",150,"P003",130,"P004",70,"P005",200,"P006",40,"P007",25,"P008",20,"P009",190,"P010",530)</f>
        <v>530</v>
      </c>
      <c r="L313">
        <v>10</v>
      </c>
      <c r="M313" s="1">
        <f>Table1[[#This Row],[Unit Price]]*Table1[[#This Row],[Quantity]]</f>
        <v>5300</v>
      </c>
      <c r="N313" s="2">
        <v>7.0000000000000007E-2</v>
      </c>
      <c r="O313" s="1">
        <f>Table1[[#This Row],[Gross Value]]*(1-Table1[[#This Row],[Discount]])</f>
        <v>4929</v>
      </c>
      <c r="P313" s="2">
        <v>0.2</v>
      </c>
      <c r="Q313" s="1">
        <f>Table1[[#This Row],[Revenue]]*Table1[[#This Row],[VAT Rate]]</f>
        <v>985.80000000000007</v>
      </c>
      <c r="R313" s="1">
        <f>Table1[[#This Row],[Revenue]]+Table1[[#This Row],[VAT Charged]]</f>
        <v>5914.8</v>
      </c>
      <c r="S313" s="1" cm="1">
        <f t="array" ref="S313">_xlfn.SWITCH(Table1[[#This Row],[Product ID]],"P001",140,"P002",80,"P003",72,"P004",30,"P005",110,"P006",24,"P007",14,"P008",12,"P009",115,"P010",360)</f>
        <v>360</v>
      </c>
      <c r="T313" s="1" cm="1">
        <f t="array" ref="T313">(_xlfn.SWITCH(Table1[[#This Row],[Product ID]],"P001",140,"P002",80,"P003",72,"P004",30,"P005",110,"P006",24,"P007",14,"P008",12,"P009",115,"P010",360))*Table1[[#This Row],[Quantity]]</f>
        <v>3600</v>
      </c>
      <c r="U313" s="1" cm="1">
        <f t="array" ref="U313">_xlfn.SWITCH(Table1[[#This Row],[Product ID]],"P001",15,"P002",0,"P003",8,"P004",8,"P005",0,"P006",7,"P007",7,"P008",6,"P009",45,"P010",60)</f>
        <v>60</v>
      </c>
      <c r="V313" s="1">
        <f>Table1[[#This Row],[Shipping per Unit]]*Table1[[#This Row],[Quantity]]</f>
        <v>600</v>
      </c>
      <c r="W313" s="2">
        <f>IF(Table1[[#This Row],[Total Shipping]]&gt;0.1,0.2,0)</f>
        <v>0.2</v>
      </c>
      <c r="X313" s="4">
        <f>Table1[[#This Row],[Total Shipping]]*Table1[[#This Row],[VAT on Shipping]]</f>
        <v>120</v>
      </c>
      <c r="Y313" s="1">
        <f>Table1[[#This Row],[Revenue]]-Table1[[#This Row],[COGS]]</f>
        <v>1329</v>
      </c>
      <c r="Z313" s="3">
        <f>(Table1[[#This Row],[Profit]]/Table1[[#This Row],[Revenue]])</f>
        <v>0.26962872793670117</v>
      </c>
      <c r="AA313" s="1">
        <f>Table1[[#This Row],[Profit]]-Table1[[#This Row],[Total Shipping]]</f>
        <v>729</v>
      </c>
      <c r="AB313" s="3">
        <f>Table1[[#This Row],[Operating Profit]]/Table1[[#This Row],[Revenue]]</f>
        <v>0.14790018259281801</v>
      </c>
    </row>
    <row r="314" spans="1:28" x14ac:dyDescent="0.25">
      <c r="A314" t="s">
        <v>196</v>
      </c>
      <c r="B314">
        <v>821</v>
      </c>
      <c r="C314" t="s">
        <v>29</v>
      </c>
      <c r="D314" t="s">
        <v>53</v>
      </c>
      <c r="E314" t="s">
        <v>31</v>
      </c>
      <c r="F314" t="s">
        <v>74</v>
      </c>
      <c r="G314" t="str" cm="1">
        <f t="array" ref="G314">_xlfn.SWITCH(F314,"Acme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314" t="s">
        <v>45</v>
      </c>
      <c r="I314" t="s">
        <v>60</v>
      </c>
      <c r="J314" t="str" cm="1">
        <f t="array" ref="J314">_xlfn.SWITCH(I314,"P001","Laptop","P002","Server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14" s="1" cm="1">
        <f t="array" ref="K314">_xlfn.SWITCH(Table1[[#This Row],[Product ID]],"P001",220,"P002",150,"P003",130,"P004",70,"P005",200,"P006",40,"P007",25,"P008",20,"P009",190,"P010",530)</f>
        <v>25</v>
      </c>
      <c r="L314">
        <v>19</v>
      </c>
      <c r="M314" s="1">
        <f>Table1[[#This Row],[Unit Price]]*Table1[[#This Row],[Quantity]]</f>
        <v>475</v>
      </c>
      <c r="N314" s="2">
        <v>7.0000000000000007E-2</v>
      </c>
      <c r="O314" s="1">
        <f>Table1[[#This Row],[Gross Value]]*(1-Table1[[#This Row],[Discount]])</f>
        <v>441.74999999999994</v>
      </c>
      <c r="P314" s="2">
        <v>0.2</v>
      </c>
      <c r="Q314" s="1">
        <f>Table1[[#This Row],[Revenue]]*Table1[[#This Row],[VAT Rate]]</f>
        <v>88.35</v>
      </c>
      <c r="R314" s="1">
        <f>Table1[[#This Row],[Revenue]]+Table1[[#This Row],[VAT Charged]]</f>
        <v>530.09999999999991</v>
      </c>
      <c r="S314" s="1" cm="1">
        <f t="array" ref="S314">_xlfn.SWITCH(Table1[[#This Row],[Product ID]],"P001",140,"P002",80,"P003",72,"P004",30,"P005",110,"P006",24,"P007",14,"P008",12,"P009",115,"P010",360)</f>
        <v>14</v>
      </c>
      <c r="T314" s="1" cm="1">
        <f t="array" ref="T314">(_xlfn.SWITCH(Table1[[#This Row],[Product ID]],"P001",140,"P002",80,"P003",72,"P004",30,"P005",110,"P006",24,"P007",14,"P008",12,"P009",115,"P010",360))*Table1[[#This Row],[Quantity]]</f>
        <v>266</v>
      </c>
      <c r="U314" s="1" cm="1">
        <f t="array" ref="U314">_xlfn.SWITCH(Table1[[#This Row],[Product ID]],"P001",15,"P002",0,"P003",8,"P004",8,"P005",0,"P006",7,"P007",7,"P008",6,"P009",45,"P010",60)</f>
        <v>7</v>
      </c>
      <c r="V314" s="1">
        <f>Table1[[#This Row],[Shipping per Unit]]*Table1[[#This Row],[Quantity]]</f>
        <v>133</v>
      </c>
      <c r="W314" s="2">
        <f>IF(Table1[[#This Row],[Total Shipping]]&gt;0.1,0.2,0)</f>
        <v>0.2</v>
      </c>
      <c r="X314" s="4">
        <f>Table1[[#This Row],[Total Shipping]]*Table1[[#This Row],[VAT on Shipping]]</f>
        <v>26.6</v>
      </c>
      <c r="Y314" s="1">
        <f>Table1[[#This Row],[Revenue]]-Table1[[#This Row],[COGS]]</f>
        <v>175.74999999999994</v>
      </c>
      <c r="Z314" s="3">
        <f>(Table1[[#This Row],[Profit]]/Table1[[#This Row],[Revenue]])</f>
        <v>0.39784946236559132</v>
      </c>
      <c r="AA314" s="1">
        <f>Table1[[#This Row],[Profit]]-Table1[[#This Row],[Total Shipping]]</f>
        <v>42.749999999999943</v>
      </c>
      <c r="AB314" s="3">
        <f>Table1[[#This Row],[Operating Profit]]/Table1[[#This Row],[Revenue]]</f>
        <v>9.6774193548386983E-2</v>
      </c>
    </row>
    <row r="315" spans="1:28" x14ac:dyDescent="0.25">
      <c r="A315" t="s">
        <v>197</v>
      </c>
      <c r="B315">
        <v>119</v>
      </c>
      <c r="C315" t="s">
        <v>29</v>
      </c>
      <c r="D315" t="s">
        <v>36</v>
      </c>
      <c r="E315" t="s">
        <v>49</v>
      </c>
      <c r="F315" t="s">
        <v>97</v>
      </c>
      <c r="G315" t="str" cm="1">
        <f t="array" ref="G315">_xlfn.SWITCH(F315,"Acme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315" t="s">
        <v>33</v>
      </c>
      <c r="I315" t="s">
        <v>68</v>
      </c>
      <c r="J315" t="str" cm="1">
        <f t="array" ref="J315">_xlfn.SWITCH(I315,"P001","Laptop","P002","Server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15" s="1" cm="1">
        <f t="array" ref="K315">_xlfn.SWITCH(Table1[[#This Row],[Product ID]],"P001",220,"P002",150,"P003",130,"P004",70,"P005",200,"P006",40,"P007",25,"P008",20,"P009",190,"P010",530)</f>
        <v>220</v>
      </c>
      <c r="L315">
        <v>1</v>
      </c>
      <c r="M315" s="1">
        <f>Table1[[#This Row],[Unit Price]]*Table1[[#This Row],[Quantity]]</f>
        <v>220</v>
      </c>
      <c r="N315" s="2">
        <v>0.04</v>
      </c>
      <c r="O315" s="1">
        <f>Table1[[#This Row],[Gross Value]]*(1-Table1[[#This Row],[Discount]])</f>
        <v>211.2</v>
      </c>
      <c r="P315" s="2">
        <v>0.2</v>
      </c>
      <c r="Q315" s="1">
        <f>Table1[[#This Row],[Revenue]]*Table1[[#This Row],[VAT Rate]]</f>
        <v>42.24</v>
      </c>
      <c r="R315" s="1">
        <f>Table1[[#This Row],[Revenue]]+Table1[[#This Row],[VAT Charged]]</f>
        <v>253.44</v>
      </c>
      <c r="S315" s="1" cm="1">
        <f t="array" ref="S315">_xlfn.SWITCH(Table1[[#This Row],[Product ID]],"P001",140,"P002",80,"P003",72,"P004",30,"P005",110,"P006",24,"P007",14,"P008",12,"P009",115,"P010",360)</f>
        <v>140</v>
      </c>
      <c r="T315" s="1" cm="1">
        <f t="array" ref="T315">(_xlfn.SWITCH(Table1[[#This Row],[Product ID]],"P001",140,"P002",80,"P003",72,"P004",30,"P005",110,"P006",24,"P007",14,"P008",12,"P009",115,"P010",360))*Table1[[#This Row],[Quantity]]</f>
        <v>140</v>
      </c>
      <c r="U315" s="1" cm="1">
        <f t="array" ref="U315">_xlfn.SWITCH(Table1[[#This Row],[Product ID]],"P001",15,"P002",0,"P003",8,"P004",8,"P005",0,"P006",7,"P007",7,"P008",6,"P009",45,"P010",60)</f>
        <v>15</v>
      </c>
      <c r="V315" s="1">
        <f>Table1[[#This Row],[Shipping per Unit]]*Table1[[#This Row],[Quantity]]</f>
        <v>15</v>
      </c>
      <c r="W315" s="2">
        <f>IF(Table1[[#This Row],[Total Shipping]]&gt;0.1,0.2,0)</f>
        <v>0.2</v>
      </c>
      <c r="X315" s="4">
        <f>Table1[[#This Row],[Total Shipping]]*Table1[[#This Row],[VAT on Shipping]]</f>
        <v>3</v>
      </c>
      <c r="Y315" s="1">
        <f>Table1[[#This Row],[Revenue]]-Table1[[#This Row],[COGS]]</f>
        <v>71.199999999999989</v>
      </c>
      <c r="Z315" s="3">
        <f>(Table1[[#This Row],[Profit]]/Table1[[#This Row],[Revenue]])</f>
        <v>0.3371212121212121</v>
      </c>
      <c r="AA315" s="1">
        <f>Table1[[#This Row],[Profit]]-Table1[[#This Row],[Total Shipping]]</f>
        <v>56.199999999999989</v>
      </c>
      <c r="AB315" s="3">
        <f>Table1[[#This Row],[Operating Profit]]/Table1[[#This Row],[Revenue]]</f>
        <v>0.26609848484848481</v>
      </c>
    </row>
    <row r="316" spans="1:28" x14ac:dyDescent="0.25">
      <c r="A316" t="s">
        <v>197</v>
      </c>
      <c r="B316">
        <v>406</v>
      </c>
      <c r="C316" t="s">
        <v>65</v>
      </c>
      <c r="D316" t="s">
        <v>53</v>
      </c>
      <c r="E316" t="s">
        <v>49</v>
      </c>
      <c r="F316" t="s">
        <v>98</v>
      </c>
      <c r="G316" t="str" cm="1">
        <f t="array" ref="G316">_xlfn.SWITCH(F316,"Acme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316" t="s">
        <v>33</v>
      </c>
      <c r="I316" t="s">
        <v>60</v>
      </c>
      <c r="J316" t="str" cm="1">
        <f t="array" ref="J316">_xlfn.SWITCH(I316,"P001","Laptop","P002","Server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16" s="1" cm="1">
        <f t="array" ref="K316">_xlfn.SWITCH(Table1[[#This Row],[Product ID]],"P001",220,"P002",150,"P003",130,"P004",70,"P005",200,"P006",40,"P007",25,"P008",20,"P009",190,"P010",530)</f>
        <v>25</v>
      </c>
      <c r="L316">
        <v>20</v>
      </c>
      <c r="M316" s="1">
        <f>Table1[[#This Row],[Unit Price]]*Table1[[#This Row],[Quantity]]</f>
        <v>500</v>
      </c>
      <c r="N316" s="2">
        <v>0.05</v>
      </c>
      <c r="O316" s="1">
        <f>Table1[[#This Row],[Gross Value]]*(1-Table1[[#This Row],[Discount]])</f>
        <v>475</v>
      </c>
      <c r="P316" s="2">
        <v>0.2</v>
      </c>
      <c r="Q316" s="1">
        <f>Table1[[#This Row],[Revenue]]*Table1[[#This Row],[VAT Rate]]</f>
        <v>95</v>
      </c>
      <c r="R316" s="1">
        <f>Table1[[#This Row],[Revenue]]+Table1[[#This Row],[VAT Charged]]</f>
        <v>570</v>
      </c>
      <c r="S316" s="1" cm="1">
        <f t="array" ref="S316">_xlfn.SWITCH(Table1[[#This Row],[Product ID]],"P001",140,"P002",80,"P003",72,"P004",30,"P005",110,"P006",24,"P007",14,"P008",12,"P009",115,"P010",360)</f>
        <v>14</v>
      </c>
      <c r="T316" s="1" cm="1">
        <f t="array" ref="T316">(_xlfn.SWITCH(Table1[[#This Row],[Product ID]],"P001",140,"P002",80,"P003",72,"P004",30,"P005",110,"P006",24,"P007",14,"P008",12,"P009",115,"P010",360))*Table1[[#This Row],[Quantity]]</f>
        <v>280</v>
      </c>
      <c r="U316" s="1" cm="1">
        <f t="array" ref="U316">_xlfn.SWITCH(Table1[[#This Row],[Product ID]],"P001",15,"P002",0,"P003",8,"P004",8,"P005",0,"P006",7,"P007",7,"P008",6,"P009",45,"P010",60)</f>
        <v>7</v>
      </c>
      <c r="V316" s="1">
        <f>Table1[[#This Row],[Shipping per Unit]]*Table1[[#This Row],[Quantity]]</f>
        <v>140</v>
      </c>
      <c r="W316" s="2">
        <f>IF(Table1[[#This Row],[Total Shipping]]&gt;0.1,0.2,0)</f>
        <v>0.2</v>
      </c>
      <c r="X316" s="4">
        <f>Table1[[#This Row],[Total Shipping]]*Table1[[#This Row],[VAT on Shipping]]</f>
        <v>28</v>
      </c>
      <c r="Y316" s="1">
        <f>Table1[[#This Row],[Revenue]]-Table1[[#This Row],[COGS]]</f>
        <v>195</v>
      </c>
      <c r="Z316" s="3">
        <f>(Table1[[#This Row],[Profit]]/Table1[[#This Row],[Revenue]])</f>
        <v>0.41052631578947368</v>
      </c>
      <c r="AA316" s="1">
        <f>Table1[[#This Row],[Profit]]-Table1[[#This Row],[Total Shipping]]</f>
        <v>55</v>
      </c>
      <c r="AB316" s="3">
        <f>Table1[[#This Row],[Operating Profit]]/Table1[[#This Row],[Revenue]]</f>
        <v>0.11578947368421053</v>
      </c>
    </row>
    <row r="317" spans="1:28" x14ac:dyDescent="0.25">
      <c r="A317" t="s">
        <v>197</v>
      </c>
      <c r="B317">
        <v>657</v>
      </c>
      <c r="C317" t="s">
        <v>56</v>
      </c>
      <c r="D317" t="s">
        <v>36</v>
      </c>
      <c r="E317" t="s">
        <v>31</v>
      </c>
      <c r="F317" t="s">
        <v>103</v>
      </c>
      <c r="G317" t="str" cm="1">
        <f t="array" ref="G317">_xlfn.SWITCH(F317,"Acme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317" t="s">
        <v>33</v>
      </c>
      <c r="I317" t="s">
        <v>52</v>
      </c>
      <c r="J317" t="str" cm="1">
        <f t="array" ref="J317">_xlfn.SWITCH(I317,"P001","Laptop","P002","Server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17" s="1" cm="1">
        <f t="array" ref="K317">_xlfn.SWITCH(Table1[[#This Row],[Product ID]],"P001",220,"P002",150,"P003",130,"P004",70,"P005",200,"P006",40,"P007",25,"P008",20,"P009",190,"P010",530)</f>
        <v>130</v>
      </c>
      <c r="L317">
        <v>20</v>
      </c>
      <c r="M317" s="1">
        <f>Table1[[#This Row],[Unit Price]]*Table1[[#This Row],[Quantity]]</f>
        <v>2600</v>
      </c>
      <c r="N317" s="2">
        <v>0.08</v>
      </c>
      <c r="O317" s="1">
        <f>Table1[[#This Row],[Gross Value]]*(1-Table1[[#This Row],[Discount]])</f>
        <v>2392</v>
      </c>
      <c r="P317" s="2">
        <v>0.2</v>
      </c>
      <c r="Q317" s="1">
        <f>Table1[[#This Row],[Revenue]]*Table1[[#This Row],[VAT Rate]]</f>
        <v>478.40000000000003</v>
      </c>
      <c r="R317" s="1">
        <f>Table1[[#This Row],[Revenue]]+Table1[[#This Row],[VAT Charged]]</f>
        <v>2870.4</v>
      </c>
      <c r="S317" s="1" cm="1">
        <f t="array" ref="S317">_xlfn.SWITCH(Table1[[#This Row],[Product ID]],"P001",140,"P002",80,"P003",72,"P004",30,"P005",110,"P006",24,"P007",14,"P008",12,"P009",115,"P010",360)</f>
        <v>72</v>
      </c>
      <c r="T317" s="1" cm="1">
        <f t="array" ref="T317">(_xlfn.SWITCH(Table1[[#This Row],[Product ID]],"P001",140,"P002",80,"P003",72,"P004",30,"P005",110,"P006",24,"P007",14,"P008",12,"P009",115,"P010",360))*Table1[[#This Row],[Quantity]]</f>
        <v>1440</v>
      </c>
      <c r="U317" s="1" cm="1">
        <f t="array" ref="U317">_xlfn.SWITCH(Table1[[#This Row],[Product ID]],"P001",15,"P002",0,"P003",8,"P004",8,"P005",0,"P006",7,"P007",7,"P008",6,"P009",45,"P010",60)</f>
        <v>8</v>
      </c>
      <c r="V317" s="1">
        <f>Table1[[#This Row],[Shipping per Unit]]*Table1[[#This Row],[Quantity]]</f>
        <v>160</v>
      </c>
      <c r="W317" s="2">
        <f>IF(Table1[[#This Row],[Total Shipping]]&gt;0.1,0.2,0)</f>
        <v>0.2</v>
      </c>
      <c r="X317" s="4">
        <f>Table1[[#This Row],[Total Shipping]]*Table1[[#This Row],[VAT on Shipping]]</f>
        <v>32</v>
      </c>
      <c r="Y317" s="1">
        <f>Table1[[#This Row],[Revenue]]-Table1[[#This Row],[COGS]]</f>
        <v>952</v>
      </c>
      <c r="Z317" s="3">
        <f>(Table1[[#This Row],[Profit]]/Table1[[#This Row],[Revenue]])</f>
        <v>0.39799331103678931</v>
      </c>
      <c r="AA317" s="1">
        <f>Table1[[#This Row],[Profit]]-Table1[[#This Row],[Total Shipping]]</f>
        <v>792</v>
      </c>
      <c r="AB317" s="3">
        <f>Table1[[#This Row],[Operating Profit]]/Table1[[#This Row],[Revenue]]</f>
        <v>0.33110367892976589</v>
      </c>
    </row>
    <row r="318" spans="1:28" x14ac:dyDescent="0.25">
      <c r="A318" t="s">
        <v>197</v>
      </c>
      <c r="B318">
        <v>921</v>
      </c>
      <c r="C318" t="s">
        <v>71</v>
      </c>
      <c r="D318" t="s">
        <v>39</v>
      </c>
      <c r="E318" t="s">
        <v>40</v>
      </c>
      <c r="F318" t="s">
        <v>54</v>
      </c>
      <c r="G318" t="str" cm="1">
        <f t="array" ref="G318">_xlfn.SWITCH(F318,"Acme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318" t="s">
        <v>104</v>
      </c>
      <c r="I318" t="s">
        <v>52</v>
      </c>
      <c r="J318" t="str" cm="1">
        <f t="array" ref="J318">_xlfn.SWITCH(I318,"P001","Laptop","P002","Server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18" s="1" cm="1">
        <f t="array" ref="K318">_xlfn.SWITCH(Table1[[#This Row],[Product ID]],"P001",220,"P002",150,"P003",130,"P004",70,"P005",200,"P006",40,"P007",25,"P008",20,"P009",190,"P010",530)</f>
        <v>130</v>
      </c>
      <c r="L318">
        <v>16</v>
      </c>
      <c r="M318" s="1">
        <f>Table1[[#This Row],[Unit Price]]*Table1[[#This Row],[Quantity]]</f>
        <v>2080</v>
      </c>
      <c r="N318" s="2">
        <v>0.04</v>
      </c>
      <c r="O318" s="1">
        <f>Table1[[#This Row],[Gross Value]]*(1-Table1[[#This Row],[Discount]])</f>
        <v>1996.8</v>
      </c>
      <c r="P318" s="2">
        <v>0.2</v>
      </c>
      <c r="Q318" s="1">
        <f>Table1[[#This Row],[Revenue]]*Table1[[#This Row],[VAT Rate]]</f>
        <v>399.36</v>
      </c>
      <c r="R318" s="1">
        <f>Table1[[#This Row],[Revenue]]+Table1[[#This Row],[VAT Charged]]</f>
        <v>2396.16</v>
      </c>
      <c r="S318" s="1" cm="1">
        <f t="array" ref="S318">_xlfn.SWITCH(Table1[[#This Row],[Product ID]],"P001",140,"P002",80,"P003",72,"P004",30,"P005",110,"P006",24,"P007",14,"P008",12,"P009",115,"P010",360)</f>
        <v>72</v>
      </c>
      <c r="T318" s="1" cm="1">
        <f t="array" ref="T318">(_xlfn.SWITCH(Table1[[#This Row],[Product ID]],"P001",140,"P002",80,"P003",72,"P004",30,"P005",110,"P006",24,"P007",14,"P008",12,"P009",115,"P010",360))*Table1[[#This Row],[Quantity]]</f>
        <v>1152</v>
      </c>
      <c r="U318" s="1" cm="1">
        <f t="array" ref="U318">_xlfn.SWITCH(Table1[[#This Row],[Product ID]],"P001",15,"P002",0,"P003",8,"P004",8,"P005",0,"P006",7,"P007",7,"P008",6,"P009",45,"P010",60)</f>
        <v>8</v>
      </c>
      <c r="V318" s="1">
        <f>Table1[[#This Row],[Shipping per Unit]]*Table1[[#This Row],[Quantity]]</f>
        <v>128</v>
      </c>
      <c r="W318" s="2">
        <f>IF(Table1[[#This Row],[Total Shipping]]&gt;0.1,0.2,0)</f>
        <v>0.2</v>
      </c>
      <c r="X318" s="4">
        <f>Table1[[#This Row],[Total Shipping]]*Table1[[#This Row],[VAT on Shipping]]</f>
        <v>25.6</v>
      </c>
      <c r="Y318" s="1">
        <f>Table1[[#This Row],[Revenue]]-Table1[[#This Row],[COGS]]</f>
        <v>844.8</v>
      </c>
      <c r="Z318" s="3">
        <f>(Table1[[#This Row],[Profit]]/Table1[[#This Row],[Revenue]])</f>
        <v>0.42307692307692307</v>
      </c>
      <c r="AA318" s="1">
        <f>Table1[[#This Row],[Profit]]-Table1[[#This Row],[Total Shipping]]</f>
        <v>716.8</v>
      </c>
      <c r="AB318" s="3">
        <f>Table1[[#This Row],[Operating Profit]]/Table1[[#This Row],[Revenue]]</f>
        <v>0.35897435897435898</v>
      </c>
    </row>
    <row r="319" spans="1:28" x14ac:dyDescent="0.25">
      <c r="A319" t="s">
        <v>197</v>
      </c>
      <c r="B319">
        <v>969</v>
      </c>
      <c r="C319" t="s">
        <v>83</v>
      </c>
      <c r="D319" t="s">
        <v>48</v>
      </c>
      <c r="E319" t="s">
        <v>49</v>
      </c>
      <c r="F319" t="s">
        <v>66</v>
      </c>
      <c r="G319" t="str" cm="1">
        <f t="array" ref="G319">_xlfn.SWITCH(F319,"Acme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319" t="s">
        <v>51</v>
      </c>
      <c r="I319" t="s">
        <v>42</v>
      </c>
      <c r="J319" t="str" cm="1">
        <f t="array" ref="J319">_xlfn.SWITCH(I319,"P001","Laptop","P002","Server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19" s="1" cm="1">
        <f t="array" ref="K319">_xlfn.SWITCH(Table1[[#This Row],[Product ID]],"P001",220,"P002",150,"P003",130,"P004",70,"P005",200,"P006",40,"P007",25,"P008",20,"P009",190,"P010",530)</f>
        <v>40</v>
      </c>
      <c r="L319">
        <v>11</v>
      </c>
      <c r="M319" s="1">
        <f>Table1[[#This Row],[Unit Price]]*Table1[[#This Row],[Quantity]]</f>
        <v>440</v>
      </c>
      <c r="N319" s="2">
        <v>0.05</v>
      </c>
      <c r="O319" s="1">
        <f>Table1[[#This Row],[Gross Value]]*(1-Table1[[#This Row],[Discount]])</f>
        <v>418</v>
      </c>
      <c r="P319" s="2">
        <v>0.2</v>
      </c>
      <c r="Q319" s="1">
        <f>Table1[[#This Row],[Revenue]]*Table1[[#This Row],[VAT Rate]]</f>
        <v>83.600000000000009</v>
      </c>
      <c r="R319" s="1">
        <f>Table1[[#This Row],[Revenue]]+Table1[[#This Row],[VAT Charged]]</f>
        <v>501.6</v>
      </c>
      <c r="S319" s="1" cm="1">
        <f t="array" ref="S319">_xlfn.SWITCH(Table1[[#This Row],[Product ID]],"P001",140,"P002",80,"P003",72,"P004",30,"P005",110,"P006",24,"P007",14,"P008",12,"P009",115,"P010",360)</f>
        <v>24</v>
      </c>
      <c r="T319" s="1" cm="1">
        <f t="array" ref="T319">(_xlfn.SWITCH(Table1[[#This Row],[Product ID]],"P001",140,"P002",80,"P003",72,"P004",30,"P005",110,"P006",24,"P007",14,"P008",12,"P009",115,"P010",360))*Table1[[#This Row],[Quantity]]</f>
        <v>264</v>
      </c>
      <c r="U319" s="1" cm="1">
        <f t="array" ref="U319">_xlfn.SWITCH(Table1[[#This Row],[Product ID]],"P001",15,"P002",0,"P003",8,"P004",8,"P005",0,"P006",7,"P007",7,"P008",6,"P009",45,"P010",60)</f>
        <v>7</v>
      </c>
      <c r="V319" s="1">
        <f>Table1[[#This Row],[Shipping per Unit]]*Table1[[#This Row],[Quantity]]</f>
        <v>77</v>
      </c>
      <c r="W319" s="2">
        <f>IF(Table1[[#This Row],[Total Shipping]]&gt;0.1,0.2,0)</f>
        <v>0.2</v>
      </c>
      <c r="X319" s="4">
        <f>Table1[[#This Row],[Total Shipping]]*Table1[[#This Row],[VAT on Shipping]]</f>
        <v>15.4</v>
      </c>
      <c r="Y319" s="1">
        <f>Table1[[#This Row],[Revenue]]-Table1[[#This Row],[COGS]]</f>
        <v>154</v>
      </c>
      <c r="Z319" s="3">
        <f>(Table1[[#This Row],[Profit]]/Table1[[#This Row],[Revenue]])</f>
        <v>0.36842105263157893</v>
      </c>
      <c r="AA319" s="1">
        <f>Table1[[#This Row],[Profit]]-Table1[[#This Row],[Total Shipping]]</f>
        <v>77</v>
      </c>
      <c r="AB319" s="3">
        <f>Table1[[#This Row],[Operating Profit]]/Table1[[#This Row],[Revenue]]</f>
        <v>0.18421052631578946</v>
      </c>
    </row>
    <row r="320" spans="1:28" x14ac:dyDescent="0.25">
      <c r="A320" t="s">
        <v>198</v>
      </c>
      <c r="B320">
        <v>28</v>
      </c>
      <c r="C320" t="s">
        <v>83</v>
      </c>
      <c r="D320" t="s">
        <v>53</v>
      </c>
      <c r="E320" t="s">
        <v>40</v>
      </c>
      <c r="F320" t="s">
        <v>64</v>
      </c>
      <c r="G320" t="str" cm="1">
        <f t="array" ref="G320">_xlfn.SWITCH(F320,"Acme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320" t="s">
        <v>58</v>
      </c>
      <c r="I320" t="s">
        <v>75</v>
      </c>
      <c r="J320" t="str" cm="1">
        <f t="array" ref="J320">_xlfn.SWITCH(I320,"P001","Laptop","P002","Server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320" s="1" cm="1">
        <f t="array" ref="K320">_xlfn.SWITCH(Table1[[#This Row],[Product ID]],"P001",220,"P002",150,"P003",130,"P004",70,"P005",200,"P006",40,"P007",25,"P008",20,"P009",190,"P010",530)</f>
        <v>200</v>
      </c>
      <c r="L320">
        <v>1</v>
      </c>
      <c r="M320" s="1">
        <f>Table1[[#This Row],[Unit Price]]*Table1[[#This Row],[Quantity]]</f>
        <v>200</v>
      </c>
      <c r="N320" s="2">
        <v>0.05</v>
      </c>
      <c r="O320" s="1">
        <f>Table1[[#This Row],[Gross Value]]*(1-Table1[[#This Row],[Discount]])</f>
        <v>190</v>
      </c>
      <c r="P320" s="2">
        <v>0.2</v>
      </c>
      <c r="Q320" s="1">
        <f>Table1[[#This Row],[Revenue]]*Table1[[#This Row],[VAT Rate]]</f>
        <v>38</v>
      </c>
      <c r="R320" s="1">
        <f>Table1[[#This Row],[Revenue]]+Table1[[#This Row],[VAT Charged]]</f>
        <v>228</v>
      </c>
      <c r="S320" s="1" cm="1">
        <f t="array" ref="S320">_xlfn.SWITCH(Table1[[#This Row],[Product ID]],"P001",140,"P002",80,"P003",72,"P004",30,"P005",110,"P006",24,"P007",14,"P008",12,"P009",115,"P010",360)</f>
        <v>110</v>
      </c>
      <c r="T320" s="1" cm="1">
        <f t="array" ref="T320">(_xlfn.SWITCH(Table1[[#This Row],[Product ID]],"P001",140,"P002",80,"P003",72,"P004",30,"P005",110,"P006",24,"P007",14,"P008",12,"P009",115,"P010",360))*Table1[[#This Row],[Quantity]]</f>
        <v>110</v>
      </c>
      <c r="U320" s="1" cm="1">
        <f t="array" ref="U320">_xlfn.SWITCH(Table1[[#This Row],[Product ID]],"P001",15,"P002",0,"P003",8,"P004",8,"P005",0,"P006",7,"P007",7,"P008",6,"P009",45,"P010",60)</f>
        <v>0</v>
      </c>
      <c r="V320" s="1">
        <f>Table1[[#This Row],[Shipping per Unit]]*Table1[[#This Row],[Quantity]]</f>
        <v>0</v>
      </c>
      <c r="W320" s="2">
        <f>IF(Table1[[#This Row],[Total Shipping]]&gt;0.1,0.2,0)</f>
        <v>0</v>
      </c>
      <c r="X320" s="4">
        <f>Table1[[#This Row],[Total Shipping]]*Table1[[#This Row],[VAT on Shipping]]</f>
        <v>0</v>
      </c>
      <c r="Y320" s="1">
        <f>Table1[[#This Row],[Revenue]]-Table1[[#This Row],[COGS]]</f>
        <v>80</v>
      </c>
      <c r="Z320" s="3">
        <f>(Table1[[#This Row],[Profit]]/Table1[[#This Row],[Revenue]])</f>
        <v>0.42105263157894735</v>
      </c>
      <c r="AA320" s="1">
        <f>Table1[[#This Row],[Profit]]-Table1[[#This Row],[Total Shipping]]</f>
        <v>80</v>
      </c>
      <c r="AB320" s="3">
        <f>Table1[[#This Row],[Operating Profit]]/Table1[[#This Row],[Revenue]]</f>
        <v>0.42105263157894735</v>
      </c>
    </row>
    <row r="321" spans="1:28" x14ac:dyDescent="0.25">
      <c r="A321" t="s">
        <v>198</v>
      </c>
      <c r="B321">
        <v>248</v>
      </c>
      <c r="C321" t="s">
        <v>35</v>
      </c>
      <c r="D321" t="s">
        <v>39</v>
      </c>
      <c r="E321" t="s">
        <v>40</v>
      </c>
      <c r="F321" t="s">
        <v>59</v>
      </c>
      <c r="G321" t="str" cm="1">
        <f t="array" ref="G321">_xlfn.SWITCH(F321,"Acme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321" t="s">
        <v>33</v>
      </c>
      <c r="I321" t="s">
        <v>68</v>
      </c>
      <c r="J321" t="str" cm="1">
        <f t="array" ref="J321">_xlfn.SWITCH(I321,"P001","Laptop","P002","Server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21" s="1" cm="1">
        <f t="array" ref="K321">_xlfn.SWITCH(Table1[[#This Row],[Product ID]],"P001",220,"P002",150,"P003",130,"P004",70,"P005",200,"P006",40,"P007",25,"P008",20,"P009",190,"P010",530)</f>
        <v>220</v>
      </c>
      <c r="L321">
        <v>14</v>
      </c>
      <c r="M321" s="1">
        <f>Table1[[#This Row],[Unit Price]]*Table1[[#This Row],[Quantity]]</f>
        <v>3080</v>
      </c>
      <c r="N321" s="2">
        <v>7.0000000000000007E-2</v>
      </c>
      <c r="O321" s="1">
        <f>Table1[[#This Row],[Gross Value]]*(1-Table1[[#This Row],[Discount]])</f>
        <v>2864.3999999999996</v>
      </c>
      <c r="P321" s="2">
        <v>0.2</v>
      </c>
      <c r="Q321" s="1">
        <f>Table1[[#This Row],[Revenue]]*Table1[[#This Row],[VAT Rate]]</f>
        <v>572.88</v>
      </c>
      <c r="R321" s="1">
        <f>Table1[[#This Row],[Revenue]]+Table1[[#This Row],[VAT Charged]]</f>
        <v>3437.2799999999997</v>
      </c>
      <c r="S321" s="1" cm="1">
        <f t="array" ref="S321">_xlfn.SWITCH(Table1[[#This Row],[Product ID]],"P001",140,"P002",80,"P003",72,"P004",30,"P005",110,"P006",24,"P007",14,"P008",12,"P009",115,"P010",360)</f>
        <v>140</v>
      </c>
      <c r="T321" s="1" cm="1">
        <f t="array" ref="T321">(_xlfn.SWITCH(Table1[[#This Row],[Product ID]],"P001",140,"P002",80,"P003",72,"P004",30,"P005",110,"P006",24,"P007",14,"P008",12,"P009",115,"P010",360))*Table1[[#This Row],[Quantity]]</f>
        <v>1960</v>
      </c>
      <c r="U321" s="1" cm="1">
        <f t="array" ref="U321">_xlfn.SWITCH(Table1[[#This Row],[Product ID]],"P001",15,"P002",0,"P003",8,"P004",8,"P005",0,"P006",7,"P007",7,"P008",6,"P009",45,"P010",60)</f>
        <v>15</v>
      </c>
      <c r="V321" s="1">
        <f>Table1[[#This Row],[Shipping per Unit]]*Table1[[#This Row],[Quantity]]</f>
        <v>210</v>
      </c>
      <c r="W321" s="2">
        <f>IF(Table1[[#This Row],[Total Shipping]]&gt;0.1,0.2,0)</f>
        <v>0.2</v>
      </c>
      <c r="X321" s="4">
        <f>Table1[[#This Row],[Total Shipping]]*Table1[[#This Row],[VAT on Shipping]]</f>
        <v>42</v>
      </c>
      <c r="Y321" s="1">
        <f>Table1[[#This Row],[Revenue]]-Table1[[#This Row],[COGS]]</f>
        <v>904.39999999999964</v>
      </c>
      <c r="Z321" s="3">
        <f>(Table1[[#This Row],[Profit]]/Table1[[#This Row],[Revenue]])</f>
        <v>0.31573802541544466</v>
      </c>
      <c r="AA321" s="1">
        <f>Table1[[#This Row],[Profit]]-Table1[[#This Row],[Total Shipping]]</f>
        <v>694.39999999999964</v>
      </c>
      <c r="AB321" s="3">
        <f>Table1[[#This Row],[Operating Profit]]/Table1[[#This Row],[Revenue]]</f>
        <v>0.24242424242424232</v>
      </c>
    </row>
    <row r="322" spans="1:28" x14ac:dyDescent="0.25">
      <c r="A322" t="s">
        <v>198</v>
      </c>
      <c r="B322">
        <v>333</v>
      </c>
      <c r="C322" t="s">
        <v>35</v>
      </c>
      <c r="D322" t="s">
        <v>57</v>
      </c>
      <c r="E322" t="s">
        <v>31</v>
      </c>
      <c r="F322" t="s">
        <v>78</v>
      </c>
      <c r="G322" t="str" cm="1">
        <f t="array" ref="G322">_xlfn.SWITCH(F322,"Acme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322" t="s">
        <v>33</v>
      </c>
      <c r="I322" t="s">
        <v>34</v>
      </c>
      <c r="J322" t="str" cm="1">
        <f t="array" ref="J322">_xlfn.SWITCH(I322,"P001","Laptop","P002","Server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22" s="1" cm="1">
        <f t="array" ref="K322">_xlfn.SWITCH(Table1[[#This Row],[Product ID]],"P001",220,"P002",150,"P003",130,"P004",70,"P005",200,"P006",40,"P007",25,"P008",20,"P009",190,"P010",530)</f>
        <v>20</v>
      </c>
      <c r="L322">
        <v>3</v>
      </c>
      <c r="M322" s="1">
        <f>Table1[[#This Row],[Unit Price]]*Table1[[#This Row],[Quantity]]</f>
        <v>60</v>
      </c>
      <c r="N322" s="2">
        <v>0.09</v>
      </c>
      <c r="O322" s="1">
        <f>Table1[[#This Row],[Gross Value]]*(1-Table1[[#This Row],[Discount]])</f>
        <v>54.6</v>
      </c>
      <c r="P322" s="2">
        <v>0.2</v>
      </c>
      <c r="Q322" s="1">
        <f>Table1[[#This Row],[Revenue]]*Table1[[#This Row],[VAT Rate]]</f>
        <v>10.920000000000002</v>
      </c>
      <c r="R322" s="1">
        <f>Table1[[#This Row],[Revenue]]+Table1[[#This Row],[VAT Charged]]</f>
        <v>65.52000000000001</v>
      </c>
      <c r="S322" s="1" cm="1">
        <f t="array" ref="S322">_xlfn.SWITCH(Table1[[#This Row],[Product ID]],"P001",140,"P002",80,"P003",72,"P004",30,"P005",110,"P006",24,"P007",14,"P008",12,"P009",115,"P010",360)</f>
        <v>12</v>
      </c>
      <c r="T322" s="1" cm="1">
        <f t="array" ref="T322">(_xlfn.SWITCH(Table1[[#This Row],[Product ID]],"P001",140,"P002",80,"P003",72,"P004",30,"P005",110,"P006",24,"P007",14,"P008",12,"P009",115,"P010",360))*Table1[[#This Row],[Quantity]]</f>
        <v>36</v>
      </c>
      <c r="U322" s="1" cm="1">
        <f t="array" ref="U322">_xlfn.SWITCH(Table1[[#This Row],[Product ID]],"P001",15,"P002",0,"P003",8,"P004",8,"P005",0,"P006",7,"P007",7,"P008",6,"P009",45,"P010",60)</f>
        <v>6</v>
      </c>
      <c r="V322" s="1">
        <f>Table1[[#This Row],[Shipping per Unit]]*Table1[[#This Row],[Quantity]]</f>
        <v>18</v>
      </c>
      <c r="W322" s="2">
        <f>IF(Table1[[#This Row],[Total Shipping]]&gt;0.1,0.2,0)</f>
        <v>0.2</v>
      </c>
      <c r="X322" s="4">
        <f>Table1[[#This Row],[Total Shipping]]*Table1[[#This Row],[VAT on Shipping]]</f>
        <v>3.6</v>
      </c>
      <c r="Y322" s="1">
        <f>Table1[[#This Row],[Revenue]]-Table1[[#This Row],[COGS]]</f>
        <v>18.600000000000001</v>
      </c>
      <c r="Z322" s="3">
        <f>(Table1[[#This Row],[Profit]]/Table1[[#This Row],[Revenue]])</f>
        <v>0.34065934065934067</v>
      </c>
      <c r="AA322" s="1">
        <f>Table1[[#This Row],[Profit]]-Table1[[#This Row],[Total Shipping]]</f>
        <v>0.60000000000000142</v>
      </c>
      <c r="AB322" s="3">
        <f>Table1[[#This Row],[Operating Profit]]/Table1[[#This Row],[Revenue]]</f>
        <v>1.0989010989011014E-2</v>
      </c>
    </row>
    <row r="323" spans="1:28" x14ac:dyDescent="0.25">
      <c r="A323" t="s">
        <v>198</v>
      </c>
      <c r="B323">
        <v>449</v>
      </c>
      <c r="C323" t="s">
        <v>62</v>
      </c>
      <c r="D323" t="s">
        <v>63</v>
      </c>
      <c r="E323" t="s">
        <v>40</v>
      </c>
      <c r="F323" t="s">
        <v>54</v>
      </c>
      <c r="G323" t="str" cm="1">
        <f t="array" ref="G323">_xlfn.SWITCH(F323,"Acme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323" t="s">
        <v>33</v>
      </c>
      <c r="I323" t="s">
        <v>75</v>
      </c>
      <c r="J323" t="str" cm="1">
        <f t="array" ref="J323">_xlfn.SWITCH(I323,"P001","Laptop","P002","Server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323" s="1" cm="1">
        <f t="array" ref="K323">_xlfn.SWITCH(Table1[[#This Row],[Product ID]],"P001",220,"P002",150,"P003",130,"P004",70,"P005",200,"P006",40,"P007",25,"P008",20,"P009",190,"P010",530)</f>
        <v>200</v>
      </c>
      <c r="L323">
        <v>6</v>
      </c>
      <c r="M323" s="1">
        <f>Table1[[#This Row],[Unit Price]]*Table1[[#This Row],[Quantity]]</f>
        <v>1200</v>
      </c>
      <c r="N323" s="2">
        <v>7.0000000000000007E-2</v>
      </c>
      <c r="O323" s="1">
        <f>Table1[[#This Row],[Gross Value]]*(1-Table1[[#This Row],[Discount]])</f>
        <v>1116</v>
      </c>
      <c r="P323" s="2">
        <v>0.2</v>
      </c>
      <c r="Q323" s="1">
        <f>Table1[[#This Row],[Revenue]]*Table1[[#This Row],[VAT Rate]]</f>
        <v>223.20000000000002</v>
      </c>
      <c r="R323" s="1">
        <f>Table1[[#This Row],[Revenue]]+Table1[[#This Row],[VAT Charged]]</f>
        <v>1339.2</v>
      </c>
      <c r="S323" s="1" cm="1">
        <f t="array" ref="S323">_xlfn.SWITCH(Table1[[#This Row],[Product ID]],"P001",140,"P002",80,"P003",72,"P004",30,"P005",110,"P006",24,"P007",14,"P008",12,"P009",115,"P010",360)</f>
        <v>110</v>
      </c>
      <c r="T323" s="1" cm="1">
        <f t="array" ref="T323">(_xlfn.SWITCH(Table1[[#This Row],[Product ID]],"P001",140,"P002",80,"P003",72,"P004",30,"P005",110,"P006",24,"P007",14,"P008",12,"P009",115,"P010",360))*Table1[[#This Row],[Quantity]]</f>
        <v>660</v>
      </c>
      <c r="U323" s="1" cm="1">
        <f t="array" ref="U323">_xlfn.SWITCH(Table1[[#This Row],[Product ID]],"P001",15,"P002",0,"P003",8,"P004",8,"P005",0,"P006",7,"P007",7,"P008",6,"P009",45,"P010",60)</f>
        <v>0</v>
      </c>
      <c r="V323" s="1">
        <f>Table1[[#This Row],[Shipping per Unit]]*Table1[[#This Row],[Quantity]]</f>
        <v>0</v>
      </c>
      <c r="W323" s="2">
        <f>IF(Table1[[#This Row],[Total Shipping]]&gt;0.1,0.2,0)</f>
        <v>0</v>
      </c>
      <c r="X323" s="4">
        <f>Table1[[#This Row],[Total Shipping]]*Table1[[#This Row],[VAT on Shipping]]</f>
        <v>0</v>
      </c>
      <c r="Y323" s="1">
        <f>Table1[[#This Row],[Revenue]]-Table1[[#This Row],[COGS]]</f>
        <v>456</v>
      </c>
      <c r="Z323" s="3">
        <f>(Table1[[#This Row],[Profit]]/Table1[[#This Row],[Revenue]])</f>
        <v>0.40860215053763443</v>
      </c>
      <c r="AA323" s="1">
        <f>Table1[[#This Row],[Profit]]-Table1[[#This Row],[Total Shipping]]</f>
        <v>456</v>
      </c>
      <c r="AB323" s="3">
        <f>Table1[[#This Row],[Operating Profit]]/Table1[[#This Row],[Revenue]]</f>
        <v>0.40860215053763443</v>
      </c>
    </row>
    <row r="324" spans="1:28" x14ac:dyDescent="0.25">
      <c r="A324" t="s">
        <v>198</v>
      </c>
      <c r="B324">
        <v>726</v>
      </c>
      <c r="C324" t="s">
        <v>38</v>
      </c>
      <c r="D324" t="s">
        <v>63</v>
      </c>
      <c r="E324" t="s">
        <v>40</v>
      </c>
      <c r="F324" t="s">
        <v>78</v>
      </c>
      <c r="G324" t="str" cm="1">
        <f t="array" ref="G324">_xlfn.SWITCH(F324,"Acme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324" t="s">
        <v>51</v>
      </c>
      <c r="I324" t="s">
        <v>52</v>
      </c>
      <c r="J324" t="str" cm="1">
        <f t="array" ref="J324">_xlfn.SWITCH(I324,"P001","Laptop","P002","Server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24" s="1" cm="1">
        <f t="array" ref="K324">_xlfn.SWITCH(Table1[[#This Row],[Product ID]],"P001",220,"P002",150,"P003",130,"P004",70,"P005",200,"P006",40,"P007",25,"P008",20,"P009",190,"P010",530)</f>
        <v>130</v>
      </c>
      <c r="L324">
        <v>18</v>
      </c>
      <c r="M324" s="1">
        <f>Table1[[#This Row],[Unit Price]]*Table1[[#This Row],[Quantity]]</f>
        <v>2340</v>
      </c>
      <c r="N324" s="2">
        <v>0.03</v>
      </c>
      <c r="O324" s="1">
        <f>Table1[[#This Row],[Gross Value]]*(1-Table1[[#This Row],[Discount]])</f>
        <v>2269.7999999999997</v>
      </c>
      <c r="P324" s="2">
        <v>0.2</v>
      </c>
      <c r="Q324" s="1">
        <f>Table1[[#This Row],[Revenue]]*Table1[[#This Row],[VAT Rate]]</f>
        <v>453.96</v>
      </c>
      <c r="R324" s="1">
        <f>Table1[[#This Row],[Revenue]]+Table1[[#This Row],[VAT Charged]]</f>
        <v>2723.7599999999998</v>
      </c>
      <c r="S324" s="1" cm="1">
        <f t="array" ref="S324">_xlfn.SWITCH(Table1[[#This Row],[Product ID]],"P001",140,"P002",80,"P003",72,"P004",30,"P005",110,"P006",24,"P007",14,"P008",12,"P009",115,"P010",360)</f>
        <v>72</v>
      </c>
      <c r="T324" s="1" cm="1">
        <f t="array" ref="T324">(_xlfn.SWITCH(Table1[[#This Row],[Product ID]],"P001",140,"P002",80,"P003",72,"P004",30,"P005",110,"P006",24,"P007",14,"P008",12,"P009",115,"P010",360))*Table1[[#This Row],[Quantity]]</f>
        <v>1296</v>
      </c>
      <c r="U324" s="1" cm="1">
        <f t="array" ref="U324">_xlfn.SWITCH(Table1[[#This Row],[Product ID]],"P001",15,"P002",0,"P003",8,"P004",8,"P005",0,"P006",7,"P007",7,"P008",6,"P009",45,"P010",60)</f>
        <v>8</v>
      </c>
      <c r="V324" s="1">
        <f>Table1[[#This Row],[Shipping per Unit]]*Table1[[#This Row],[Quantity]]</f>
        <v>144</v>
      </c>
      <c r="W324" s="2">
        <f>IF(Table1[[#This Row],[Total Shipping]]&gt;0.1,0.2,0)</f>
        <v>0.2</v>
      </c>
      <c r="X324" s="4">
        <f>Table1[[#This Row],[Total Shipping]]*Table1[[#This Row],[VAT on Shipping]]</f>
        <v>28.8</v>
      </c>
      <c r="Y324" s="1">
        <f>Table1[[#This Row],[Revenue]]-Table1[[#This Row],[COGS]]</f>
        <v>973.79999999999973</v>
      </c>
      <c r="Z324" s="3">
        <f>(Table1[[#This Row],[Profit]]/Table1[[#This Row],[Revenue]])</f>
        <v>0.42902458366375884</v>
      </c>
      <c r="AA324" s="1">
        <f>Table1[[#This Row],[Profit]]-Table1[[#This Row],[Total Shipping]]</f>
        <v>829.79999999999973</v>
      </c>
      <c r="AB324" s="3">
        <f>Table1[[#This Row],[Operating Profit]]/Table1[[#This Row],[Revenue]]</f>
        <v>0.36558287073750984</v>
      </c>
    </row>
    <row r="325" spans="1:28" x14ac:dyDescent="0.25">
      <c r="A325" t="s">
        <v>199</v>
      </c>
      <c r="B325">
        <v>352</v>
      </c>
      <c r="C325" t="s">
        <v>62</v>
      </c>
      <c r="D325" t="s">
        <v>57</v>
      </c>
      <c r="E325" t="s">
        <v>49</v>
      </c>
      <c r="F325" t="s">
        <v>66</v>
      </c>
      <c r="G325" t="str" cm="1">
        <f t="array" ref="G325">_xlfn.SWITCH(F325,"Acme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325" t="s">
        <v>45</v>
      </c>
      <c r="I325" t="s">
        <v>52</v>
      </c>
      <c r="J325" t="str" cm="1">
        <f t="array" ref="J325">_xlfn.SWITCH(I325,"P001","Laptop","P002","Server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25" s="1" cm="1">
        <f t="array" ref="K325">_xlfn.SWITCH(Table1[[#This Row],[Product ID]],"P001",220,"P002",150,"P003",130,"P004",70,"P005",200,"P006",40,"P007",25,"P008",20,"P009",190,"P010",530)</f>
        <v>130</v>
      </c>
      <c r="L325">
        <v>6</v>
      </c>
      <c r="M325" s="1">
        <f>Table1[[#This Row],[Unit Price]]*Table1[[#This Row],[Quantity]]</f>
        <v>780</v>
      </c>
      <c r="N325" s="2">
        <v>0.02</v>
      </c>
      <c r="O325" s="1">
        <f>Table1[[#This Row],[Gross Value]]*(1-Table1[[#This Row],[Discount]])</f>
        <v>764.4</v>
      </c>
      <c r="P325" s="2">
        <v>0.2</v>
      </c>
      <c r="Q325" s="1">
        <f>Table1[[#This Row],[Revenue]]*Table1[[#This Row],[VAT Rate]]</f>
        <v>152.88</v>
      </c>
      <c r="R325" s="1">
        <f>Table1[[#This Row],[Revenue]]+Table1[[#This Row],[VAT Charged]]</f>
        <v>917.28</v>
      </c>
      <c r="S325" s="1" cm="1">
        <f t="array" ref="S325">_xlfn.SWITCH(Table1[[#This Row],[Product ID]],"P001",140,"P002",80,"P003",72,"P004",30,"P005",110,"P006",24,"P007",14,"P008",12,"P009",115,"P010",360)</f>
        <v>72</v>
      </c>
      <c r="T325" s="1" cm="1">
        <f t="array" ref="T325">(_xlfn.SWITCH(Table1[[#This Row],[Product ID]],"P001",140,"P002",80,"P003",72,"P004",30,"P005",110,"P006",24,"P007",14,"P008",12,"P009",115,"P010",360))*Table1[[#This Row],[Quantity]]</f>
        <v>432</v>
      </c>
      <c r="U325" s="1" cm="1">
        <f t="array" ref="U325">_xlfn.SWITCH(Table1[[#This Row],[Product ID]],"P001",15,"P002",0,"P003",8,"P004",8,"P005",0,"P006",7,"P007",7,"P008",6,"P009",45,"P010",60)</f>
        <v>8</v>
      </c>
      <c r="V325" s="1">
        <f>Table1[[#This Row],[Shipping per Unit]]*Table1[[#This Row],[Quantity]]</f>
        <v>48</v>
      </c>
      <c r="W325" s="2">
        <f>IF(Table1[[#This Row],[Total Shipping]]&gt;0.1,0.2,0)</f>
        <v>0.2</v>
      </c>
      <c r="X325" s="4">
        <f>Table1[[#This Row],[Total Shipping]]*Table1[[#This Row],[VAT on Shipping]]</f>
        <v>9.6000000000000014</v>
      </c>
      <c r="Y325" s="1">
        <f>Table1[[#This Row],[Revenue]]-Table1[[#This Row],[COGS]]</f>
        <v>332.4</v>
      </c>
      <c r="Z325" s="3">
        <f>(Table1[[#This Row],[Profit]]/Table1[[#This Row],[Revenue]])</f>
        <v>0.43485086342229196</v>
      </c>
      <c r="AA325" s="1">
        <f>Table1[[#This Row],[Profit]]-Table1[[#This Row],[Total Shipping]]</f>
        <v>284.39999999999998</v>
      </c>
      <c r="AB325" s="3">
        <f>Table1[[#This Row],[Operating Profit]]/Table1[[#This Row],[Revenue]]</f>
        <v>0.37205651491365777</v>
      </c>
    </row>
    <row r="326" spans="1:28" x14ac:dyDescent="0.25">
      <c r="A326" t="s">
        <v>199</v>
      </c>
      <c r="B326">
        <v>435</v>
      </c>
      <c r="C326" t="s">
        <v>35</v>
      </c>
      <c r="D326" t="s">
        <v>63</v>
      </c>
      <c r="E326" t="s">
        <v>40</v>
      </c>
      <c r="F326" t="s">
        <v>41</v>
      </c>
      <c r="G326" t="str" cm="1">
        <f t="array" ref="G326">_xlfn.SWITCH(F326,"Acme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326" t="s">
        <v>58</v>
      </c>
      <c r="I326" t="s">
        <v>60</v>
      </c>
      <c r="J326" t="str" cm="1">
        <f t="array" ref="J326">_xlfn.SWITCH(I326,"P001","Laptop","P002","Server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26" s="1" cm="1">
        <f t="array" ref="K326">_xlfn.SWITCH(Table1[[#This Row],[Product ID]],"P001",220,"P002",150,"P003",130,"P004",70,"P005",200,"P006",40,"P007",25,"P008",20,"P009",190,"P010",530)</f>
        <v>25</v>
      </c>
      <c r="L326">
        <v>3</v>
      </c>
      <c r="M326" s="1">
        <f>Table1[[#This Row],[Unit Price]]*Table1[[#This Row],[Quantity]]</f>
        <v>75</v>
      </c>
      <c r="N326" s="2">
        <v>0.02</v>
      </c>
      <c r="O326" s="1">
        <f>Table1[[#This Row],[Gross Value]]*(1-Table1[[#This Row],[Discount]])</f>
        <v>73.5</v>
      </c>
      <c r="P326" s="2">
        <v>0.2</v>
      </c>
      <c r="Q326" s="1">
        <f>Table1[[#This Row],[Revenue]]*Table1[[#This Row],[VAT Rate]]</f>
        <v>14.700000000000001</v>
      </c>
      <c r="R326" s="1">
        <f>Table1[[#This Row],[Revenue]]+Table1[[#This Row],[VAT Charged]]</f>
        <v>88.2</v>
      </c>
      <c r="S326" s="1" cm="1">
        <f t="array" ref="S326">_xlfn.SWITCH(Table1[[#This Row],[Product ID]],"P001",140,"P002",80,"P003",72,"P004",30,"P005",110,"P006",24,"P007",14,"P008",12,"P009",115,"P010",360)</f>
        <v>14</v>
      </c>
      <c r="T326" s="1" cm="1">
        <f t="array" ref="T326">(_xlfn.SWITCH(Table1[[#This Row],[Product ID]],"P001",140,"P002",80,"P003",72,"P004",30,"P005",110,"P006",24,"P007",14,"P008",12,"P009",115,"P010",360))*Table1[[#This Row],[Quantity]]</f>
        <v>42</v>
      </c>
      <c r="U326" s="1" cm="1">
        <f t="array" ref="U326">_xlfn.SWITCH(Table1[[#This Row],[Product ID]],"P001",15,"P002",0,"P003",8,"P004",8,"P005",0,"P006",7,"P007",7,"P008",6,"P009",45,"P010",60)</f>
        <v>7</v>
      </c>
      <c r="V326" s="1">
        <f>Table1[[#This Row],[Shipping per Unit]]*Table1[[#This Row],[Quantity]]</f>
        <v>21</v>
      </c>
      <c r="W326" s="2">
        <f>IF(Table1[[#This Row],[Total Shipping]]&gt;0.1,0.2,0)</f>
        <v>0.2</v>
      </c>
      <c r="X326" s="4">
        <f>Table1[[#This Row],[Total Shipping]]*Table1[[#This Row],[VAT on Shipping]]</f>
        <v>4.2</v>
      </c>
      <c r="Y326" s="1">
        <f>Table1[[#This Row],[Revenue]]-Table1[[#This Row],[COGS]]</f>
        <v>31.5</v>
      </c>
      <c r="Z326" s="3">
        <f>(Table1[[#This Row],[Profit]]/Table1[[#This Row],[Revenue]])</f>
        <v>0.42857142857142855</v>
      </c>
      <c r="AA326" s="1">
        <f>Table1[[#This Row],[Profit]]-Table1[[#This Row],[Total Shipping]]</f>
        <v>10.5</v>
      </c>
      <c r="AB326" s="3">
        <f>Table1[[#This Row],[Operating Profit]]/Table1[[#This Row],[Revenue]]</f>
        <v>0.14285714285714285</v>
      </c>
    </row>
    <row r="327" spans="1:28" x14ac:dyDescent="0.25">
      <c r="A327" t="s">
        <v>199</v>
      </c>
      <c r="B327">
        <v>827</v>
      </c>
      <c r="C327" t="s">
        <v>83</v>
      </c>
      <c r="D327" t="s">
        <v>67</v>
      </c>
      <c r="E327" t="s">
        <v>40</v>
      </c>
      <c r="F327" t="s">
        <v>90</v>
      </c>
      <c r="G327" t="str" cm="1">
        <f t="array" ref="G327">_xlfn.SWITCH(F327,"Acme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327" t="s">
        <v>69</v>
      </c>
      <c r="I327" t="s">
        <v>42</v>
      </c>
      <c r="J327" t="str" cm="1">
        <f t="array" ref="J327">_xlfn.SWITCH(I327,"P001","Laptop","P002","Server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27" s="1" cm="1">
        <f t="array" ref="K327">_xlfn.SWITCH(Table1[[#This Row],[Product ID]],"P001",220,"P002",150,"P003",130,"P004",70,"P005",200,"P006",40,"P007",25,"P008",20,"P009",190,"P010",530)</f>
        <v>40</v>
      </c>
      <c r="L327">
        <v>18</v>
      </c>
      <c r="M327" s="1">
        <f>Table1[[#This Row],[Unit Price]]*Table1[[#This Row],[Quantity]]</f>
        <v>720</v>
      </c>
      <c r="N327" s="2">
        <v>0.05</v>
      </c>
      <c r="O327" s="1">
        <f>Table1[[#This Row],[Gross Value]]*(1-Table1[[#This Row],[Discount]])</f>
        <v>684</v>
      </c>
      <c r="P327" s="2">
        <v>0.2</v>
      </c>
      <c r="Q327" s="1">
        <f>Table1[[#This Row],[Revenue]]*Table1[[#This Row],[VAT Rate]]</f>
        <v>136.80000000000001</v>
      </c>
      <c r="R327" s="1">
        <f>Table1[[#This Row],[Revenue]]+Table1[[#This Row],[VAT Charged]]</f>
        <v>820.8</v>
      </c>
      <c r="S327" s="1" cm="1">
        <f t="array" ref="S327">_xlfn.SWITCH(Table1[[#This Row],[Product ID]],"P001",140,"P002",80,"P003",72,"P004",30,"P005",110,"P006",24,"P007",14,"P008",12,"P009",115,"P010",360)</f>
        <v>24</v>
      </c>
      <c r="T327" s="1" cm="1">
        <f t="array" ref="T327">(_xlfn.SWITCH(Table1[[#This Row],[Product ID]],"P001",140,"P002",80,"P003",72,"P004",30,"P005",110,"P006",24,"P007",14,"P008",12,"P009",115,"P010",360))*Table1[[#This Row],[Quantity]]</f>
        <v>432</v>
      </c>
      <c r="U327" s="1" cm="1">
        <f t="array" ref="U327">_xlfn.SWITCH(Table1[[#This Row],[Product ID]],"P001",15,"P002",0,"P003",8,"P004",8,"P005",0,"P006",7,"P007",7,"P008",6,"P009",45,"P010",60)</f>
        <v>7</v>
      </c>
      <c r="V327" s="1">
        <f>Table1[[#This Row],[Shipping per Unit]]*Table1[[#This Row],[Quantity]]</f>
        <v>126</v>
      </c>
      <c r="W327" s="2">
        <f>IF(Table1[[#This Row],[Total Shipping]]&gt;0.1,0.2,0)</f>
        <v>0.2</v>
      </c>
      <c r="X327" s="4">
        <f>Table1[[#This Row],[Total Shipping]]*Table1[[#This Row],[VAT on Shipping]]</f>
        <v>25.200000000000003</v>
      </c>
      <c r="Y327" s="1">
        <f>Table1[[#This Row],[Revenue]]-Table1[[#This Row],[COGS]]</f>
        <v>252</v>
      </c>
      <c r="Z327" s="3">
        <f>(Table1[[#This Row],[Profit]]/Table1[[#This Row],[Revenue]])</f>
        <v>0.36842105263157893</v>
      </c>
      <c r="AA327" s="1">
        <f>Table1[[#This Row],[Profit]]-Table1[[#This Row],[Total Shipping]]</f>
        <v>126</v>
      </c>
      <c r="AB327" s="3">
        <f>Table1[[#This Row],[Operating Profit]]/Table1[[#This Row],[Revenue]]</f>
        <v>0.18421052631578946</v>
      </c>
    </row>
    <row r="328" spans="1:28" x14ac:dyDescent="0.25">
      <c r="A328" t="s">
        <v>200</v>
      </c>
      <c r="B328">
        <v>242</v>
      </c>
      <c r="C328" t="s">
        <v>38</v>
      </c>
      <c r="D328" t="s">
        <v>95</v>
      </c>
      <c r="E328" t="s">
        <v>49</v>
      </c>
      <c r="F328" t="s">
        <v>113</v>
      </c>
      <c r="G328" t="str" cm="1">
        <f t="array" ref="G328">_xlfn.SWITCH(F328,"Acme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328" t="s">
        <v>58</v>
      </c>
      <c r="I328" t="s">
        <v>34</v>
      </c>
      <c r="J328" t="str" cm="1">
        <f t="array" ref="J328">_xlfn.SWITCH(I328,"P001","Laptop","P002","Server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28" s="1" cm="1">
        <f t="array" ref="K328">_xlfn.SWITCH(Table1[[#This Row],[Product ID]],"P001",220,"P002",150,"P003",130,"P004",70,"P005",200,"P006",40,"P007",25,"P008",20,"P009",190,"P010",530)</f>
        <v>20</v>
      </c>
      <c r="L328">
        <v>6</v>
      </c>
      <c r="M328" s="1">
        <f>Table1[[#This Row],[Unit Price]]*Table1[[#This Row],[Quantity]]</f>
        <v>120</v>
      </c>
      <c r="N328" s="2">
        <v>0.1</v>
      </c>
      <c r="O328" s="1">
        <f>Table1[[#This Row],[Gross Value]]*(1-Table1[[#This Row],[Discount]])</f>
        <v>108</v>
      </c>
      <c r="P328" s="2">
        <v>0.2</v>
      </c>
      <c r="Q328" s="1">
        <f>Table1[[#This Row],[Revenue]]*Table1[[#This Row],[VAT Rate]]</f>
        <v>21.6</v>
      </c>
      <c r="R328" s="1">
        <f>Table1[[#This Row],[Revenue]]+Table1[[#This Row],[VAT Charged]]</f>
        <v>129.6</v>
      </c>
      <c r="S328" s="1" cm="1">
        <f t="array" ref="S328">_xlfn.SWITCH(Table1[[#This Row],[Product ID]],"P001",140,"P002",80,"P003",72,"P004",30,"P005",110,"P006",24,"P007",14,"P008",12,"P009",115,"P010",360)</f>
        <v>12</v>
      </c>
      <c r="T328" s="1" cm="1">
        <f t="array" ref="T328">(_xlfn.SWITCH(Table1[[#This Row],[Product ID]],"P001",140,"P002",80,"P003",72,"P004",30,"P005",110,"P006",24,"P007",14,"P008",12,"P009",115,"P010",360))*Table1[[#This Row],[Quantity]]</f>
        <v>72</v>
      </c>
      <c r="U328" s="1" cm="1">
        <f t="array" ref="U328">_xlfn.SWITCH(Table1[[#This Row],[Product ID]],"P001",15,"P002",0,"P003",8,"P004",8,"P005",0,"P006",7,"P007",7,"P008",6,"P009",45,"P010",60)</f>
        <v>6</v>
      </c>
      <c r="V328" s="1">
        <f>Table1[[#This Row],[Shipping per Unit]]*Table1[[#This Row],[Quantity]]</f>
        <v>36</v>
      </c>
      <c r="W328" s="2">
        <f>IF(Table1[[#This Row],[Total Shipping]]&gt;0.1,0.2,0)</f>
        <v>0.2</v>
      </c>
      <c r="X328" s="4">
        <f>Table1[[#This Row],[Total Shipping]]*Table1[[#This Row],[VAT on Shipping]]</f>
        <v>7.2</v>
      </c>
      <c r="Y328" s="1">
        <f>Table1[[#This Row],[Revenue]]-Table1[[#This Row],[COGS]]</f>
        <v>36</v>
      </c>
      <c r="Z328" s="3">
        <f>(Table1[[#This Row],[Profit]]/Table1[[#This Row],[Revenue]])</f>
        <v>0.33333333333333331</v>
      </c>
      <c r="AA328" s="1">
        <f>Table1[[#This Row],[Profit]]-Table1[[#This Row],[Total Shipping]]</f>
        <v>0</v>
      </c>
      <c r="AB328" s="3">
        <f>Table1[[#This Row],[Operating Profit]]/Table1[[#This Row],[Revenue]]</f>
        <v>0</v>
      </c>
    </row>
    <row r="329" spans="1:28" x14ac:dyDescent="0.25">
      <c r="A329" t="s">
        <v>200</v>
      </c>
      <c r="B329">
        <v>664</v>
      </c>
      <c r="C329" t="s">
        <v>56</v>
      </c>
      <c r="D329" t="s">
        <v>63</v>
      </c>
      <c r="E329" t="s">
        <v>40</v>
      </c>
      <c r="F329" t="s">
        <v>41</v>
      </c>
      <c r="G329" t="str" cm="1">
        <f t="array" ref="G329">_xlfn.SWITCH(F329,"Acme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329" t="s">
        <v>33</v>
      </c>
      <c r="I329" t="s">
        <v>55</v>
      </c>
      <c r="J329" t="str" cm="1">
        <f t="array" ref="J329">_xlfn.SWITCH(I329,"P001","Laptop","P002","Server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29" s="1" cm="1">
        <f t="array" ref="K329">_xlfn.SWITCH(Table1[[#This Row],[Product ID]],"P001",220,"P002",150,"P003",130,"P004",70,"P005",200,"P006",40,"P007",25,"P008",20,"P009",190,"P010",530)</f>
        <v>70</v>
      </c>
      <c r="L329">
        <v>9</v>
      </c>
      <c r="M329" s="1">
        <f>Table1[[#This Row],[Unit Price]]*Table1[[#This Row],[Quantity]]</f>
        <v>630</v>
      </c>
      <c r="N329" s="2">
        <v>0.03</v>
      </c>
      <c r="O329" s="1">
        <f>Table1[[#This Row],[Gross Value]]*(1-Table1[[#This Row],[Discount]])</f>
        <v>611.1</v>
      </c>
      <c r="P329" s="2">
        <v>0.2</v>
      </c>
      <c r="Q329" s="1">
        <f>Table1[[#This Row],[Revenue]]*Table1[[#This Row],[VAT Rate]]</f>
        <v>122.22000000000001</v>
      </c>
      <c r="R329" s="1">
        <f>Table1[[#This Row],[Revenue]]+Table1[[#This Row],[VAT Charged]]</f>
        <v>733.32</v>
      </c>
      <c r="S329" s="1" cm="1">
        <f t="array" ref="S329">_xlfn.SWITCH(Table1[[#This Row],[Product ID]],"P001",140,"P002",80,"P003",72,"P004",30,"P005",110,"P006",24,"P007",14,"P008",12,"P009",115,"P010",360)</f>
        <v>30</v>
      </c>
      <c r="T329" s="1" cm="1">
        <f t="array" ref="T329">(_xlfn.SWITCH(Table1[[#This Row],[Product ID]],"P001",140,"P002",80,"P003",72,"P004",30,"P005",110,"P006",24,"P007",14,"P008",12,"P009",115,"P010",360))*Table1[[#This Row],[Quantity]]</f>
        <v>270</v>
      </c>
      <c r="U329" s="1" cm="1">
        <f t="array" ref="U329">_xlfn.SWITCH(Table1[[#This Row],[Product ID]],"P001",15,"P002",0,"P003",8,"P004",8,"P005",0,"P006",7,"P007",7,"P008",6,"P009",45,"P010",60)</f>
        <v>8</v>
      </c>
      <c r="V329" s="1">
        <f>Table1[[#This Row],[Shipping per Unit]]*Table1[[#This Row],[Quantity]]</f>
        <v>72</v>
      </c>
      <c r="W329" s="2">
        <f>IF(Table1[[#This Row],[Total Shipping]]&gt;0.1,0.2,0)</f>
        <v>0.2</v>
      </c>
      <c r="X329" s="4">
        <f>Table1[[#This Row],[Total Shipping]]*Table1[[#This Row],[VAT on Shipping]]</f>
        <v>14.4</v>
      </c>
      <c r="Y329" s="1">
        <f>Table1[[#This Row],[Revenue]]-Table1[[#This Row],[COGS]]</f>
        <v>341.1</v>
      </c>
      <c r="Z329" s="3">
        <f>(Table1[[#This Row],[Profit]]/Table1[[#This Row],[Revenue]])</f>
        <v>0.5581737849779087</v>
      </c>
      <c r="AA329" s="1">
        <f>Table1[[#This Row],[Profit]]-Table1[[#This Row],[Total Shipping]]</f>
        <v>269.10000000000002</v>
      </c>
      <c r="AB329" s="3">
        <f>Table1[[#This Row],[Operating Profit]]/Table1[[#This Row],[Revenue]]</f>
        <v>0.44035346097201772</v>
      </c>
    </row>
    <row r="330" spans="1:28" x14ac:dyDescent="0.25">
      <c r="A330" t="s">
        <v>201</v>
      </c>
      <c r="B330">
        <v>212</v>
      </c>
      <c r="C330" t="s">
        <v>29</v>
      </c>
      <c r="D330" t="s">
        <v>95</v>
      </c>
      <c r="E330" t="s">
        <v>31</v>
      </c>
      <c r="F330" t="s">
        <v>87</v>
      </c>
      <c r="G330" t="str" cm="1">
        <f t="array" ref="G330">_xlfn.SWITCH(F330,"Acme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330" t="s">
        <v>33</v>
      </c>
      <c r="I330" t="s">
        <v>60</v>
      </c>
      <c r="J330" t="str" cm="1">
        <f t="array" ref="J330">_xlfn.SWITCH(I330,"P001","Laptop","P002","Server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30" s="1" cm="1">
        <f t="array" ref="K330">_xlfn.SWITCH(Table1[[#This Row],[Product ID]],"P001",220,"P002",150,"P003",130,"P004",70,"P005",200,"P006",40,"P007",25,"P008",20,"P009",190,"P010",530)</f>
        <v>25</v>
      </c>
      <c r="L330">
        <v>16</v>
      </c>
      <c r="M330" s="1">
        <f>Table1[[#This Row],[Unit Price]]*Table1[[#This Row],[Quantity]]</f>
        <v>400</v>
      </c>
      <c r="N330" s="2">
        <v>0.04</v>
      </c>
      <c r="O330" s="1">
        <f>Table1[[#This Row],[Gross Value]]*(1-Table1[[#This Row],[Discount]])</f>
        <v>384</v>
      </c>
      <c r="P330" s="2">
        <v>0.2</v>
      </c>
      <c r="Q330" s="1">
        <f>Table1[[#This Row],[Revenue]]*Table1[[#This Row],[VAT Rate]]</f>
        <v>76.800000000000011</v>
      </c>
      <c r="R330" s="1">
        <f>Table1[[#This Row],[Revenue]]+Table1[[#This Row],[VAT Charged]]</f>
        <v>460.8</v>
      </c>
      <c r="S330" s="1" cm="1">
        <f t="array" ref="S330">_xlfn.SWITCH(Table1[[#This Row],[Product ID]],"P001",140,"P002",80,"P003",72,"P004",30,"P005",110,"P006",24,"P007",14,"P008",12,"P009",115,"P010",360)</f>
        <v>14</v>
      </c>
      <c r="T330" s="1" cm="1">
        <f t="array" ref="T330">(_xlfn.SWITCH(Table1[[#This Row],[Product ID]],"P001",140,"P002",80,"P003",72,"P004",30,"P005",110,"P006",24,"P007",14,"P008",12,"P009",115,"P010",360))*Table1[[#This Row],[Quantity]]</f>
        <v>224</v>
      </c>
      <c r="U330" s="1" cm="1">
        <f t="array" ref="U330">_xlfn.SWITCH(Table1[[#This Row],[Product ID]],"P001",15,"P002",0,"P003",8,"P004",8,"P005",0,"P006",7,"P007",7,"P008",6,"P009",45,"P010",60)</f>
        <v>7</v>
      </c>
      <c r="V330" s="1">
        <f>Table1[[#This Row],[Shipping per Unit]]*Table1[[#This Row],[Quantity]]</f>
        <v>112</v>
      </c>
      <c r="W330" s="2">
        <f>IF(Table1[[#This Row],[Total Shipping]]&gt;0.1,0.2,0)</f>
        <v>0.2</v>
      </c>
      <c r="X330" s="4">
        <f>Table1[[#This Row],[Total Shipping]]*Table1[[#This Row],[VAT on Shipping]]</f>
        <v>22.400000000000002</v>
      </c>
      <c r="Y330" s="1">
        <f>Table1[[#This Row],[Revenue]]-Table1[[#This Row],[COGS]]</f>
        <v>160</v>
      </c>
      <c r="Z330" s="3">
        <f>(Table1[[#This Row],[Profit]]/Table1[[#This Row],[Revenue]])</f>
        <v>0.41666666666666669</v>
      </c>
      <c r="AA330" s="1">
        <f>Table1[[#This Row],[Profit]]-Table1[[#This Row],[Total Shipping]]</f>
        <v>48</v>
      </c>
      <c r="AB330" s="3">
        <f>Table1[[#This Row],[Operating Profit]]/Table1[[#This Row],[Revenue]]</f>
        <v>0.125</v>
      </c>
    </row>
    <row r="331" spans="1:28" x14ac:dyDescent="0.25">
      <c r="A331" t="s">
        <v>201</v>
      </c>
      <c r="B331">
        <v>883</v>
      </c>
      <c r="C331" t="s">
        <v>29</v>
      </c>
      <c r="D331" t="s">
        <v>67</v>
      </c>
      <c r="E331" t="s">
        <v>49</v>
      </c>
      <c r="F331" t="s">
        <v>86</v>
      </c>
      <c r="G331" t="str" cm="1">
        <f t="array" ref="G331">_xlfn.SWITCH(F331,"Acme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31" t="s">
        <v>104</v>
      </c>
      <c r="I331" t="s">
        <v>70</v>
      </c>
      <c r="J331" t="str" cm="1">
        <f t="array" ref="J331">_xlfn.SWITCH(I331,"P001","Laptop","P002","Server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31" s="1" cm="1">
        <f t="array" ref="K331">_xlfn.SWITCH(Table1[[#This Row],[Product ID]],"P001",220,"P002",150,"P003",130,"P004",70,"P005",200,"P006",40,"P007",25,"P008",20,"P009",190,"P010",530)</f>
        <v>150</v>
      </c>
      <c r="L331">
        <v>2</v>
      </c>
      <c r="M331" s="1">
        <f>Table1[[#This Row],[Unit Price]]*Table1[[#This Row],[Quantity]]</f>
        <v>300</v>
      </c>
      <c r="N331" s="2">
        <v>7.0000000000000007E-2</v>
      </c>
      <c r="O331" s="1">
        <f>Table1[[#This Row],[Gross Value]]*(1-Table1[[#This Row],[Discount]])</f>
        <v>279</v>
      </c>
      <c r="P331" s="2">
        <v>0.2</v>
      </c>
      <c r="Q331" s="1">
        <f>Table1[[#This Row],[Revenue]]*Table1[[#This Row],[VAT Rate]]</f>
        <v>55.800000000000004</v>
      </c>
      <c r="R331" s="1">
        <f>Table1[[#This Row],[Revenue]]+Table1[[#This Row],[VAT Charged]]</f>
        <v>334.8</v>
      </c>
      <c r="S331" s="1" cm="1">
        <f t="array" ref="S331">_xlfn.SWITCH(Table1[[#This Row],[Product ID]],"P001",140,"P002",80,"P003",72,"P004",30,"P005",110,"P006",24,"P007",14,"P008",12,"P009",115,"P010",360)</f>
        <v>80</v>
      </c>
      <c r="T331" s="1" cm="1">
        <f t="array" ref="T331">(_xlfn.SWITCH(Table1[[#This Row],[Product ID]],"P001",140,"P002",80,"P003",72,"P004",30,"P005",110,"P006",24,"P007",14,"P008",12,"P009",115,"P010",360))*Table1[[#This Row],[Quantity]]</f>
        <v>160</v>
      </c>
      <c r="U331" s="1" cm="1">
        <f t="array" ref="U331">_xlfn.SWITCH(Table1[[#This Row],[Product ID]],"P001",15,"P002",0,"P003",8,"P004",8,"P005",0,"P006",7,"P007",7,"P008",6,"P009",45,"P010",60)</f>
        <v>0</v>
      </c>
      <c r="V331" s="1">
        <f>Table1[[#This Row],[Shipping per Unit]]*Table1[[#This Row],[Quantity]]</f>
        <v>0</v>
      </c>
      <c r="W331" s="2">
        <f>IF(Table1[[#This Row],[Total Shipping]]&gt;0.1,0.2,0)</f>
        <v>0</v>
      </c>
      <c r="X331" s="4">
        <f>Table1[[#This Row],[Total Shipping]]*Table1[[#This Row],[VAT on Shipping]]</f>
        <v>0</v>
      </c>
      <c r="Y331" s="1">
        <f>Table1[[#This Row],[Revenue]]-Table1[[#This Row],[COGS]]</f>
        <v>119</v>
      </c>
      <c r="Z331" s="3">
        <f>(Table1[[#This Row],[Profit]]/Table1[[#This Row],[Revenue]])</f>
        <v>0.4265232974910394</v>
      </c>
      <c r="AA331" s="1">
        <f>Table1[[#This Row],[Profit]]-Table1[[#This Row],[Total Shipping]]</f>
        <v>119</v>
      </c>
      <c r="AB331" s="3">
        <f>Table1[[#This Row],[Operating Profit]]/Table1[[#This Row],[Revenue]]</f>
        <v>0.4265232974910394</v>
      </c>
    </row>
    <row r="332" spans="1:28" x14ac:dyDescent="0.25">
      <c r="A332" t="s">
        <v>201</v>
      </c>
      <c r="B332">
        <v>896</v>
      </c>
      <c r="C332" t="s">
        <v>35</v>
      </c>
      <c r="D332" t="s">
        <v>30</v>
      </c>
      <c r="E332" t="s">
        <v>49</v>
      </c>
      <c r="F332" t="s">
        <v>119</v>
      </c>
      <c r="G332" t="str" cm="1">
        <f t="array" ref="G332">_xlfn.SWITCH(F332,"Acme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332" t="s">
        <v>45</v>
      </c>
      <c r="I332" t="s">
        <v>68</v>
      </c>
      <c r="J332" t="str" cm="1">
        <f t="array" ref="J332">_xlfn.SWITCH(I332,"P001","Laptop","P002","Server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32" s="1" cm="1">
        <f t="array" ref="K332">_xlfn.SWITCH(Table1[[#This Row],[Product ID]],"P001",220,"P002",150,"P003",130,"P004",70,"P005",200,"P006",40,"P007",25,"P008",20,"P009",190,"P010",530)</f>
        <v>220</v>
      </c>
      <c r="L332">
        <v>6</v>
      </c>
      <c r="M332" s="1">
        <f>Table1[[#This Row],[Unit Price]]*Table1[[#This Row],[Quantity]]</f>
        <v>1320</v>
      </c>
      <c r="N332" s="2">
        <v>0.05</v>
      </c>
      <c r="O332" s="1">
        <f>Table1[[#This Row],[Gross Value]]*(1-Table1[[#This Row],[Discount]])</f>
        <v>1254</v>
      </c>
      <c r="P332" s="2">
        <v>0.2</v>
      </c>
      <c r="Q332" s="1">
        <f>Table1[[#This Row],[Revenue]]*Table1[[#This Row],[VAT Rate]]</f>
        <v>250.8</v>
      </c>
      <c r="R332" s="1">
        <f>Table1[[#This Row],[Revenue]]+Table1[[#This Row],[VAT Charged]]</f>
        <v>1504.8</v>
      </c>
      <c r="S332" s="1" cm="1">
        <f t="array" ref="S332">_xlfn.SWITCH(Table1[[#This Row],[Product ID]],"P001",140,"P002",80,"P003",72,"P004",30,"P005",110,"P006",24,"P007",14,"P008",12,"P009",115,"P010",360)</f>
        <v>140</v>
      </c>
      <c r="T332" s="1" cm="1">
        <f t="array" ref="T332">(_xlfn.SWITCH(Table1[[#This Row],[Product ID]],"P001",140,"P002",80,"P003",72,"P004",30,"P005",110,"P006",24,"P007",14,"P008",12,"P009",115,"P010",360))*Table1[[#This Row],[Quantity]]</f>
        <v>840</v>
      </c>
      <c r="U332" s="1" cm="1">
        <f t="array" ref="U332">_xlfn.SWITCH(Table1[[#This Row],[Product ID]],"P001",15,"P002",0,"P003",8,"P004",8,"P005",0,"P006",7,"P007",7,"P008",6,"P009",45,"P010",60)</f>
        <v>15</v>
      </c>
      <c r="V332" s="1">
        <f>Table1[[#This Row],[Shipping per Unit]]*Table1[[#This Row],[Quantity]]</f>
        <v>90</v>
      </c>
      <c r="W332" s="2">
        <f>IF(Table1[[#This Row],[Total Shipping]]&gt;0.1,0.2,0)</f>
        <v>0.2</v>
      </c>
      <c r="X332" s="4">
        <f>Table1[[#This Row],[Total Shipping]]*Table1[[#This Row],[VAT on Shipping]]</f>
        <v>18</v>
      </c>
      <c r="Y332" s="1">
        <f>Table1[[#This Row],[Revenue]]-Table1[[#This Row],[COGS]]</f>
        <v>414</v>
      </c>
      <c r="Z332" s="3">
        <f>(Table1[[#This Row],[Profit]]/Table1[[#This Row],[Revenue]])</f>
        <v>0.33014354066985646</v>
      </c>
      <c r="AA332" s="1">
        <f>Table1[[#This Row],[Profit]]-Table1[[#This Row],[Total Shipping]]</f>
        <v>324</v>
      </c>
      <c r="AB332" s="3">
        <f>Table1[[#This Row],[Operating Profit]]/Table1[[#This Row],[Revenue]]</f>
        <v>0.25837320574162681</v>
      </c>
    </row>
    <row r="333" spans="1:28" x14ac:dyDescent="0.25">
      <c r="A333" t="s">
        <v>202</v>
      </c>
      <c r="B333">
        <v>195</v>
      </c>
      <c r="C333" t="s">
        <v>56</v>
      </c>
      <c r="D333" t="s">
        <v>67</v>
      </c>
      <c r="E333" t="s">
        <v>49</v>
      </c>
      <c r="F333" t="s">
        <v>126</v>
      </c>
      <c r="G333" t="str" cm="1">
        <f t="array" ref="G333">_xlfn.SWITCH(F333,"Acme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333" t="s">
        <v>33</v>
      </c>
      <c r="I333" t="s">
        <v>91</v>
      </c>
      <c r="J333" t="str" cm="1">
        <f t="array" ref="J333">_xlfn.SWITCH(I333,"P001","Laptop","P002","Server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333" s="1" cm="1">
        <f t="array" ref="K333">_xlfn.SWITCH(Table1[[#This Row],[Product ID]],"P001",220,"P002",150,"P003",130,"P004",70,"P005",200,"P006",40,"P007",25,"P008",20,"P009",190,"P010",530)</f>
        <v>190</v>
      </c>
      <c r="L333">
        <v>7</v>
      </c>
      <c r="M333" s="1">
        <f>Table1[[#This Row],[Unit Price]]*Table1[[#This Row],[Quantity]]</f>
        <v>1330</v>
      </c>
      <c r="N333" s="2">
        <v>0.03</v>
      </c>
      <c r="O333" s="1">
        <f>Table1[[#This Row],[Gross Value]]*(1-Table1[[#This Row],[Discount]])</f>
        <v>1290.0999999999999</v>
      </c>
      <c r="P333" s="2">
        <v>0.2</v>
      </c>
      <c r="Q333" s="1">
        <f>Table1[[#This Row],[Revenue]]*Table1[[#This Row],[VAT Rate]]</f>
        <v>258.02</v>
      </c>
      <c r="R333" s="1">
        <f>Table1[[#This Row],[Revenue]]+Table1[[#This Row],[VAT Charged]]</f>
        <v>1548.12</v>
      </c>
      <c r="S333" s="1" cm="1">
        <f t="array" ref="S333">_xlfn.SWITCH(Table1[[#This Row],[Product ID]],"P001",140,"P002",80,"P003",72,"P004",30,"P005",110,"P006",24,"P007",14,"P008",12,"P009",115,"P010",360)</f>
        <v>115</v>
      </c>
      <c r="T333" s="1" cm="1">
        <f t="array" ref="T333">(_xlfn.SWITCH(Table1[[#This Row],[Product ID]],"P001",140,"P002",80,"P003",72,"P004",30,"P005",110,"P006",24,"P007",14,"P008",12,"P009",115,"P010",360))*Table1[[#This Row],[Quantity]]</f>
        <v>805</v>
      </c>
      <c r="U333" s="1" cm="1">
        <f t="array" ref="U333">_xlfn.SWITCH(Table1[[#This Row],[Product ID]],"P001",15,"P002",0,"P003",8,"P004",8,"P005",0,"P006",7,"P007",7,"P008",6,"P009",45,"P010",60)</f>
        <v>45</v>
      </c>
      <c r="V333" s="1">
        <f>Table1[[#This Row],[Shipping per Unit]]*Table1[[#This Row],[Quantity]]</f>
        <v>315</v>
      </c>
      <c r="W333" s="2">
        <f>IF(Table1[[#This Row],[Total Shipping]]&gt;0.1,0.2,0)</f>
        <v>0.2</v>
      </c>
      <c r="X333" s="4">
        <f>Table1[[#This Row],[Total Shipping]]*Table1[[#This Row],[VAT on Shipping]]</f>
        <v>63</v>
      </c>
      <c r="Y333" s="1">
        <f>Table1[[#This Row],[Revenue]]-Table1[[#This Row],[COGS]]</f>
        <v>485.09999999999991</v>
      </c>
      <c r="Z333" s="3">
        <f>(Table1[[#This Row],[Profit]]/Table1[[#This Row],[Revenue]])</f>
        <v>0.37601736299511662</v>
      </c>
      <c r="AA333" s="1">
        <f>Table1[[#This Row],[Profit]]-Table1[[#This Row],[Total Shipping]]</f>
        <v>170.09999999999991</v>
      </c>
      <c r="AB333" s="3">
        <f>Table1[[#This Row],[Operating Profit]]/Table1[[#This Row],[Revenue]]</f>
        <v>0.13185024416711877</v>
      </c>
    </row>
    <row r="334" spans="1:28" x14ac:dyDescent="0.25">
      <c r="A334" t="s">
        <v>202</v>
      </c>
      <c r="B334">
        <v>302</v>
      </c>
      <c r="C334" t="s">
        <v>29</v>
      </c>
      <c r="D334" t="s">
        <v>57</v>
      </c>
      <c r="E334" t="s">
        <v>49</v>
      </c>
      <c r="F334" t="s">
        <v>102</v>
      </c>
      <c r="G334" t="str" cm="1">
        <f t="array" ref="G334">_xlfn.SWITCH(F334,"Acme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334" t="s">
        <v>45</v>
      </c>
      <c r="I334" t="s">
        <v>91</v>
      </c>
      <c r="J334" t="str" cm="1">
        <f t="array" ref="J334">_xlfn.SWITCH(I334,"P001","Laptop","P002","Server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334" s="1" cm="1">
        <f t="array" ref="K334">_xlfn.SWITCH(Table1[[#This Row],[Product ID]],"P001",220,"P002",150,"P003",130,"P004",70,"P005",200,"P006",40,"P007",25,"P008",20,"P009",190,"P010",530)</f>
        <v>190</v>
      </c>
      <c r="L334">
        <v>14</v>
      </c>
      <c r="M334" s="1">
        <f>Table1[[#This Row],[Unit Price]]*Table1[[#This Row],[Quantity]]</f>
        <v>2660</v>
      </c>
      <c r="N334" s="2">
        <v>0.09</v>
      </c>
      <c r="O334" s="1">
        <f>Table1[[#This Row],[Gross Value]]*(1-Table1[[#This Row],[Discount]])</f>
        <v>2420.6</v>
      </c>
      <c r="P334" s="2">
        <v>0.2</v>
      </c>
      <c r="Q334" s="1">
        <f>Table1[[#This Row],[Revenue]]*Table1[[#This Row],[VAT Rate]]</f>
        <v>484.12</v>
      </c>
      <c r="R334" s="1">
        <f>Table1[[#This Row],[Revenue]]+Table1[[#This Row],[VAT Charged]]</f>
        <v>2904.72</v>
      </c>
      <c r="S334" s="1" cm="1">
        <f t="array" ref="S334">_xlfn.SWITCH(Table1[[#This Row],[Product ID]],"P001",140,"P002",80,"P003",72,"P004",30,"P005",110,"P006",24,"P007",14,"P008",12,"P009",115,"P010",360)</f>
        <v>115</v>
      </c>
      <c r="T334" s="1" cm="1">
        <f t="array" ref="T334">(_xlfn.SWITCH(Table1[[#This Row],[Product ID]],"P001",140,"P002",80,"P003",72,"P004",30,"P005",110,"P006",24,"P007",14,"P008",12,"P009",115,"P010",360))*Table1[[#This Row],[Quantity]]</f>
        <v>1610</v>
      </c>
      <c r="U334" s="1" cm="1">
        <f t="array" ref="U334">_xlfn.SWITCH(Table1[[#This Row],[Product ID]],"P001",15,"P002",0,"P003",8,"P004",8,"P005",0,"P006",7,"P007",7,"P008",6,"P009",45,"P010",60)</f>
        <v>45</v>
      </c>
      <c r="V334" s="1">
        <f>Table1[[#This Row],[Shipping per Unit]]*Table1[[#This Row],[Quantity]]</f>
        <v>630</v>
      </c>
      <c r="W334" s="2">
        <f>IF(Table1[[#This Row],[Total Shipping]]&gt;0.1,0.2,0)</f>
        <v>0.2</v>
      </c>
      <c r="X334" s="4">
        <f>Table1[[#This Row],[Total Shipping]]*Table1[[#This Row],[VAT on Shipping]]</f>
        <v>126</v>
      </c>
      <c r="Y334" s="1">
        <f>Table1[[#This Row],[Revenue]]-Table1[[#This Row],[COGS]]</f>
        <v>810.59999999999991</v>
      </c>
      <c r="Z334" s="3">
        <f>(Table1[[#This Row],[Profit]]/Table1[[#This Row],[Revenue]])</f>
        <v>0.33487565066512431</v>
      </c>
      <c r="AA334" s="1">
        <f>Table1[[#This Row],[Profit]]-Table1[[#This Row],[Total Shipping]]</f>
        <v>180.59999999999991</v>
      </c>
      <c r="AB334" s="3">
        <f>Table1[[#This Row],[Operating Profit]]/Table1[[#This Row],[Revenue]]</f>
        <v>7.460960092539036E-2</v>
      </c>
    </row>
    <row r="335" spans="1:28" x14ac:dyDescent="0.25">
      <c r="A335" t="s">
        <v>202</v>
      </c>
      <c r="B335">
        <v>785</v>
      </c>
      <c r="C335" t="s">
        <v>71</v>
      </c>
      <c r="D335" t="s">
        <v>72</v>
      </c>
      <c r="E335" t="s">
        <v>40</v>
      </c>
      <c r="F335" t="s">
        <v>37</v>
      </c>
      <c r="G335" t="str" cm="1">
        <f t="array" ref="G335">_xlfn.SWITCH(F335,"Acme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335" t="s">
        <v>33</v>
      </c>
      <c r="I335" t="s">
        <v>68</v>
      </c>
      <c r="J335" t="str" cm="1">
        <f t="array" ref="J335">_xlfn.SWITCH(I335,"P001","Laptop","P002","Server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35" s="1" cm="1">
        <f t="array" ref="K335">_xlfn.SWITCH(Table1[[#This Row],[Product ID]],"P001",220,"P002",150,"P003",130,"P004",70,"P005",200,"P006",40,"P007",25,"P008",20,"P009",190,"P010",530)</f>
        <v>220</v>
      </c>
      <c r="L335">
        <v>9</v>
      </c>
      <c r="M335" s="1">
        <f>Table1[[#This Row],[Unit Price]]*Table1[[#This Row],[Quantity]]</f>
        <v>1980</v>
      </c>
      <c r="N335" s="2">
        <v>0.03</v>
      </c>
      <c r="O335" s="1">
        <f>Table1[[#This Row],[Gross Value]]*(1-Table1[[#This Row],[Discount]])</f>
        <v>1920.6</v>
      </c>
      <c r="P335" s="2">
        <v>0.2</v>
      </c>
      <c r="Q335" s="1">
        <f>Table1[[#This Row],[Revenue]]*Table1[[#This Row],[VAT Rate]]</f>
        <v>384.12</v>
      </c>
      <c r="R335" s="1">
        <f>Table1[[#This Row],[Revenue]]+Table1[[#This Row],[VAT Charged]]</f>
        <v>2304.7199999999998</v>
      </c>
      <c r="S335" s="1" cm="1">
        <f t="array" ref="S335">_xlfn.SWITCH(Table1[[#This Row],[Product ID]],"P001",140,"P002",80,"P003",72,"P004",30,"P005",110,"P006",24,"P007",14,"P008",12,"P009",115,"P010",360)</f>
        <v>140</v>
      </c>
      <c r="T335" s="1" cm="1">
        <f t="array" ref="T335">(_xlfn.SWITCH(Table1[[#This Row],[Product ID]],"P001",140,"P002",80,"P003",72,"P004",30,"P005",110,"P006",24,"P007",14,"P008",12,"P009",115,"P010",360))*Table1[[#This Row],[Quantity]]</f>
        <v>1260</v>
      </c>
      <c r="U335" s="1" cm="1">
        <f t="array" ref="U335">_xlfn.SWITCH(Table1[[#This Row],[Product ID]],"P001",15,"P002",0,"P003",8,"P004",8,"P005",0,"P006",7,"P007",7,"P008",6,"P009",45,"P010",60)</f>
        <v>15</v>
      </c>
      <c r="V335" s="1">
        <f>Table1[[#This Row],[Shipping per Unit]]*Table1[[#This Row],[Quantity]]</f>
        <v>135</v>
      </c>
      <c r="W335" s="2">
        <f>IF(Table1[[#This Row],[Total Shipping]]&gt;0.1,0.2,0)</f>
        <v>0.2</v>
      </c>
      <c r="X335" s="4">
        <f>Table1[[#This Row],[Total Shipping]]*Table1[[#This Row],[VAT on Shipping]]</f>
        <v>27</v>
      </c>
      <c r="Y335" s="1">
        <f>Table1[[#This Row],[Revenue]]-Table1[[#This Row],[COGS]]</f>
        <v>660.59999999999991</v>
      </c>
      <c r="Z335" s="3">
        <f>(Table1[[#This Row],[Profit]]/Table1[[#This Row],[Revenue]])</f>
        <v>0.3439550140581068</v>
      </c>
      <c r="AA335" s="1">
        <f>Table1[[#This Row],[Profit]]-Table1[[#This Row],[Total Shipping]]</f>
        <v>525.59999999999991</v>
      </c>
      <c r="AB335" s="3">
        <f>Table1[[#This Row],[Operating Profit]]/Table1[[#This Row],[Revenue]]</f>
        <v>0.27366447985004683</v>
      </c>
    </row>
    <row r="336" spans="1:28" x14ac:dyDescent="0.25">
      <c r="A336" t="s">
        <v>202</v>
      </c>
      <c r="B336">
        <v>795</v>
      </c>
      <c r="C336" t="s">
        <v>56</v>
      </c>
      <c r="D336" t="s">
        <v>95</v>
      </c>
      <c r="E336" t="s">
        <v>31</v>
      </c>
      <c r="F336" t="s">
        <v>59</v>
      </c>
      <c r="G336" t="str" cm="1">
        <f t="array" ref="G336">_xlfn.SWITCH(F336,"Acme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336" t="s">
        <v>45</v>
      </c>
      <c r="I336" t="s">
        <v>55</v>
      </c>
      <c r="J336" t="str" cm="1">
        <f t="array" ref="J336">_xlfn.SWITCH(I336,"P001","Laptop","P002","Server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36" s="1" cm="1">
        <f t="array" ref="K336">_xlfn.SWITCH(Table1[[#This Row],[Product ID]],"P001",220,"P002",150,"P003",130,"P004",70,"P005",200,"P006",40,"P007",25,"P008",20,"P009",190,"P010",530)</f>
        <v>70</v>
      </c>
      <c r="L336">
        <v>20</v>
      </c>
      <c r="M336" s="1">
        <f>Table1[[#This Row],[Unit Price]]*Table1[[#This Row],[Quantity]]</f>
        <v>1400</v>
      </c>
      <c r="N336" s="2">
        <v>0.05</v>
      </c>
      <c r="O336" s="1">
        <f>Table1[[#This Row],[Gross Value]]*(1-Table1[[#This Row],[Discount]])</f>
        <v>1330</v>
      </c>
      <c r="P336" s="2">
        <v>0.2</v>
      </c>
      <c r="Q336" s="1">
        <f>Table1[[#This Row],[Revenue]]*Table1[[#This Row],[VAT Rate]]</f>
        <v>266</v>
      </c>
      <c r="R336" s="1">
        <f>Table1[[#This Row],[Revenue]]+Table1[[#This Row],[VAT Charged]]</f>
        <v>1596</v>
      </c>
      <c r="S336" s="1" cm="1">
        <f t="array" ref="S336">_xlfn.SWITCH(Table1[[#This Row],[Product ID]],"P001",140,"P002",80,"P003",72,"P004",30,"P005",110,"P006",24,"P007",14,"P008",12,"P009",115,"P010",360)</f>
        <v>30</v>
      </c>
      <c r="T336" s="1" cm="1">
        <f t="array" ref="T336">(_xlfn.SWITCH(Table1[[#This Row],[Product ID]],"P001",140,"P002",80,"P003",72,"P004",30,"P005",110,"P006",24,"P007",14,"P008",12,"P009",115,"P010",360))*Table1[[#This Row],[Quantity]]</f>
        <v>600</v>
      </c>
      <c r="U336" s="1" cm="1">
        <f t="array" ref="U336">_xlfn.SWITCH(Table1[[#This Row],[Product ID]],"P001",15,"P002",0,"P003",8,"P004",8,"P005",0,"P006",7,"P007",7,"P008",6,"P009",45,"P010",60)</f>
        <v>8</v>
      </c>
      <c r="V336" s="1">
        <f>Table1[[#This Row],[Shipping per Unit]]*Table1[[#This Row],[Quantity]]</f>
        <v>160</v>
      </c>
      <c r="W336" s="2">
        <f>IF(Table1[[#This Row],[Total Shipping]]&gt;0.1,0.2,0)</f>
        <v>0.2</v>
      </c>
      <c r="X336" s="4">
        <f>Table1[[#This Row],[Total Shipping]]*Table1[[#This Row],[VAT on Shipping]]</f>
        <v>32</v>
      </c>
      <c r="Y336" s="1">
        <f>Table1[[#This Row],[Revenue]]-Table1[[#This Row],[COGS]]</f>
        <v>730</v>
      </c>
      <c r="Z336" s="3">
        <f>(Table1[[#This Row],[Profit]]/Table1[[#This Row],[Revenue]])</f>
        <v>0.54887218045112784</v>
      </c>
      <c r="AA336" s="1">
        <f>Table1[[#This Row],[Profit]]-Table1[[#This Row],[Total Shipping]]</f>
        <v>570</v>
      </c>
      <c r="AB336" s="3">
        <f>Table1[[#This Row],[Operating Profit]]/Table1[[#This Row],[Revenue]]</f>
        <v>0.42857142857142855</v>
      </c>
    </row>
    <row r="337" spans="1:28" x14ac:dyDescent="0.25">
      <c r="A337" t="s">
        <v>202</v>
      </c>
      <c r="B337">
        <v>874</v>
      </c>
      <c r="C337" t="s">
        <v>29</v>
      </c>
      <c r="D337" t="s">
        <v>36</v>
      </c>
      <c r="E337" t="s">
        <v>49</v>
      </c>
      <c r="F337" t="s">
        <v>66</v>
      </c>
      <c r="G337" t="str" cm="1">
        <f t="array" ref="G337">_xlfn.SWITCH(F337,"Acme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337" t="s">
        <v>33</v>
      </c>
      <c r="I337" t="s">
        <v>34</v>
      </c>
      <c r="J337" t="str" cm="1">
        <f t="array" ref="J337">_xlfn.SWITCH(I337,"P001","Laptop","P002","Server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37" s="1" cm="1">
        <f t="array" ref="K337">_xlfn.SWITCH(Table1[[#This Row],[Product ID]],"P001",220,"P002",150,"P003",130,"P004",70,"P005",200,"P006",40,"P007",25,"P008",20,"P009",190,"P010",530)</f>
        <v>20</v>
      </c>
      <c r="L337">
        <v>12</v>
      </c>
      <c r="M337" s="1">
        <f>Table1[[#This Row],[Unit Price]]*Table1[[#This Row],[Quantity]]</f>
        <v>240</v>
      </c>
      <c r="N337" s="2">
        <v>0.08</v>
      </c>
      <c r="O337" s="1">
        <f>Table1[[#This Row],[Gross Value]]*(1-Table1[[#This Row],[Discount]])</f>
        <v>220.8</v>
      </c>
      <c r="P337" s="2">
        <v>0.2</v>
      </c>
      <c r="Q337" s="1">
        <f>Table1[[#This Row],[Revenue]]*Table1[[#This Row],[VAT Rate]]</f>
        <v>44.160000000000004</v>
      </c>
      <c r="R337" s="1">
        <f>Table1[[#This Row],[Revenue]]+Table1[[#This Row],[VAT Charged]]</f>
        <v>264.96000000000004</v>
      </c>
      <c r="S337" s="1" cm="1">
        <f t="array" ref="S337">_xlfn.SWITCH(Table1[[#This Row],[Product ID]],"P001",140,"P002",80,"P003",72,"P004",30,"P005",110,"P006",24,"P007",14,"P008",12,"P009",115,"P010",360)</f>
        <v>12</v>
      </c>
      <c r="T337" s="1" cm="1">
        <f t="array" ref="T337">(_xlfn.SWITCH(Table1[[#This Row],[Product ID]],"P001",140,"P002",80,"P003",72,"P004",30,"P005",110,"P006",24,"P007",14,"P008",12,"P009",115,"P010",360))*Table1[[#This Row],[Quantity]]</f>
        <v>144</v>
      </c>
      <c r="U337" s="1" cm="1">
        <f t="array" ref="U337">_xlfn.SWITCH(Table1[[#This Row],[Product ID]],"P001",15,"P002",0,"P003",8,"P004",8,"P005",0,"P006",7,"P007",7,"P008",6,"P009",45,"P010",60)</f>
        <v>6</v>
      </c>
      <c r="V337" s="1">
        <f>Table1[[#This Row],[Shipping per Unit]]*Table1[[#This Row],[Quantity]]</f>
        <v>72</v>
      </c>
      <c r="W337" s="2">
        <f>IF(Table1[[#This Row],[Total Shipping]]&gt;0.1,0.2,0)</f>
        <v>0.2</v>
      </c>
      <c r="X337" s="4">
        <f>Table1[[#This Row],[Total Shipping]]*Table1[[#This Row],[VAT on Shipping]]</f>
        <v>14.4</v>
      </c>
      <c r="Y337" s="1">
        <f>Table1[[#This Row],[Revenue]]-Table1[[#This Row],[COGS]]</f>
        <v>76.800000000000011</v>
      </c>
      <c r="Z337" s="3">
        <f>(Table1[[#This Row],[Profit]]/Table1[[#This Row],[Revenue]])</f>
        <v>0.34782608695652178</v>
      </c>
      <c r="AA337" s="1">
        <f>Table1[[#This Row],[Profit]]-Table1[[#This Row],[Total Shipping]]</f>
        <v>4.8000000000000114</v>
      </c>
      <c r="AB337" s="3">
        <f>Table1[[#This Row],[Operating Profit]]/Table1[[#This Row],[Revenue]]</f>
        <v>2.173913043478266E-2</v>
      </c>
    </row>
    <row r="338" spans="1:28" x14ac:dyDescent="0.25">
      <c r="A338" t="s">
        <v>203</v>
      </c>
      <c r="B338">
        <v>433</v>
      </c>
      <c r="C338" t="s">
        <v>62</v>
      </c>
      <c r="D338" t="s">
        <v>72</v>
      </c>
      <c r="E338" t="s">
        <v>31</v>
      </c>
      <c r="F338" t="s">
        <v>119</v>
      </c>
      <c r="G338" t="str" cm="1">
        <f t="array" ref="G338">_xlfn.SWITCH(F338,"Acme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338" t="s">
        <v>104</v>
      </c>
      <c r="I338" t="s">
        <v>34</v>
      </c>
      <c r="J338" t="str" cm="1">
        <f t="array" ref="J338">_xlfn.SWITCH(I338,"P001","Laptop","P002","Server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38" s="1" cm="1">
        <f t="array" ref="K338">_xlfn.SWITCH(Table1[[#This Row],[Product ID]],"P001",220,"P002",150,"P003",130,"P004",70,"P005",200,"P006",40,"P007",25,"P008",20,"P009",190,"P010",530)</f>
        <v>20</v>
      </c>
      <c r="L338">
        <v>20</v>
      </c>
      <c r="M338" s="1">
        <f>Table1[[#This Row],[Unit Price]]*Table1[[#This Row],[Quantity]]</f>
        <v>400</v>
      </c>
      <c r="N338" s="2">
        <v>0.06</v>
      </c>
      <c r="O338" s="1">
        <f>Table1[[#This Row],[Gross Value]]*(1-Table1[[#This Row],[Discount]])</f>
        <v>376</v>
      </c>
      <c r="P338" s="2">
        <v>0.2</v>
      </c>
      <c r="Q338" s="1">
        <f>Table1[[#This Row],[Revenue]]*Table1[[#This Row],[VAT Rate]]</f>
        <v>75.2</v>
      </c>
      <c r="R338" s="1">
        <f>Table1[[#This Row],[Revenue]]+Table1[[#This Row],[VAT Charged]]</f>
        <v>451.2</v>
      </c>
      <c r="S338" s="1" cm="1">
        <f t="array" ref="S338">_xlfn.SWITCH(Table1[[#This Row],[Product ID]],"P001",140,"P002",80,"P003",72,"P004",30,"P005",110,"P006",24,"P007",14,"P008",12,"P009",115,"P010",360)</f>
        <v>12</v>
      </c>
      <c r="T338" s="1" cm="1">
        <f t="array" ref="T338">(_xlfn.SWITCH(Table1[[#This Row],[Product ID]],"P001",140,"P002",80,"P003",72,"P004",30,"P005",110,"P006",24,"P007",14,"P008",12,"P009",115,"P010",360))*Table1[[#This Row],[Quantity]]</f>
        <v>240</v>
      </c>
      <c r="U338" s="1" cm="1">
        <f t="array" ref="U338">_xlfn.SWITCH(Table1[[#This Row],[Product ID]],"P001",15,"P002",0,"P003",8,"P004",8,"P005",0,"P006",7,"P007",7,"P008",6,"P009",45,"P010",60)</f>
        <v>6</v>
      </c>
      <c r="V338" s="1">
        <f>Table1[[#This Row],[Shipping per Unit]]*Table1[[#This Row],[Quantity]]</f>
        <v>120</v>
      </c>
      <c r="W338" s="2">
        <f>IF(Table1[[#This Row],[Total Shipping]]&gt;0.1,0.2,0)</f>
        <v>0.2</v>
      </c>
      <c r="X338" s="4">
        <f>Table1[[#This Row],[Total Shipping]]*Table1[[#This Row],[VAT on Shipping]]</f>
        <v>24</v>
      </c>
      <c r="Y338" s="1">
        <f>Table1[[#This Row],[Revenue]]-Table1[[#This Row],[COGS]]</f>
        <v>136</v>
      </c>
      <c r="Z338" s="3">
        <f>(Table1[[#This Row],[Profit]]/Table1[[#This Row],[Revenue]])</f>
        <v>0.36170212765957449</v>
      </c>
      <c r="AA338" s="1">
        <f>Table1[[#This Row],[Profit]]-Table1[[#This Row],[Total Shipping]]</f>
        <v>16</v>
      </c>
      <c r="AB338" s="3">
        <f>Table1[[#This Row],[Operating Profit]]/Table1[[#This Row],[Revenue]]</f>
        <v>4.2553191489361701E-2</v>
      </c>
    </row>
    <row r="339" spans="1:28" x14ac:dyDescent="0.25">
      <c r="A339" t="s">
        <v>204</v>
      </c>
      <c r="B339">
        <v>407</v>
      </c>
      <c r="C339" t="s">
        <v>56</v>
      </c>
      <c r="D339" t="s">
        <v>63</v>
      </c>
      <c r="E339" t="s">
        <v>40</v>
      </c>
      <c r="F339" t="s">
        <v>50</v>
      </c>
      <c r="G339" t="str" cm="1">
        <f t="array" ref="G339">_xlfn.SWITCH(F339,"Acme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339" t="s">
        <v>33</v>
      </c>
      <c r="I339" t="s">
        <v>70</v>
      </c>
      <c r="J339" t="str" cm="1">
        <f t="array" ref="J339">_xlfn.SWITCH(I339,"P001","Laptop","P002","Server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39" s="1" cm="1">
        <f t="array" ref="K339">_xlfn.SWITCH(Table1[[#This Row],[Product ID]],"P001",220,"P002",150,"P003",130,"P004",70,"P005",200,"P006",40,"P007",25,"P008",20,"P009",190,"P010",530)</f>
        <v>150</v>
      </c>
      <c r="L339">
        <v>9</v>
      </c>
      <c r="M339" s="1">
        <f>Table1[[#This Row],[Unit Price]]*Table1[[#This Row],[Quantity]]</f>
        <v>1350</v>
      </c>
      <c r="N339" s="2">
        <v>0.1</v>
      </c>
      <c r="O339" s="1">
        <f>Table1[[#This Row],[Gross Value]]*(1-Table1[[#This Row],[Discount]])</f>
        <v>1215</v>
      </c>
      <c r="P339" s="2">
        <v>0.2</v>
      </c>
      <c r="Q339" s="1">
        <f>Table1[[#This Row],[Revenue]]*Table1[[#This Row],[VAT Rate]]</f>
        <v>243</v>
      </c>
      <c r="R339" s="1">
        <f>Table1[[#This Row],[Revenue]]+Table1[[#This Row],[VAT Charged]]</f>
        <v>1458</v>
      </c>
      <c r="S339" s="1" cm="1">
        <f t="array" ref="S339">_xlfn.SWITCH(Table1[[#This Row],[Product ID]],"P001",140,"P002",80,"P003",72,"P004",30,"P005",110,"P006",24,"P007",14,"P008",12,"P009",115,"P010",360)</f>
        <v>80</v>
      </c>
      <c r="T339" s="1" cm="1">
        <f t="array" ref="T339">(_xlfn.SWITCH(Table1[[#This Row],[Product ID]],"P001",140,"P002",80,"P003",72,"P004",30,"P005",110,"P006",24,"P007",14,"P008",12,"P009",115,"P010",360))*Table1[[#This Row],[Quantity]]</f>
        <v>720</v>
      </c>
      <c r="U339" s="1" cm="1">
        <f t="array" ref="U339">_xlfn.SWITCH(Table1[[#This Row],[Product ID]],"P001",15,"P002",0,"P003",8,"P004",8,"P005",0,"P006",7,"P007",7,"P008",6,"P009",45,"P010",60)</f>
        <v>0</v>
      </c>
      <c r="V339" s="1">
        <f>Table1[[#This Row],[Shipping per Unit]]*Table1[[#This Row],[Quantity]]</f>
        <v>0</v>
      </c>
      <c r="W339" s="2">
        <f>IF(Table1[[#This Row],[Total Shipping]]&gt;0.1,0.2,0)</f>
        <v>0</v>
      </c>
      <c r="X339" s="4">
        <f>Table1[[#This Row],[Total Shipping]]*Table1[[#This Row],[VAT on Shipping]]</f>
        <v>0</v>
      </c>
      <c r="Y339" s="1">
        <f>Table1[[#This Row],[Revenue]]-Table1[[#This Row],[COGS]]</f>
        <v>495</v>
      </c>
      <c r="Z339" s="3">
        <f>(Table1[[#This Row],[Profit]]/Table1[[#This Row],[Revenue]])</f>
        <v>0.40740740740740738</v>
      </c>
      <c r="AA339" s="1">
        <f>Table1[[#This Row],[Profit]]-Table1[[#This Row],[Total Shipping]]</f>
        <v>495</v>
      </c>
      <c r="AB339" s="3">
        <f>Table1[[#This Row],[Operating Profit]]/Table1[[#This Row],[Revenue]]</f>
        <v>0.40740740740740738</v>
      </c>
    </row>
    <row r="340" spans="1:28" x14ac:dyDescent="0.25">
      <c r="A340" t="s">
        <v>204</v>
      </c>
      <c r="B340">
        <v>842</v>
      </c>
      <c r="C340" t="s">
        <v>71</v>
      </c>
      <c r="D340" t="s">
        <v>53</v>
      </c>
      <c r="E340" t="s">
        <v>49</v>
      </c>
      <c r="F340" t="s">
        <v>90</v>
      </c>
      <c r="G340" t="str" cm="1">
        <f t="array" ref="G340">_xlfn.SWITCH(F340,"Acme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340" t="s">
        <v>33</v>
      </c>
      <c r="I340" t="s">
        <v>52</v>
      </c>
      <c r="J340" t="str" cm="1">
        <f t="array" ref="J340">_xlfn.SWITCH(I340,"P001","Laptop","P002","Server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40" s="1" cm="1">
        <f t="array" ref="K340">_xlfn.SWITCH(Table1[[#This Row],[Product ID]],"P001",220,"P002",150,"P003",130,"P004",70,"P005",200,"P006",40,"P007",25,"P008",20,"P009",190,"P010",530)</f>
        <v>130</v>
      </c>
      <c r="L340">
        <v>4</v>
      </c>
      <c r="M340" s="1">
        <f>Table1[[#This Row],[Unit Price]]*Table1[[#This Row],[Quantity]]</f>
        <v>520</v>
      </c>
      <c r="N340" s="2">
        <v>0.12</v>
      </c>
      <c r="O340" s="1">
        <f>Table1[[#This Row],[Gross Value]]*(1-Table1[[#This Row],[Discount]])</f>
        <v>457.6</v>
      </c>
      <c r="P340" s="2">
        <v>0.2</v>
      </c>
      <c r="Q340" s="1">
        <f>Table1[[#This Row],[Revenue]]*Table1[[#This Row],[VAT Rate]]</f>
        <v>91.52000000000001</v>
      </c>
      <c r="R340" s="1">
        <f>Table1[[#This Row],[Revenue]]+Table1[[#This Row],[VAT Charged]]</f>
        <v>549.12</v>
      </c>
      <c r="S340" s="1" cm="1">
        <f t="array" ref="S340">_xlfn.SWITCH(Table1[[#This Row],[Product ID]],"P001",140,"P002",80,"P003",72,"P004",30,"P005",110,"P006",24,"P007",14,"P008",12,"P009",115,"P010",360)</f>
        <v>72</v>
      </c>
      <c r="T340" s="1" cm="1">
        <f t="array" ref="T340">(_xlfn.SWITCH(Table1[[#This Row],[Product ID]],"P001",140,"P002",80,"P003",72,"P004",30,"P005",110,"P006",24,"P007",14,"P008",12,"P009",115,"P010",360))*Table1[[#This Row],[Quantity]]</f>
        <v>288</v>
      </c>
      <c r="U340" s="1" cm="1">
        <f t="array" ref="U340">_xlfn.SWITCH(Table1[[#This Row],[Product ID]],"P001",15,"P002",0,"P003",8,"P004",8,"P005",0,"P006",7,"P007",7,"P008",6,"P009",45,"P010",60)</f>
        <v>8</v>
      </c>
      <c r="V340" s="1">
        <f>Table1[[#This Row],[Shipping per Unit]]*Table1[[#This Row],[Quantity]]</f>
        <v>32</v>
      </c>
      <c r="W340" s="2">
        <f>IF(Table1[[#This Row],[Total Shipping]]&gt;0.1,0.2,0)</f>
        <v>0.2</v>
      </c>
      <c r="X340" s="4">
        <f>Table1[[#This Row],[Total Shipping]]*Table1[[#This Row],[VAT on Shipping]]</f>
        <v>6.4</v>
      </c>
      <c r="Y340" s="1">
        <f>Table1[[#This Row],[Revenue]]-Table1[[#This Row],[COGS]]</f>
        <v>169.60000000000002</v>
      </c>
      <c r="Z340" s="3">
        <f>(Table1[[#This Row],[Profit]]/Table1[[#This Row],[Revenue]])</f>
        <v>0.37062937062937068</v>
      </c>
      <c r="AA340" s="1">
        <f>Table1[[#This Row],[Profit]]-Table1[[#This Row],[Total Shipping]]</f>
        <v>137.60000000000002</v>
      </c>
      <c r="AB340" s="3">
        <f>Table1[[#This Row],[Operating Profit]]/Table1[[#This Row],[Revenue]]</f>
        <v>0.30069930069930073</v>
      </c>
    </row>
    <row r="341" spans="1:28" x14ac:dyDescent="0.25">
      <c r="A341" t="s">
        <v>205</v>
      </c>
      <c r="B341">
        <v>170</v>
      </c>
      <c r="C341" t="s">
        <v>38</v>
      </c>
      <c r="D341" t="s">
        <v>95</v>
      </c>
      <c r="E341" t="s">
        <v>31</v>
      </c>
      <c r="F341" t="s">
        <v>79</v>
      </c>
      <c r="G341" t="str" cm="1">
        <f t="array" ref="G341">_xlfn.SWITCH(F341,"Acme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341" t="s">
        <v>51</v>
      </c>
      <c r="I341" t="s">
        <v>34</v>
      </c>
      <c r="J341" t="str" cm="1">
        <f t="array" ref="J341">_xlfn.SWITCH(I341,"P001","Laptop","P002","Server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41" s="1" cm="1">
        <f t="array" ref="K341">_xlfn.SWITCH(Table1[[#This Row],[Product ID]],"P001",220,"P002",150,"P003",130,"P004",70,"P005",200,"P006",40,"P007",25,"P008",20,"P009",190,"P010",530)</f>
        <v>20</v>
      </c>
      <c r="L341">
        <v>15</v>
      </c>
      <c r="M341" s="1">
        <f>Table1[[#This Row],[Unit Price]]*Table1[[#This Row],[Quantity]]</f>
        <v>300</v>
      </c>
      <c r="N341" s="2">
        <v>7.0000000000000007E-2</v>
      </c>
      <c r="O341" s="1">
        <f>Table1[[#This Row],[Gross Value]]*(1-Table1[[#This Row],[Discount]])</f>
        <v>279</v>
      </c>
      <c r="P341" s="2">
        <v>0.2</v>
      </c>
      <c r="Q341" s="1">
        <f>Table1[[#This Row],[Revenue]]*Table1[[#This Row],[VAT Rate]]</f>
        <v>55.800000000000004</v>
      </c>
      <c r="R341" s="1">
        <f>Table1[[#This Row],[Revenue]]+Table1[[#This Row],[VAT Charged]]</f>
        <v>334.8</v>
      </c>
      <c r="S341" s="1" cm="1">
        <f t="array" ref="S341">_xlfn.SWITCH(Table1[[#This Row],[Product ID]],"P001",140,"P002",80,"P003",72,"P004",30,"P005",110,"P006",24,"P007",14,"P008",12,"P009",115,"P010",360)</f>
        <v>12</v>
      </c>
      <c r="T341" s="1" cm="1">
        <f t="array" ref="T341">(_xlfn.SWITCH(Table1[[#This Row],[Product ID]],"P001",140,"P002",80,"P003",72,"P004",30,"P005",110,"P006",24,"P007",14,"P008",12,"P009",115,"P010",360))*Table1[[#This Row],[Quantity]]</f>
        <v>180</v>
      </c>
      <c r="U341" s="1" cm="1">
        <f t="array" ref="U341">_xlfn.SWITCH(Table1[[#This Row],[Product ID]],"P001",15,"P002",0,"P003",8,"P004",8,"P005",0,"P006",7,"P007",7,"P008",6,"P009",45,"P010",60)</f>
        <v>6</v>
      </c>
      <c r="V341" s="1">
        <f>Table1[[#This Row],[Shipping per Unit]]*Table1[[#This Row],[Quantity]]</f>
        <v>90</v>
      </c>
      <c r="W341" s="2">
        <f>IF(Table1[[#This Row],[Total Shipping]]&gt;0.1,0.2,0)</f>
        <v>0.2</v>
      </c>
      <c r="X341" s="4">
        <f>Table1[[#This Row],[Total Shipping]]*Table1[[#This Row],[VAT on Shipping]]</f>
        <v>18</v>
      </c>
      <c r="Y341" s="1">
        <f>Table1[[#This Row],[Revenue]]-Table1[[#This Row],[COGS]]</f>
        <v>99</v>
      </c>
      <c r="Z341" s="3">
        <f>(Table1[[#This Row],[Profit]]/Table1[[#This Row],[Revenue]])</f>
        <v>0.35483870967741937</v>
      </c>
      <c r="AA341" s="1">
        <f>Table1[[#This Row],[Profit]]-Table1[[#This Row],[Total Shipping]]</f>
        <v>9</v>
      </c>
      <c r="AB341" s="3">
        <f>Table1[[#This Row],[Operating Profit]]/Table1[[#This Row],[Revenue]]</f>
        <v>3.2258064516129031E-2</v>
      </c>
    </row>
    <row r="342" spans="1:28" x14ac:dyDescent="0.25">
      <c r="A342" t="s">
        <v>205</v>
      </c>
      <c r="B342">
        <v>358</v>
      </c>
      <c r="C342" t="s">
        <v>38</v>
      </c>
      <c r="D342" t="s">
        <v>57</v>
      </c>
      <c r="E342" t="s">
        <v>31</v>
      </c>
      <c r="F342" t="s">
        <v>97</v>
      </c>
      <c r="G342" t="str" cm="1">
        <f t="array" ref="G342">_xlfn.SWITCH(F342,"Acme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342" t="s">
        <v>33</v>
      </c>
      <c r="I342" t="s">
        <v>70</v>
      </c>
      <c r="J342" t="str" cm="1">
        <f t="array" ref="J342">_xlfn.SWITCH(I342,"P001","Laptop","P002","Server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42" s="1" cm="1">
        <f t="array" ref="K342">_xlfn.SWITCH(Table1[[#This Row],[Product ID]],"P001",220,"P002",150,"P003",130,"P004",70,"P005",200,"P006",40,"P007",25,"P008",20,"P009",190,"P010",530)</f>
        <v>150</v>
      </c>
      <c r="L342">
        <v>5</v>
      </c>
      <c r="M342" s="1">
        <f>Table1[[#This Row],[Unit Price]]*Table1[[#This Row],[Quantity]]</f>
        <v>750</v>
      </c>
      <c r="N342" s="2">
        <v>7.0000000000000007E-2</v>
      </c>
      <c r="O342" s="1">
        <f>Table1[[#This Row],[Gross Value]]*(1-Table1[[#This Row],[Discount]])</f>
        <v>697.5</v>
      </c>
      <c r="P342" s="2">
        <v>0.2</v>
      </c>
      <c r="Q342" s="1">
        <f>Table1[[#This Row],[Revenue]]*Table1[[#This Row],[VAT Rate]]</f>
        <v>139.5</v>
      </c>
      <c r="R342" s="1">
        <f>Table1[[#This Row],[Revenue]]+Table1[[#This Row],[VAT Charged]]</f>
        <v>837</v>
      </c>
      <c r="S342" s="1" cm="1">
        <f t="array" ref="S342">_xlfn.SWITCH(Table1[[#This Row],[Product ID]],"P001",140,"P002",80,"P003",72,"P004",30,"P005",110,"P006",24,"P007",14,"P008",12,"P009",115,"P010",360)</f>
        <v>80</v>
      </c>
      <c r="T342" s="1" cm="1">
        <f t="array" ref="T342">(_xlfn.SWITCH(Table1[[#This Row],[Product ID]],"P001",140,"P002",80,"P003",72,"P004",30,"P005",110,"P006",24,"P007",14,"P008",12,"P009",115,"P010",360))*Table1[[#This Row],[Quantity]]</f>
        <v>400</v>
      </c>
      <c r="U342" s="1" cm="1">
        <f t="array" ref="U342">_xlfn.SWITCH(Table1[[#This Row],[Product ID]],"P001",15,"P002",0,"P003",8,"P004",8,"P005",0,"P006",7,"P007",7,"P008",6,"P009",45,"P010",60)</f>
        <v>0</v>
      </c>
      <c r="V342" s="1">
        <f>Table1[[#This Row],[Shipping per Unit]]*Table1[[#This Row],[Quantity]]</f>
        <v>0</v>
      </c>
      <c r="W342" s="2">
        <f>IF(Table1[[#This Row],[Total Shipping]]&gt;0.1,0.2,0)</f>
        <v>0</v>
      </c>
      <c r="X342" s="4">
        <f>Table1[[#This Row],[Total Shipping]]*Table1[[#This Row],[VAT on Shipping]]</f>
        <v>0</v>
      </c>
      <c r="Y342" s="1">
        <f>Table1[[#This Row],[Revenue]]-Table1[[#This Row],[COGS]]</f>
        <v>297.5</v>
      </c>
      <c r="Z342" s="3">
        <f>(Table1[[#This Row],[Profit]]/Table1[[#This Row],[Revenue]])</f>
        <v>0.4265232974910394</v>
      </c>
      <c r="AA342" s="1">
        <f>Table1[[#This Row],[Profit]]-Table1[[#This Row],[Total Shipping]]</f>
        <v>297.5</v>
      </c>
      <c r="AB342" s="3">
        <f>Table1[[#This Row],[Operating Profit]]/Table1[[#This Row],[Revenue]]</f>
        <v>0.4265232974910394</v>
      </c>
    </row>
    <row r="343" spans="1:28" x14ac:dyDescent="0.25">
      <c r="A343" t="s">
        <v>205</v>
      </c>
      <c r="B343">
        <v>362</v>
      </c>
      <c r="C343" t="s">
        <v>83</v>
      </c>
      <c r="D343" t="s">
        <v>95</v>
      </c>
      <c r="E343" t="s">
        <v>49</v>
      </c>
      <c r="F343" t="s">
        <v>32</v>
      </c>
      <c r="G343" t="str" cm="1">
        <f t="array" ref="G343">_xlfn.SWITCH(F343,"Acme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343" t="s">
        <v>45</v>
      </c>
      <c r="I343" t="s">
        <v>91</v>
      </c>
      <c r="J343" t="str" cm="1">
        <f t="array" ref="J343">_xlfn.SWITCH(I343,"P001","Laptop","P002","Server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343" s="1" cm="1">
        <f t="array" ref="K343">_xlfn.SWITCH(Table1[[#This Row],[Product ID]],"P001",220,"P002",150,"P003",130,"P004",70,"P005",200,"P006",40,"P007",25,"P008",20,"P009",190,"P010",530)</f>
        <v>190</v>
      </c>
      <c r="L343">
        <v>5</v>
      </c>
      <c r="M343" s="1">
        <f>Table1[[#This Row],[Unit Price]]*Table1[[#This Row],[Quantity]]</f>
        <v>950</v>
      </c>
      <c r="N343" s="2">
        <v>0.05</v>
      </c>
      <c r="O343" s="1">
        <f>Table1[[#This Row],[Gross Value]]*(1-Table1[[#This Row],[Discount]])</f>
        <v>902.5</v>
      </c>
      <c r="P343" s="2">
        <v>0.2</v>
      </c>
      <c r="Q343" s="1">
        <f>Table1[[#This Row],[Revenue]]*Table1[[#This Row],[VAT Rate]]</f>
        <v>180.5</v>
      </c>
      <c r="R343" s="1">
        <f>Table1[[#This Row],[Revenue]]+Table1[[#This Row],[VAT Charged]]</f>
        <v>1083</v>
      </c>
      <c r="S343" s="1" cm="1">
        <f t="array" ref="S343">_xlfn.SWITCH(Table1[[#This Row],[Product ID]],"P001",140,"P002",80,"P003",72,"P004",30,"P005",110,"P006",24,"P007",14,"P008",12,"P009",115,"P010",360)</f>
        <v>115</v>
      </c>
      <c r="T343" s="1" cm="1">
        <f t="array" ref="T343">(_xlfn.SWITCH(Table1[[#This Row],[Product ID]],"P001",140,"P002",80,"P003",72,"P004",30,"P005",110,"P006",24,"P007",14,"P008",12,"P009",115,"P010",360))*Table1[[#This Row],[Quantity]]</f>
        <v>575</v>
      </c>
      <c r="U343" s="1" cm="1">
        <f t="array" ref="U343">_xlfn.SWITCH(Table1[[#This Row],[Product ID]],"P001",15,"P002",0,"P003",8,"P004",8,"P005",0,"P006",7,"P007",7,"P008",6,"P009",45,"P010",60)</f>
        <v>45</v>
      </c>
      <c r="V343" s="1">
        <f>Table1[[#This Row],[Shipping per Unit]]*Table1[[#This Row],[Quantity]]</f>
        <v>225</v>
      </c>
      <c r="W343" s="2">
        <f>IF(Table1[[#This Row],[Total Shipping]]&gt;0.1,0.2,0)</f>
        <v>0.2</v>
      </c>
      <c r="X343" s="4">
        <f>Table1[[#This Row],[Total Shipping]]*Table1[[#This Row],[VAT on Shipping]]</f>
        <v>45</v>
      </c>
      <c r="Y343" s="1">
        <f>Table1[[#This Row],[Revenue]]-Table1[[#This Row],[COGS]]</f>
        <v>327.5</v>
      </c>
      <c r="Z343" s="3">
        <f>(Table1[[#This Row],[Profit]]/Table1[[#This Row],[Revenue]])</f>
        <v>0.36288088642659277</v>
      </c>
      <c r="AA343" s="1">
        <f>Table1[[#This Row],[Profit]]-Table1[[#This Row],[Total Shipping]]</f>
        <v>102.5</v>
      </c>
      <c r="AB343" s="3">
        <f>Table1[[#This Row],[Operating Profit]]/Table1[[#This Row],[Revenue]]</f>
        <v>0.11357340720221606</v>
      </c>
    </row>
    <row r="344" spans="1:28" x14ac:dyDescent="0.25">
      <c r="A344" t="s">
        <v>205</v>
      </c>
      <c r="B344">
        <v>983</v>
      </c>
      <c r="C344" t="s">
        <v>38</v>
      </c>
      <c r="D344" t="s">
        <v>57</v>
      </c>
      <c r="E344" t="s">
        <v>40</v>
      </c>
      <c r="F344" t="s">
        <v>44</v>
      </c>
      <c r="G344" t="str" cm="1">
        <f t="array" ref="G344">_xlfn.SWITCH(F344,"Acme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344" t="s">
        <v>33</v>
      </c>
      <c r="I344" t="s">
        <v>42</v>
      </c>
      <c r="J344" t="str" cm="1">
        <f t="array" ref="J344">_xlfn.SWITCH(I344,"P001","Laptop","P002","Server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44" s="1" cm="1">
        <f t="array" ref="K344">_xlfn.SWITCH(Table1[[#This Row],[Product ID]],"P001",220,"P002",150,"P003",130,"P004",70,"P005",200,"P006",40,"P007",25,"P008",20,"P009",190,"P010",530)</f>
        <v>40</v>
      </c>
      <c r="L344">
        <v>18</v>
      </c>
      <c r="M344" s="1">
        <f>Table1[[#This Row],[Unit Price]]*Table1[[#This Row],[Quantity]]</f>
        <v>720</v>
      </c>
      <c r="N344" s="2">
        <v>0.04</v>
      </c>
      <c r="O344" s="1">
        <f>Table1[[#This Row],[Gross Value]]*(1-Table1[[#This Row],[Discount]])</f>
        <v>691.19999999999993</v>
      </c>
      <c r="P344" s="2">
        <v>0.2</v>
      </c>
      <c r="Q344" s="1">
        <f>Table1[[#This Row],[Revenue]]*Table1[[#This Row],[VAT Rate]]</f>
        <v>138.23999999999998</v>
      </c>
      <c r="R344" s="1">
        <f>Table1[[#This Row],[Revenue]]+Table1[[#This Row],[VAT Charged]]</f>
        <v>829.43999999999994</v>
      </c>
      <c r="S344" s="1" cm="1">
        <f t="array" ref="S344">_xlfn.SWITCH(Table1[[#This Row],[Product ID]],"P001",140,"P002",80,"P003",72,"P004",30,"P005",110,"P006",24,"P007",14,"P008",12,"P009",115,"P010",360)</f>
        <v>24</v>
      </c>
      <c r="T344" s="1" cm="1">
        <f t="array" ref="T344">(_xlfn.SWITCH(Table1[[#This Row],[Product ID]],"P001",140,"P002",80,"P003",72,"P004",30,"P005",110,"P006",24,"P007",14,"P008",12,"P009",115,"P010",360))*Table1[[#This Row],[Quantity]]</f>
        <v>432</v>
      </c>
      <c r="U344" s="1" cm="1">
        <f t="array" ref="U344">_xlfn.SWITCH(Table1[[#This Row],[Product ID]],"P001",15,"P002",0,"P003",8,"P004",8,"P005",0,"P006",7,"P007",7,"P008",6,"P009",45,"P010",60)</f>
        <v>7</v>
      </c>
      <c r="V344" s="1">
        <f>Table1[[#This Row],[Shipping per Unit]]*Table1[[#This Row],[Quantity]]</f>
        <v>126</v>
      </c>
      <c r="W344" s="2">
        <f>IF(Table1[[#This Row],[Total Shipping]]&gt;0.1,0.2,0)</f>
        <v>0.2</v>
      </c>
      <c r="X344" s="4">
        <f>Table1[[#This Row],[Total Shipping]]*Table1[[#This Row],[VAT on Shipping]]</f>
        <v>25.200000000000003</v>
      </c>
      <c r="Y344" s="1">
        <f>Table1[[#This Row],[Revenue]]-Table1[[#This Row],[COGS]]</f>
        <v>259.19999999999993</v>
      </c>
      <c r="Z344" s="3">
        <f>(Table1[[#This Row],[Profit]]/Table1[[#This Row],[Revenue]])</f>
        <v>0.37499999999999994</v>
      </c>
      <c r="AA344" s="1">
        <f>Table1[[#This Row],[Profit]]-Table1[[#This Row],[Total Shipping]]</f>
        <v>133.19999999999993</v>
      </c>
      <c r="AB344" s="3">
        <f>Table1[[#This Row],[Operating Profit]]/Table1[[#This Row],[Revenue]]</f>
        <v>0.19270833333333326</v>
      </c>
    </row>
    <row r="345" spans="1:28" x14ac:dyDescent="0.25">
      <c r="A345" t="s">
        <v>206</v>
      </c>
      <c r="B345">
        <v>453</v>
      </c>
      <c r="C345" t="s">
        <v>38</v>
      </c>
      <c r="D345" t="s">
        <v>67</v>
      </c>
      <c r="E345" t="s">
        <v>31</v>
      </c>
      <c r="F345" t="s">
        <v>97</v>
      </c>
      <c r="G345" t="str" cm="1">
        <f t="array" ref="G345">_xlfn.SWITCH(F345,"Acme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345" t="s">
        <v>45</v>
      </c>
      <c r="I345" t="s">
        <v>42</v>
      </c>
      <c r="J345" t="str" cm="1">
        <f t="array" ref="J345">_xlfn.SWITCH(I345,"P001","Laptop","P002","Server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45" s="1" cm="1">
        <f t="array" ref="K345">_xlfn.SWITCH(Table1[[#This Row],[Product ID]],"P001",220,"P002",150,"P003",130,"P004",70,"P005",200,"P006",40,"P007",25,"P008",20,"P009",190,"P010",530)</f>
        <v>40</v>
      </c>
      <c r="L345">
        <v>9</v>
      </c>
      <c r="M345" s="1">
        <f>Table1[[#This Row],[Unit Price]]*Table1[[#This Row],[Quantity]]</f>
        <v>360</v>
      </c>
      <c r="N345" s="2">
        <v>0.06</v>
      </c>
      <c r="O345" s="1">
        <f>Table1[[#This Row],[Gross Value]]*(1-Table1[[#This Row],[Discount]])</f>
        <v>338.4</v>
      </c>
      <c r="P345" s="2">
        <v>0.2</v>
      </c>
      <c r="Q345" s="1">
        <f>Table1[[#This Row],[Revenue]]*Table1[[#This Row],[VAT Rate]]</f>
        <v>67.679999999999993</v>
      </c>
      <c r="R345" s="1">
        <f>Table1[[#This Row],[Revenue]]+Table1[[#This Row],[VAT Charged]]</f>
        <v>406.08</v>
      </c>
      <c r="S345" s="1" cm="1">
        <f t="array" ref="S345">_xlfn.SWITCH(Table1[[#This Row],[Product ID]],"P001",140,"P002",80,"P003",72,"P004",30,"P005",110,"P006",24,"P007",14,"P008",12,"P009",115,"P010",360)</f>
        <v>24</v>
      </c>
      <c r="T345" s="1" cm="1">
        <f t="array" ref="T345">(_xlfn.SWITCH(Table1[[#This Row],[Product ID]],"P001",140,"P002",80,"P003",72,"P004",30,"P005",110,"P006",24,"P007",14,"P008",12,"P009",115,"P010",360))*Table1[[#This Row],[Quantity]]</f>
        <v>216</v>
      </c>
      <c r="U345" s="1" cm="1">
        <f t="array" ref="U345">_xlfn.SWITCH(Table1[[#This Row],[Product ID]],"P001",15,"P002",0,"P003",8,"P004",8,"P005",0,"P006",7,"P007",7,"P008",6,"P009",45,"P010",60)</f>
        <v>7</v>
      </c>
      <c r="V345" s="1">
        <f>Table1[[#This Row],[Shipping per Unit]]*Table1[[#This Row],[Quantity]]</f>
        <v>63</v>
      </c>
      <c r="W345" s="2">
        <f>IF(Table1[[#This Row],[Total Shipping]]&gt;0.1,0.2,0)</f>
        <v>0.2</v>
      </c>
      <c r="X345" s="4">
        <f>Table1[[#This Row],[Total Shipping]]*Table1[[#This Row],[VAT on Shipping]]</f>
        <v>12.600000000000001</v>
      </c>
      <c r="Y345" s="1">
        <f>Table1[[#This Row],[Revenue]]-Table1[[#This Row],[COGS]]</f>
        <v>122.39999999999998</v>
      </c>
      <c r="Z345" s="3">
        <f>(Table1[[#This Row],[Profit]]/Table1[[#This Row],[Revenue]])</f>
        <v>0.36170212765957444</v>
      </c>
      <c r="AA345" s="1">
        <f>Table1[[#This Row],[Profit]]-Table1[[#This Row],[Total Shipping]]</f>
        <v>59.399999999999977</v>
      </c>
      <c r="AB345" s="3">
        <f>Table1[[#This Row],[Operating Profit]]/Table1[[#This Row],[Revenue]]</f>
        <v>0.17553191489361697</v>
      </c>
    </row>
    <row r="346" spans="1:28" x14ac:dyDescent="0.25">
      <c r="A346" t="s">
        <v>206</v>
      </c>
      <c r="B346">
        <v>695</v>
      </c>
      <c r="C346" t="s">
        <v>56</v>
      </c>
      <c r="D346" t="s">
        <v>30</v>
      </c>
      <c r="E346" t="s">
        <v>40</v>
      </c>
      <c r="F346" t="s">
        <v>86</v>
      </c>
      <c r="G346" t="str" cm="1">
        <f t="array" ref="G346">_xlfn.SWITCH(F346,"Acme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46" t="s">
        <v>33</v>
      </c>
      <c r="I346" t="s">
        <v>42</v>
      </c>
      <c r="J346" t="str" cm="1">
        <f t="array" ref="J346">_xlfn.SWITCH(I346,"P001","Laptop","P002","Server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46" s="1" cm="1">
        <f t="array" ref="K346">_xlfn.SWITCH(Table1[[#This Row],[Product ID]],"P001",220,"P002",150,"P003",130,"P004",70,"P005",200,"P006",40,"P007",25,"P008",20,"P009",190,"P010",530)</f>
        <v>40</v>
      </c>
      <c r="L346">
        <v>17</v>
      </c>
      <c r="M346" s="1">
        <f>Table1[[#This Row],[Unit Price]]*Table1[[#This Row],[Quantity]]</f>
        <v>680</v>
      </c>
      <c r="N346" s="2">
        <v>0.03</v>
      </c>
      <c r="O346" s="1">
        <f>Table1[[#This Row],[Gross Value]]*(1-Table1[[#This Row],[Discount]])</f>
        <v>659.6</v>
      </c>
      <c r="P346" s="2">
        <v>0.2</v>
      </c>
      <c r="Q346" s="1">
        <f>Table1[[#This Row],[Revenue]]*Table1[[#This Row],[VAT Rate]]</f>
        <v>131.92000000000002</v>
      </c>
      <c r="R346" s="1">
        <f>Table1[[#This Row],[Revenue]]+Table1[[#This Row],[VAT Charged]]</f>
        <v>791.52</v>
      </c>
      <c r="S346" s="1" cm="1">
        <f t="array" ref="S346">_xlfn.SWITCH(Table1[[#This Row],[Product ID]],"P001",140,"P002",80,"P003",72,"P004",30,"P005",110,"P006",24,"P007",14,"P008",12,"P009",115,"P010",360)</f>
        <v>24</v>
      </c>
      <c r="T346" s="1" cm="1">
        <f t="array" ref="T346">(_xlfn.SWITCH(Table1[[#This Row],[Product ID]],"P001",140,"P002",80,"P003",72,"P004",30,"P005",110,"P006",24,"P007",14,"P008",12,"P009",115,"P010",360))*Table1[[#This Row],[Quantity]]</f>
        <v>408</v>
      </c>
      <c r="U346" s="1" cm="1">
        <f t="array" ref="U346">_xlfn.SWITCH(Table1[[#This Row],[Product ID]],"P001",15,"P002",0,"P003",8,"P004",8,"P005",0,"P006",7,"P007",7,"P008",6,"P009",45,"P010",60)</f>
        <v>7</v>
      </c>
      <c r="V346" s="1">
        <f>Table1[[#This Row],[Shipping per Unit]]*Table1[[#This Row],[Quantity]]</f>
        <v>119</v>
      </c>
      <c r="W346" s="2">
        <f>IF(Table1[[#This Row],[Total Shipping]]&gt;0.1,0.2,0)</f>
        <v>0.2</v>
      </c>
      <c r="X346" s="4">
        <f>Table1[[#This Row],[Total Shipping]]*Table1[[#This Row],[VAT on Shipping]]</f>
        <v>23.8</v>
      </c>
      <c r="Y346" s="1">
        <f>Table1[[#This Row],[Revenue]]-Table1[[#This Row],[COGS]]</f>
        <v>251.60000000000002</v>
      </c>
      <c r="Z346" s="3">
        <f>(Table1[[#This Row],[Profit]]/Table1[[#This Row],[Revenue]])</f>
        <v>0.3814432989690722</v>
      </c>
      <c r="AA346" s="1">
        <f>Table1[[#This Row],[Profit]]-Table1[[#This Row],[Total Shipping]]</f>
        <v>132.60000000000002</v>
      </c>
      <c r="AB346" s="3">
        <f>Table1[[#This Row],[Operating Profit]]/Table1[[#This Row],[Revenue]]</f>
        <v>0.20103092783505158</v>
      </c>
    </row>
    <row r="347" spans="1:28" x14ac:dyDescent="0.25">
      <c r="A347" t="s">
        <v>207</v>
      </c>
      <c r="B347">
        <v>76</v>
      </c>
      <c r="C347" t="s">
        <v>35</v>
      </c>
      <c r="D347" t="s">
        <v>63</v>
      </c>
      <c r="E347" t="s">
        <v>31</v>
      </c>
      <c r="F347" t="s">
        <v>84</v>
      </c>
      <c r="G347" t="str" cm="1">
        <f t="array" ref="G347">_xlfn.SWITCH(F347,"Acme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347" t="s">
        <v>45</v>
      </c>
      <c r="I347" t="s">
        <v>60</v>
      </c>
      <c r="J347" t="str" cm="1">
        <f t="array" ref="J347">_xlfn.SWITCH(I347,"P001","Laptop","P002","Server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47" s="1" cm="1">
        <f t="array" ref="K347">_xlfn.SWITCH(Table1[[#This Row],[Product ID]],"P001",220,"P002",150,"P003",130,"P004",70,"P005",200,"P006",40,"P007",25,"P008",20,"P009",190,"P010",530)</f>
        <v>25</v>
      </c>
      <c r="L347">
        <v>2</v>
      </c>
      <c r="M347" s="1">
        <f>Table1[[#This Row],[Unit Price]]*Table1[[#This Row],[Quantity]]</f>
        <v>50</v>
      </c>
      <c r="N347" s="2">
        <v>0.05</v>
      </c>
      <c r="O347" s="1">
        <f>Table1[[#This Row],[Gross Value]]*(1-Table1[[#This Row],[Discount]])</f>
        <v>47.5</v>
      </c>
      <c r="P347" s="2">
        <v>0.2</v>
      </c>
      <c r="Q347" s="1">
        <f>Table1[[#This Row],[Revenue]]*Table1[[#This Row],[VAT Rate]]</f>
        <v>9.5</v>
      </c>
      <c r="R347" s="1">
        <f>Table1[[#This Row],[Revenue]]+Table1[[#This Row],[VAT Charged]]</f>
        <v>57</v>
      </c>
      <c r="S347" s="1" cm="1">
        <f t="array" ref="S347">_xlfn.SWITCH(Table1[[#This Row],[Product ID]],"P001",140,"P002",80,"P003",72,"P004",30,"P005",110,"P006",24,"P007",14,"P008",12,"P009",115,"P010",360)</f>
        <v>14</v>
      </c>
      <c r="T347" s="1" cm="1">
        <f t="array" ref="T347">(_xlfn.SWITCH(Table1[[#This Row],[Product ID]],"P001",140,"P002",80,"P003",72,"P004",30,"P005",110,"P006",24,"P007",14,"P008",12,"P009",115,"P010",360))*Table1[[#This Row],[Quantity]]</f>
        <v>28</v>
      </c>
      <c r="U347" s="1" cm="1">
        <f t="array" ref="U347">_xlfn.SWITCH(Table1[[#This Row],[Product ID]],"P001",15,"P002",0,"P003",8,"P004",8,"P005",0,"P006",7,"P007",7,"P008",6,"P009",45,"P010",60)</f>
        <v>7</v>
      </c>
      <c r="V347" s="1">
        <f>Table1[[#This Row],[Shipping per Unit]]*Table1[[#This Row],[Quantity]]</f>
        <v>14</v>
      </c>
      <c r="W347" s="2">
        <f>IF(Table1[[#This Row],[Total Shipping]]&gt;0.1,0.2,0)</f>
        <v>0.2</v>
      </c>
      <c r="X347" s="4">
        <f>Table1[[#This Row],[Total Shipping]]*Table1[[#This Row],[VAT on Shipping]]</f>
        <v>2.8000000000000003</v>
      </c>
      <c r="Y347" s="1">
        <f>Table1[[#This Row],[Revenue]]-Table1[[#This Row],[COGS]]</f>
        <v>19.5</v>
      </c>
      <c r="Z347" s="3">
        <f>(Table1[[#This Row],[Profit]]/Table1[[#This Row],[Revenue]])</f>
        <v>0.41052631578947368</v>
      </c>
      <c r="AA347" s="1">
        <f>Table1[[#This Row],[Profit]]-Table1[[#This Row],[Total Shipping]]</f>
        <v>5.5</v>
      </c>
      <c r="AB347" s="3">
        <f>Table1[[#This Row],[Operating Profit]]/Table1[[#This Row],[Revenue]]</f>
        <v>0.11578947368421053</v>
      </c>
    </row>
    <row r="348" spans="1:28" x14ac:dyDescent="0.25">
      <c r="A348" t="s">
        <v>207</v>
      </c>
      <c r="B348">
        <v>762</v>
      </c>
      <c r="C348" t="s">
        <v>83</v>
      </c>
      <c r="D348" t="s">
        <v>72</v>
      </c>
      <c r="E348" t="s">
        <v>49</v>
      </c>
      <c r="F348" t="s">
        <v>86</v>
      </c>
      <c r="G348" t="str" cm="1">
        <f t="array" ref="G348">_xlfn.SWITCH(F348,"Acme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48" t="s">
        <v>58</v>
      </c>
      <c r="I348" t="s">
        <v>55</v>
      </c>
      <c r="J348" t="str" cm="1">
        <f t="array" ref="J348">_xlfn.SWITCH(I348,"P001","Laptop","P002","Server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48" s="1" cm="1">
        <f t="array" ref="K348">_xlfn.SWITCH(Table1[[#This Row],[Product ID]],"P001",220,"P002",150,"P003",130,"P004",70,"P005",200,"P006",40,"P007",25,"P008",20,"P009",190,"P010",530)</f>
        <v>70</v>
      </c>
      <c r="L348">
        <v>7</v>
      </c>
      <c r="M348" s="1">
        <f>Table1[[#This Row],[Unit Price]]*Table1[[#This Row],[Quantity]]</f>
        <v>490</v>
      </c>
      <c r="N348" s="2">
        <v>0.08</v>
      </c>
      <c r="O348" s="1">
        <f>Table1[[#This Row],[Gross Value]]*(1-Table1[[#This Row],[Discount]])</f>
        <v>450.8</v>
      </c>
      <c r="P348" s="2">
        <v>0.2</v>
      </c>
      <c r="Q348" s="1">
        <f>Table1[[#This Row],[Revenue]]*Table1[[#This Row],[VAT Rate]]</f>
        <v>90.160000000000011</v>
      </c>
      <c r="R348" s="1">
        <f>Table1[[#This Row],[Revenue]]+Table1[[#This Row],[VAT Charged]]</f>
        <v>540.96</v>
      </c>
      <c r="S348" s="1" cm="1">
        <f t="array" ref="S348">_xlfn.SWITCH(Table1[[#This Row],[Product ID]],"P001",140,"P002",80,"P003",72,"P004",30,"P005",110,"P006",24,"P007",14,"P008",12,"P009",115,"P010",360)</f>
        <v>30</v>
      </c>
      <c r="T348" s="1" cm="1">
        <f t="array" ref="T348">(_xlfn.SWITCH(Table1[[#This Row],[Product ID]],"P001",140,"P002",80,"P003",72,"P004",30,"P005",110,"P006",24,"P007",14,"P008",12,"P009",115,"P010",360))*Table1[[#This Row],[Quantity]]</f>
        <v>210</v>
      </c>
      <c r="U348" s="1" cm="1">
        <f t="array" ref="U348">_xlfn.SWITCH(Table1[[#This Row],[Product ID]],"P001",15,"P002",0,"P003",8,"P004",8,"P005",0,"P006",7,"P007",7,"P008",6,"P009",45,"P010",60)</f>
        <v>8</v>
      </c>
      <c r="V348" s="1">
        <f>Table1[[#This Row],[Shipping per Unit]]*Table1[[#This Row],[Quantity]]</f>
        <v>56</v>
      </c>
      <c r="W348" s="2">
        <f>IF(Table1[[#This Row],[Total Shipping]]&gt;0.1,0.2,0)</f>
        <v>0.2</v>
      </c>
      <c r="X348" s="4">
        <f>Table1[[#This Row],[Total Shipping]]*Table1[[#This Row],[VAT on Shipping]]</f>
        <v>11.200000000000001</v>
      </c>
      <c r="Y348" s="1">
        <f>Table1[[#This Row],[Revenue]]-Table1[[#This Row],[COGS]]</f>
        <v>240.8</v>
      </c>
      <c r="Z348" s="3">
        <f>(Table1[[#This Row],[Profit]]/Table1[[#This Row],[Revenue]])</f>
        <v>0.53416149068322982</v>
      </c>
      <c r="AA348" s="1">
        <f>Table1[[#This Row],[Profit]]-Table1[[#This Row],[Total Shipping]]</f>
        <v>184.8</v>
      </c>
      <c r="AB348" s="3">
        <f>Table1[[#This Row],[Operating Profit]]/Table1[[#This Row],[Revenue]]</f>
        <v>0.40993788819875776</v>
      </c>
    </row>
    <row r="349" spans="1:28" x14ac:dyDescent="0.25">
      <c r="A349" t="s">
        <v>207</v>
      </c>
      <c r="B349">
        <v>865</v>
      </c>
      <c r="C349" t="s">
        <v>38</v>
      </c>
      <c r="D349" t="s">
        <v>39</v>
      </c>
      <c r="E349" t="s">
        <v>31</v>
      </c>
      <c r="F349" t="s">
        <v>102</v>
      </c>
      <c r="G349" t="str" cm="1">
        <f t="array" ref="G349">_xlfn.SWITCH(F349,"Acme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349" t="s">
        <v>45</v>
      </c>
      <c r="I349" t="s">
        <v>55</v>
      </c>
      <c r="J349" t="str" cm="1">
        <f t="array" ref="J349">_xlfn.SWITCH(I349,"P001","Laptop","P002","Server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49" s="1" cm="1">
        <f t="array" ref="K349">_xlfn.SWITCH(Table1[[#This Row],[Product ID]],"P001",220,"P002",150,"P003",130,"P004",70,"P005",200,"P006",40,"P007",25,"P008",20,"P009",190,"P010",530)</f>
        <v>70</v>
      </c>
      <c r="L349">
        <v>3</v>
      </c>
      <c r="M349" s="1">
        <f>Table1[[#This Row],[Unit Price]]*Table1[[#This Row],[Quantity]]</f>
        <v>210</v>
      </c>
      <c r="N349" s="2">
        <v>0.05</v>
      </c>
      <c r="O349" s="1">
        <f>Table1[[#This Row],[Gross Value]]*(1-Table1[[#This Row],[Discount]])</f>
        <v>199.5</v>
      </c>
      <c r="P349" s="2">
        <v>0.2</v>
      </c>
      <c r="Q349" s="1">
        <f>Table1[[#This Row],[Revenue]]*Table1[[#This Row],[VAT Rate]]</f>
        <v>39.900000000000006</v>
      </c>
      <c r="R349" s="1">
        <f>Table1[[#This Row],[Revenue]]+Table1[[#This Row],[VAT Charged]]</f>
        <v>239.4</v>
      </c>
      <c r="S349" s="1" cm="1">
        <f t="array" ref="S349">_xlfn.SWITCH(Table1[[#This Row],[Product ID]],"P001",140,"P002",80,"P003",72,"P004",30,"P005",110,"P006",24,"P007",14,"P008",12,"P009",115,"P010",360)</f>
        <v>30</v>
      </c>
      <c r="T349" s="1" cm="1">
        <f t="array" ref="T349">(_xlfn.SWITCH(Table1[[#This Row],[Product ID]],"P001",140,"P002",80,"P003",72,"P004",30,"P005",110,"P006",24,"P007",14,"P008",12,"P009",115,"P010",360))*Table1[[#This Row],[Quantity]]</f>
        <v>90</v>
      </c>
      <c r="U349" s="1" cm="1">
        <f t="array" ref="U349">_xlfn.SWITCH(Table1[[#This Row],[Product ID]],"P001",15,"P002",0,"P003",8,"P004",8,"P005",0,"P006",7,"P007",7,"P008",6,"P009",45,"P010",60)</f>
        <v>8</v>
      </c>
      <c r="V349" s="1">
        <f>Table1[[#This Row],[Shipping per Unit]]*Table1[[#This Row],[Quantity]]</f>
        <v>24</v>
      </c>
      <c r="W349" s="2">
        <f>IF(Table1[[#This Row],[Total Shipping]]&gt;0.1,0.2,0)</f>
        <v>0.2</v>
      </c>
      <c r="X349" s="4">
        <f>Table1[[#This Row],[Total Shipping]]*Table1[[#This Row],[VAT on Shipping]]</f>
        <v>4.8000000000000007</v>
      </c>
      <c r="Y349" s="1">
        <f>Table1[[#This Row],[Revenue]]-Table1[[#This Row],[COGS]]</f>
        <v>109.5</v>
      </c>
      <c r="Z349" s="3">
        <f>(Table1[[#This Row],[Profit]]/Table1[[#This Row],[Revenue]])</f>
        <v>0.54887218045112784</v>
      </c>
      <c r="AA349" s="1">
        <f>Table1[[#This Row],[Profit]]-Table1[[#This Row],[Total Shipping]]</f>
        <v>85.5</v>
      </c>
      <c r="AB349" s="3">
        <f>Table1[[#This Row],[Operating Profit]]/Table1[[#This Row],[Revenue]]</f>
        <v>0.42857142857142855</v>
      </c>
    </row>
    <row r="350" spans="1:28" x14ac:dyDescent="0.25">
      <c r="A350" t="s">
        <v>208</v>
      </c>
      <c r="B350">
        <v>269</v>
      </c>
      <c r="C350" t="s">
        <v>62</v>
      </c>
      <c r="D350" t="s">
        <v>72</v>
      </c>
      <c r="E350" t="s">
        <v>40</v>
      </c>
      <c r="F350" t="s">
        <v>113</v>
      </c>
      <c r="G350" t="str" cm="1">
        <f t="array" ref="G350">_xlfn.SWITCH(F350,"Acme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350" t="s">
        <v>69</v>
      </c>
      <c r="I350" t="s">
        <v>46</v>
      </c>
      <c r="J350" t="str" cm="1">
        <f t="array" ref="J350">_xlfn.SWITCH(I350,"P001","Laptop","P002","Server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350" s="1" cm="1">
        <f t="array" ref="K350">_xlfn.SWITCH(Table1[[#This Row],[Product ID]],"P001",220,"P002",150,"P003",130,"P004",70,"P005",200,"P006",40,"P007",25,"P008",20,"P009",190,"P010",530)</f>
        <v>530</v>
      </c>
      <c r="L350">
        <v>12</v>
      </c>
      <c r="M350" s="1">
        <f>Table1[[#This Row],[Unit Price]]*Table1[[#This Row],[Quantity]]</f>
        <v>6360</v>
      </c>
      <c r="N350" s="2">
        <v>0.05</v>
      </c>
      <c r="O350" s="1">
        <f>Table1[[#This Row],[Gross Value]]*(1-Table1[[#This Row],[Discount]])</f>
        <v>6042</v>
      </c>
      <c r="P350" s="2">
        <v>0.2</v>
      </c>
      <c r="Q350" s="1">
        <f>Table1[[#This Row],[Revenue]]*Table1[[#This Row],[VAT Rate]]</f>
        <v>1208.4000000000001</v>
      </c>
      <c r="R350" s="1">
        <f>Table1[[#This Row],[Revenue]]+Table1[[#This Row],[VAT Charged]]</f>
        <v>7250.4</v>
      </c>
      <c r="S350" s="1" cm="1">
        <f t="array" ref="S350">_xlfn.SWITCH(Table1[[#This Row],[Product ID]],"P001",140,"P002",80,"P003",72,"P004",30,"P005",110,"P006",24,"P007",14,"P008",12,"P009",115,"P010",360)</f>
        <v>360</v>
      </c>
      <c r="T350" s="1" cm="1">
        <f t="array" ref="T350">(_xlfn.SWITCH(Table1[[#This Row],[Product ID]],"P001",140,"P002",80,"P003",72,"P004",30,"P005",110,"P006",24,"P007",14,"P008",12,"P009",115,"P010",360))*Table1[[#This Row],[Quantity]]</f>
        <v>4320</v>
      </c>
      <c r="U350" s="1" cm="1">
        <f t="array" ref="U350">_xlfn.SWITCH(Table1[[#This Row],[Product ID]],"P001",15,"P002",0,"P003",8,"P004",8,"P005",0,"P006",7,"P007",7,"P008",6,"P009",45,"P010",60)</f>
        <v>60</v>
      </c>
      <c r="V350" s="1">
        <f>Table1[[#This Row],[Shipping per Unit]]*Table1[[#This Row],[Quantity]]</f>
        <v>720</v>
      </c>
      <c r="W350" s="2">
        <f>IF(Table1[[#This Row],[Total Shipping]]&gt;0.1,0.2,0)</f>
        <v>0.2</v>
      </c>
      <c r="X350" s="4">
        <f>Table1[[#This Row],[Total Shipping]]*Table1[[#This Row],[VAT on Shipping]]</f>
        <v>144</v>
      </c>
      <c r="Y350" s="1">
        <f>Table1[[#This Row],[Revenue]]-Table1[[#This Row],[COGS]]</f>
        <v>1722</v>
      </c>
      <c r="Z350" s="3">
        <f>(Table1[[#This Row],[Profit]]/Table1[[#This Row],[Revenue]])</f>
        <v>0.28500496524329694</v>
      </c>
      <c r="AA350" s="1">
        <f>Table1[[#This Row],[Profit]]-Table1[[#This Row],[Total Shipping]]</f>
        <v>1002</v>
      </c>
      <c r="AB350" s="3">
        <f>Table1[[#This Row],[Operating Profit]]/Table1[[#This Row],[Revenue]]</f>
        <v>0.16583912611717974</v>
      </c>
    </row>
    <row r="351" spans="1:28" x14ac:dyDescent="0.25">
      <c r="A351" t="s">
        <v>208</v>
      </c>
      <c r="B351">
        <v>443</v>
      </c>
      <c r="C351" t="s">
        <v>56</v>
      </c>
      <c r="D351" t="s">
        <v>48</v>
      </c>
      <c r="E351" t="s">
        <v>49</v>
      </c>
      <c r="F351" t="s">
        <v>126</v>
      </c>
      <c r="G351" t="str" cm="1">
        <f t="array" ref="G351">_xlfn.SWITCH(F351,"Acme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351" t="s">
        <v>45</v>
      </c>
      <c r="I351" t="s">
        <v>60</v>
      </c>
      <c r="J351" t="str" cm="1">
        <f t="array" ref="J351">_xlfn.SWITCH(I351,"P001","Laptop","P002","Server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51" s="1" cm="1">
        <f t="array" ref="K351">_xlfn.SWITCH(Table1[[#This Row],[Product ID]],"P001",220,"P002",150,"P003",130,"P004",70,"P005",200,"P006",40,"P007",25,"P008",20,"P009",190,"P010",530)</f>
        <v>25</v>
      </c>
      <c r="L351">
        <v>16</v>
      </c>
      <c r="M351" s="1">
        <f>Table1[[#This Row],[Unit Price]]*Table1[[#This Row],[Quantity]]</f>
        <v>400</v>
      </c>
      <c r="N351" s="2">
        <v>0.03</v>
      </c>
      <c r="O351" s="1">
        <f>Table1[[#This Row],[Gross Value]]*(1-Table1[[#This Row],[Discount]])</f>
        <v>388</v>
      </c>
      <c r="P351" s="2">
        <v>0.2</v>
      </c>
      <c r="Q351" s="1">
        <f>Table1[[#This Row],[Revenue]]*Table1[[#This Row],[VAT Rate]]</f>
        <v>77.600000000000009</v>
      </c>
      <c r="R351" s="1">
        <f>Table1[[#This Row],[Revenue]]+Table1[[#This Row],[VAT Charged]]</f>
        <v>465.6</v>
      </c>
      <c r="S351" s="1" cm="1">
        <f t="array" ref="S351">_xlfn.SWITCH(Table1[[#This Row],[Product ID]],"P001",140,"P002",80,"P003",72,"P004",30,"P005",110,"P006",24,"P007",14,"P008",12,"P009",115,"P010",360)</f>
        <v>14</v>
      </c>
      <c r="T351" s="1" cm="1">
        <f t="array" ref="T351">(_xlfn.SWITCH(Table1[[#This Row],[Product ID]],"P001",140,"P002",80,"P003",72,"P004",30,"P005",110,"P006",24,"P007",14,"P008",12,"P009",115,"P010",360))*Table1[[#This Row],[Quantity]]</f>
        <v>224</v>
      </c>
      <c r="U351" s="1" cm="1">
        <f t="array" ref="U351">_xlfn.SWITCH(Table1[[#This Row],[Product ID]],"P001",15,"P002",0,"P003",8,"P004",8,"P005",0,"P006",7,"P007",7,"P008",6,"P009",45,"P010",60)</f>
        <v>7</v>
      </c>
      <c r="V351" s="1">
        <f>Table1[[#This Row],[Shipping per Unit]]*Table1[[#This Row],[Quantity]]</f>
        <v>112</v>
      </c>
      <c r="W351" s="2">
        <f>IF(Table1[[#This Row],[Total Shipping]]&gt;0.1,0.2,0)</f>
        <v>0.2</v>
      </c>
      <c r="X351" s="4">
        <f>Table1[[#This Row],[Total Shipping]]*Table1[[#This Row],[VAT on Shipping]]</f>
        <v>22.400000000000002</v>
      </c>
      <c r="Y351" s="1">
        <f>Table1[[#This Row],[Revenue]]-Table1[[#This Row],[COGS]]</f>
        <v>164</v>
      </c>
      <c r="Z351" s="3">
        <f>(Table1[[#This Row],[Profit]]/Table1[[#This Row],[Revenue]])</f>
        <v>0.42268041237113402</v>
      </c>
      <c r="AA351" s="1">
        <f>Table1[[#This Row],[Profit]]-Table1[[#This Row],[Total Shipping]]</f>
        <v>52</v>
      </c>
      <c r="AB351" s="3">
        <f>Table1[[#This Row],[Operating Profit]]/Table1[[#This Row],[Revenue]]</f>
        <v>0.13402061855670103</v>
      </c>
    </row>
    <row r="352" spans="1:28" x14ac:dyDescent="0.25">
      <c r="A352" t="s">
        <v>208</v>
      </c>
      <c r="B352">
        <v>552</v>
      </c>
      <c r="C352" t="s">
        <v>62</v>
      </c>
      <c r="D352" t="s">
        <v>57</v>
      </c>
      <c r="E352" t="s">
        <v>31</v>
      </c>
      <c r="F352" t="s">
        <v>78</v>
      </c>
      <c r="G352" t="str" cm="1">
        <f t="array" ref="G352">_xlfn.SWITCH(F352,"Acme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352" t="s">
        <v>33</v>
      </c>
      <c r="I352" t="s">
        <v>42</v>
      </c>
      <c r="J352" t="str" cm="1">
        <f t="array" ref="J352">_xlfn.SWITCH(I352,"P001","Laptop","P002","Server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52" s="1" cm="1">
        <f t="array" ref="K352">_xlfn.SWITCH(Table1[[#This Row],[Product ID]],"P001",220,"P002",150,"P003",130,"P004",70,"P005",200,"P006",40,"P007",25,"P008",20,"P009",190,"P010",530)</f>
        <v>40</v>
      </c>
      <c r="L352">
        <v>4</v>
      </c>
      <c r="M352" s="1">
        <f>Table1[[#This Row],[Unit Price]]*Table1[[#This Row],[Quantity]]</f>
        <v>160</v>
      </c>
      <c r="N352" s="2">
        <v>0.1</v>
      </c>
      <c r="O352" s="1">
        <f>Table1[[#This Row],[Gross Value]]*(1-Table1[[#This Row],[Discount]])</f>
        <v>144</v>
      </c>
      <c r="P352" s="2">
        <v>0.2</v>
      </c>
      <c r="Q352" s="1">
        <f>Table1[[#This Row],[Revenue]]*Table1[[#This Row],[VAT Rate]]</f>
        <v>28.8</v>
      </c>
      <c r="R352" s="1">
        <f>Table1[[#This Row],[Revenue]]+Table1[[#This Row],[VAT Charged]]</f>
        <v>172.8</v>
      </c>
      <c r="S352" s="1" cm="1">
        <f t="array" ref="S352">_xlfn.SWITCH(Table1[[#This Row],[Product ID]],"P001",140,"P002",80,"P003",72,"P004",30,"P005",110,"P006",24,"P007",14,"P008",12,"P009",115,"P010",360)</f>
        <v>24</v>
      </c>
      <c r="T352" s="1" cm="1">
        <f t="array" ref="T352">(_xlfn.SWITCH(Table1[[#This Row],[Product ID]],"P001",140,"P002",80,"P003",72,"P004",30,"P005",110,"P006",24,"P007",14,"P008",12,"P009",115,"P010",360))*Table1[[#This Row],[Quantity]]</f>
        <v>96</v>
      </c>
      <c r="U352" s="1" cm="1">
        <f t="array" ref="U352">_xlfn.SWITCH(Table1[[#This Row],[Product ID]],"P001",15,"P002",0,"P003",8,"P004",8,"P005",0,"P006",7,"P007",7,"P008",6,"P009",45,"P010",60)</f>
        <v>7</v>
      </c>
      <c r="V352" s="1">
        <f>Table1[[#This Row],[Shipping per Unit]]*Table1[[#This Row],[Quantity]]</f>
        <v>28</v>
      </c>
      <c r="W352" s="2">
        <f>IF(Table1[[#This Row],[Total Shipping]]&gt;0.1,0.2,0)</f>
        <v>0.2</v>
      </c>
      <c r="X352" s="4">
        <f>Table1[[#This Row],[Total Shipping]]*Table1[[#This Row],[VAT on Shipping]]</f>
        <v>5.6000000000000005</v>
      </c>
      <c r="Y352" s="1">
        <f>Table1[[#This Row],[Revenue]]-Table1[[#This Row],[COGS]]</f>
        <v>48</v>
      </c>
      <c r="Z352" s="3">
        <f>(Table1[[#This Row],[Profit]]/Table1[[#This Row],[Revenue]])</f>
        <v>0.33333333333333331</v>
      </c>
      <c r="AA352" s="1">
        <f>Table1[[#This Row],[Profit]]-Table1[[#This Row],[Total Shipping]]</f>
        <v>20</v>
      </c>
      <c r="AB352" s="3">
        <f>Table1[[#This Row],[Operating Profit]]/Table1[[#This Row],[Revenue]]</f>
        <v>0.1388888888888889</v>
      </c>
    </row>
    <row r="353" spans="1:28" x14ac:dyDescent="0.25">
      <c r="A353" t="s">
        <v>209</v>
      </c>
      <c r="B353">
        <v>367</v>
      </c>
      <c r="C353" t="s">
        <v>56</v>
      </c>
      <c r="D353" t="s">
        <v>53</v>
      </c>
      <c r="E353" t="s">
        <v>31</v>
      </c>
      <c r="F353" t="s">
        <v>44</v>
      </c>
      <c r="G353" t="str" cm="1">
        <f t="array" ref="G353">_xlfn.SWITCH(F353,"Acme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353" t="s">
        <v>45</v>
      </c>
      <c r="I353" t="s">
        <v>52</v>
      </c>
      <c r="J353" t="str" cm="1">
        <f t="array" ref="J353">_xlfn.SWITCH(I353,"P001","Laptop","P002","Server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53" s="1" cm="1">
        <f t="array" ref="K353">_xlfn.SWITCH(Table1[[#This Row],[Product ID]],"P001",220,"P002",150,"P003",130,"P004",70,"P005",200,"P006",40,"P007",25,"P008",20,"P009",190,"P010",530)</f>
        <v>130</v>
      </c>
      <c r="L353">
        <v>6</v>
      </c>
      <c r="M353" s="1">
        <f>Table1[[#This Row],[Unit Price]]*Table1[[#This Row],[Quantity]]</f>
        <v>780</v>
      </c>
      <c r="N353" s="2">
        <v>0.04</v>
      </c>
      <c r="O353" s="1">
        <f>Table1[[#This Row],[Gross Value]]*(1-Table1[[#This Row],[Discount]])</f>
        <v>748.8</v>
      </c>
      <c r="P353" s="2">
        <v>0.2</v>
      </c>
      <c r="Q353" s="1">
        <f>Table1[[#This Row],[Revenue]]*Table1[[#This Row],[VAT Rate]]</f>
        <v>149.76</v>
      </c>
      <c r="R353" s="1">
        <f>Table1[[#This Row],[Revenue]]+Table1[[#This Row],[VAT Charged]]</f>
        <v>898.56</v>
      </c>
      <c r="S353" s="1" cm="1">
        <f t="array" ref="S353">_xlfn.SWITCH(Table1[[#This Row],[Product ID]],"P001",140,"P002",80,"P003",72,"P004",30,"P005",110,"P006",24,"P007",14,"P008",12,"P009",115,"P010",360)</f>
        <v>72</v>
      </c>
      <c r="T353" s="1" cm="1">
        <f t="array" ref="T353">(_xlfn.SWITCH(Table1[[#This Row],[Product ID]],"P001",140,"P002",80,"P003",72,"P004",30,"P005",110,"P006",24,"P007",14,"P008",12,"P009",115,"P010",360))*Table1[[#This Row],[Quantity]]</f>
        <v>432</v>
      </c>
      <c r="U353" s="1" cm="1">
        <f t="array" ref="U353">_xlfn.SWITCH(Table1[[#This Row],[Product ID]],"P001",15,"P002",0,"P003",8,"P004",8,"P005",0,"P006",7,"P007",7,"P008",6,"P009",45,"P010",60)</f>
        <v>8</v>
      </c>
      <c r="V353" s="1">
        <f>Table1[[#This Row],[Shipping per Unit]]*Table1[[#This Row],[Quantity]]</f>
        <v>48</v>
      </c>
      <c r="W353" s="2">
        <f>IF(Table1[[#This Row],[Total Shipping]]&gt;0.1,0.2,0)</f>
        <v>0.2</v>
      </c>
      <c r="X353" s="4">
        <f>Table1[[#This Row],[Total Shipping]]*Table1[[#This Row],[VAT on Shipping]]</f>
        <v>9.6000000000000014</v>
      </c>
      <c r="Y353" s="1">
        <f>Table1[[#This Row],[Revenue]]-Table1[[#This Row],[COGS]]</f>
        <v>316.79999999999995</v>
      </c>
      <c r="Z353" s="3">
        <f>(Table1[[#This Row],[Profit]]/Table1[[#This Row],[Revenue]])</f>
        <v>0.42307692307692302</v>
      </c>
      <c r="AA353" s="1">
        <f>Table1[[#This Row],[Profit]]-Table1[[#This Row],[Total Shipping]]</f>
        <v>268.79999999999995</v>
      </c>
      <c r="AB353" s="3">
        <f>Table1[[#This Row],[Operating Profit]]/Table1[[#This Row],[Revenue]]</f>
        <v>0.35897435897435892</v>
      </c>
    </row>
    <row r="354" spans="1:28" x14ac:dyDescent="0.25">
      <c r="A354" t="s">
        <v>209</v>
      </c>
      <c r="B354">
        <v>888</v>
      </c>
      <c r="C354" t="s">
        <v>71</v>
      </c>
      <c r="D354" t="s">
        <v>39</v>
      </c>
      <c r="E354" t="s">
        <v>31</v>
      </c>
      <c r="F354" t="s">
        <v>64</v>
      </c>
      <c r="G354" t="str" cm="1">
        <f t="array" ref="G354">_xlfn.SWITCH(F354,"Acme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354" t="s">
        <v>33</v>
      </c>
      <c r="I354" t="s">
        <v>42</v>
      </c>
      <c r="J354" t="str" cm="1">
        <f t="array" ref="J354">_xlfn.SWITCH(I354,"P001","Laptop","P002","Server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54" s="1" cm="1">
        <f t="array" ref="K354">_xlfn.SWITCH(Table1[[#This Row],[Product ID]],"P001",220,"P002",150,"P003",130,"P004",70,"P005",200,"P006",40,"P007",25,"P008",20,"P009",190,"P010",530)</f>
        <v>40</v>
      </c>
      <c r="L354">
        <v>3</v>
      </c>
      <c r="M354" s="1">
        <f>Table1[[#This Row],[Unit Price]]*Table1[[#This Row],[Quantity]]</f>
        <v>120</v>
      </c>
      <c r="N354" s="2">
        <v>0.05</v>
      </c>
      <c r="O354" s="1">
        <f>Table1[[#This Row],[Gross Value]]*(1-Table1[[#This Row],[Discount]])</f>
        <v>114</v>
      </c>
      <c r="P354" s="2">
        <v>0.2</v>
      </c>
      <c r="Q354" s="1">
        <f>Table1[[#This Row],[Revenue]]*Table1[[#This Row],[VAT Rate]]</f>
        <v>22.8</v>
      </c>
      <c r="R354" s="1">
        <f>Table1[[#This Row],[Revenue]]+Table1[[#This Row],[VAT Charged]]</f>
        <v>136.80000000000001</v>
      </c>
      <c r="S354" s="1" cm="1">
        <f t="array" ref="S354">_xlfn.SWITCH(Table1[[#This Row],[Product ID]],"P001",140,"P002",80,"P003",72,"P004",30,"P005",110,"P006",24,"P007",14,"P008",12,"P009",115,"P010",360)</f>
        <v>24</v>
      </c>
      <c r="T354" s="1" cm="1">
        <f t="array" ref="T354">(_xlfn.SWITCH(Table1[[#This Row],[Product ID]],"P001",140,"P002",80,"P003",72,"P004",30,"P005",110,"P006",24,"P007",14,"P008",12,"P009",115,"P010",360))*Table1[[#This Row],[Quantity]]</f>
        <v>72</v>
      </c>
      <c r="U354" s="1" cm="1">
        <f t="array" ref="U354">_xlfn.SWITCH(Table1[[#This Row],[Product ID]],"P001",15,"P002",0,"P003",8,"P004",8,"P005",0,"P006",7,"P007",7,"P008",6,"P009",45,"P010",60)</f>
        <v>7</v>
      </c>
      <c r="V354" s="1">
        <f>Table1[[#This Row],[Shipping per Unit]]*Table1[[#This Row],[Quantity]]</f>
        <v>21</v>
      </c>
      <c r="W354" s="2">
        <f>IF(Table1[[#This Row],[Total Shipping]]&gt;0.1,0.2,0)</f>
        <v>0.2</v>
      </c>
      <c r="X354" s="4">
        <f>Table1[[#This Row],[Total Shipping]]*Table1[[#This Row],[VAT on Shipping]]</f>
        <v>4.2</v>
      </c>
      <c r="Y354" s="1">
        <f>Table1[[#This Row],[Revenue]]-Table1[[#This Row],[COGS]]</f>
        <v>42</v>
      </c>
      <c r="Z354" s="3">
        <f>(Table1[[#This Row],[Profit]]/Table1[[#This Row],[Revenue]])</f>
        <v>0.36842105263157893</v>
      </c>
      <c r="AA354" s="1">
        <f>Table1[[#This Row],[Profit]]-Table1[[#This Row],[Total Shipping]]</f>
        <v>21</v>
      </c>
      <c r="AB354" s="3">
        <f>Table1[[#This Row],[Operating Profit]]/Table1[[#This Row],[Revenue]]</f>
        <v>0.18421052631578946</v>
      </c>
    </row>
    <row r="355" spans="1:28" x14ac:dyDescent="0.25">
      <c r="A355" t="s">
        <v>210</v>
      </c>
      <c r="B355">
        <v>776</v>
      </c>
      <c r="C355" t="s">
        <v>29</v>
      </c>
      <c r="D355" t="s">
        <v>72</v>
      </c>
      <c r="E355" t="s">
        <v>40</v>
      </c>
      <c r="F355" t="s">
        <v>76</v>
      </c>
      <c r="G355" t="str" cm="1">
        <f t="array" ref="G355">_xlfn.SWITCH(F355,"Acme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355" t="s">
        <v>45</v>
      </c>
      <c r="I355" t="s">
        <v>55</v>
      </c>
      <c r="J355" t="str" cm="1">
        <f t="array" ref="J355">_xlfn.SWITCH(I355,"P001","Laptop","P002","Server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55" s="1" cm="1">
        <f t="array" ref="K355">_xlfn.SWITCH(Table1[[#This Row],[Product ID]],"P001",220,"P002",150,"P003",130,"P004",70,"P005",200,"P006",40,"P007",25,"P008",20,"P009",190,"P010",530)</f>
        <v>70</v>
      </c>
      <c r="L355">
        <v>11</v>
      </c>
      <c r="M355" s="1">
        <f>Table1[[#This Row],[Unit Price]]*Table1[[#This Row],[Quantity]]</f>
        <v>770</v>
      </c>
      <c r="N355" s="2">
        <v>0.02</v>
      </c>
      <c r="O355" s="1">
        <f>Table1[[#This Row],[Gross Value]]*(1-Table1[[#This Row],[Discount]])</f>
        <v>754.6</v>
      </c>
      <c r="P355" s="2">
        <v>0.2</v>
      </c>
      <c r="Q355" s="1">
        <f>Table1[[#This Row],[Revenue]]*Table1[[#This Row],[VAT Rate]]</f>
        <v>150.92000000000002</v>
      </c>
      <c r="R355" s="1">
        <f>Table1[[#This Row],[Revenue]]+Table1[[#This Row],[VAT Charged]]</f>
        <v>905.52</v>
      </c>
      <c r="S355" s="1" cm="1">
        <f t="array" ref="S355">_xlfn.SWITCH(Table1[[#This Row],[Product ID]],"P001",140,"P002",80,"P003",72,"P004",30,"P005",110,"P006",24,"P007",14,"P008",12,"P009",115,"P010",360)</f>
        <v>30</v>
      </c>
      <c r="T355" s="1" cm="1">
        <f t="array" ref="T355">(_xlfn.SWITCH(Table1[[#This Row],[Product ID]],"P001",140,"P002",80,"P003",72,"P004",30,"P005",110,"P006",24,"P007",14,"P008",12,"P009",115,"P010",360))*Table1[[#This Row],[Quantity]]</f>
        <v>330</v>
      </c>
      <c r="U355" s="1" cm="1">
        <f t="array" ref="U355">_xlfn.SWITCH(Table1[[#This Row],[Product ID]],"P001",15,"P002",0,"P003",8,"P004",8,"P005",0,"P006",7,"P007",7,"P008",6,"P009",45,"P010",60)</f>
        <v>8</v>
      </c>
      <c r="V355" s="1">
        <f>Table1[[#This Row],[Shipping per Unit]]*Table1[[#This Row],[Quantity]]</f>
        <v>88</v>
      </c>
      <c r="W355" s="2">
        <f>IF(Table1[[#This Row],[Total Shipping]]&gt;0.1,0.2,0)</f>
        <v>0.2</v>
      </c>
      <c r="X355" s="4">
        <f>Table1[[#This Row],[Total Shipping]]*Table1[[#This Row],[VAT on Shipping]]</f>
        <v>17.600000000000001</v>
      </c>
      <c r="Y355" s="1">
        <f>Table1[[#This Row],[Revenue]]-Table1[[#This Row],[COGS]]</f>
        <v>424.6</v>
      </c>
      <c r="Z355" s="3">
        <f>(Table1[[#This Row],[Profit]]/Table1[[#This Row],[Revenue]])</f>
        <v>0.56268221574344024</v>
      </c>
      <c r="AA355" s="1">
        <f>Table1[[#This Row],[Profit]]-Table1[[#This Row],[Total Shipping]]</f>
        <v>336.6</v>
      </c>
      <c r="AB355" s="3">
        <f>Table1[[#This Row],[Operating Profit]]/Table1[[#This Row],[Revenue]]</f>
        <v>0.44606413994169097</v>
      </c>
    </row>
    <row r="356" spans="1:28" x14ac:dyDescent="0.25">
      <c r="A356" t="s">
        <v>210</v>
      </c>
      <c r="B356">
        <v>957</v>
      </c>
      <c r="C356" t="s">
        <v>38</v>
      </c>
      <c r="D356" t="s">
        <v>95</v>
      </c>
      <c r="E356" t="s">
        <v>31</v>
      </c>
      <c r="F356" t="s">
        <v>37</v>
      </c>
      <c r="G356" t="str" cm="1">
        <f t="array" ref="G356">_xlfn.SWITCH(F356,"Acme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356" t="s">
        <v>45</v>
      </c>
      <c r="I356" t="s">
        <v>55</v>
      </c>
      <c r="J356" t="str" cm="1">
        <f t="array" ref="J356">_xlfn.SWITCH(I356,"P001","Laptop","P002","Server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56" s="1" cm="1">
        <f t="array" ref="K356">_xlfn.SWITCH(Table1[[#This Row],[Product ID]],"P001",220,"P002",150,"P003",130,"P004",70,"P005",200,"P006",40,"P007",25,"P008",20,"P009",190,"P010",530)</f>
        <v>70</v>
      </c>
      <c r="L356">
        <v>10</v>
      </c>
      <c r="M356" s="1">
        <f>Table1[[#This Row],[Unit Price]]*Table1[[#This Row],[Quantity]]</f>
        <v>700</v>
      </c>
      <c r="N356" s="2">
        <v>0.03</v>
      </c>
      <c r="O356" s="1">
        <f>Table1[[#This Row],[Gross Value]]*(1-Table1[[#This Row],[Discount]])</f>
        <v>679</v>
      </c>
      <c r="P356" s="2">
        <v>0.2</v>
      </c>
      <c r="Q356" s="1">
        <f>Table1[[#This Row],[Revenue]]*Table1[[#This Row],[VAT Rate]]</f>
        <v>135.80000000000001</v>
      </c>
      <c r="R356" s="1">
        <f>Table1[[#This Row],[Revenue]]+Table1[[#This Row],[VAT Charged]]</f>
        <v>814.8</v>
      </c>
      <c r="S356" s="1" cm="1">
        <f t="array" ref="S356">_xlfn.SWITCH(Table1[[#This Row],[Product ID]],"P001",140,"P002",80,"P003",72,"P004",30,"P005",110,"P006",24,"P007",14,"P008",12,"P009",115,"P010",360)</f>
        <v>30</v>
      </c>
      <c r="T356" s="1" cm="1">
        <f t="array" ref="T356">(_xlfn.SWITCH(Table1[[#This Row],[Product ID]],"P001",140,"P002",80,"P003",72,"P004",30,"P005",110,"P006",24,"P007",14,"P008",12,"P009",115,"P010",360))*Table1[[#This Row],[Quantity]]</f>
        <v>300</v>
      </c>
      <c r="U356" s="1" cm="1">
        <f t="array" ref="U356">_xlfn.SWITCH(Table1[[#This Row],[Product ID]],"P001",15,"P002",0,"P003",8,"P004",8,"P005",0,"P006",7,"P007",7,"P008",6,"P009",45,"P010",60)</f>
        <v>8</v>
      </c>
      <c r="V356" s="1">
        <f>Table1[[#This Row],[Shipping per Unit]]*Table1[[#This Row],[Quantity]]</f>
        <v>80</v>
      </c>
      <c r="W356" s="2">
        <f>IF(Table1[[#This Row],[Total Shipping]]&gt;0.1,0.2,0)</f>
        <v>0.2</v>
      </c>
      <c r="X356" s="4">
        <f>Table1[[#This Row],[Total Shipping]]*Table1[[#This Row],[VAT on Shipping]]</f>
        <v>16</v>
      </c>
      <c r="Y356" s="1">
        <f>Table1[[#This Row],[Revenue]]-Table1[[#This Row],[COGS]]</f>
        <v>379</v>
      </c>
      <c r="Z356" s="3">
        <f>(Table1[[#This Row],[Profit]]/Table1[[#This Row],[Revenue]])</f>
        <v>0.5581737849779087</v>
      </c>
      <c r="AA356" s="1">
        <f>Table1[[#This Row],[Profit]]-Table1[[#This Row],[Total Shipping]]</f>
        <v>299</v>
      </c>
      <c r="AB356" s="3">
        <f>Table1[[#This Row],[Operating Profit]]/Table1[[#This Row],[Revenue]]</f>
        <v>0.44035346097201766</v>
      </c>
    </row>
    <row r="357" spans="1:28" x14ac:dyDescent="0.25">
      <c r="A357" t="s">
        <v>211</v>
      </c>
      <c r="B357">
        <v>789</v>
      </c>
      <c r="C357" t="s">
        <v>62</v>
      </c>
      <c r="D357" t="s">
        <v>67</v>
      </c>
      <c r="E357" t="s">
        <v>40</v>
      </c>
      <c r="F357" t="s">
        <v>59</v>
      </c>
      <c r="G357" t="str" cm="1">
        <f t="array" ref="G357">_xlfn.SWITCH(F357,"Acme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357" t="s">
        <v>104</v>
      </c>
      <c r="I357" t="s">
        <v>68</v>
      </c>
      <c r="J357" t="str" cm="1">
        <f t="array" ref="J357">_xlfn.SWITCH(I357,"P001","Laptop","P002","Server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57" s="1" cm="1">
        <f t="array" ref="K357">_xlfn.SWITCH(Table1[[#This Row],[Product ID]],"P001",220,"P002",150,"P003",130,"P004",70,"P005",200,"P006",40,"P007",25,"P008",20,"P009",190,"P010",530)</f>
        <v>220</v>
      </c>
      <c r="L357">
        <v>15</v>
      </c>
      <c r="M357" s="1">
        <f>Table1[[#This Row],[Unit Price]]*Table1[[#This Row],[Quantity]]</f>
        <v>3300</v>
      </c>
      <c r="N357" s="2">
        <v>0.05</v>
      </c>
      <c r="O357" s="1">
        <f>Table1[[#This Row],[Gross Value]]*(1-Table1[[#This Row],[Discount]])</f>
        <v>3135</v>
      </c>
      <c r="P357" s="2">
        <v>0.2</v>
      </c>
      <c r="Q357" s="1">
        <f>Table1[[#This Row],[Revenue]]*Table1[[#This Row],[VAT Rate]]</f>
        <v>627</v>
      </c>
      <c r="R357" s="1">
        <f>Table1[[#This Row],[Revenue]]+Table1[[#This Row],[VAT Charged]]</f>
        <v>3762</v>
      </c>
      <c r="S357" s="1" cm="1">
        <f t="array" ref="S357">_xlfn.SWITCH(Table1[[#This Row],[Product ID]],"P001",140,"P002",80,"P003",72,"P004",30,"P005",110,"P006",24,"P007",14,"P008",12,"P009",115,"P010",360)</f>
        <v>140</v>
      </c>
      <c r="T357" s="1" cm="1">
        <f t="array" ref="T357">(_xlfn.SWITCH(Table1[[#This Row],[Product ID]],"P001",140,"P002",80,"P003",72,"P004",30,"P005",110,"P006",24,"P007",14,"P008",12,"P009",115,"P010",360))*Table1[[#This Row],[Quantity]]</f>
        <v>2100</v>
      </c>
      <c r="U357" s="1" cm="1">
        <f t="array" ref="U357">_xlfn.SWITCH(Table1[[#This Row],[Product ID]],"P001",15,"P002",0,"P003",8,"P004",8,"P005",0,"P006",7,"P007",7,"P008",6,"P009",45,"P010",60)</f>
        <v>15</v>
      </c>
      <c r="V357" s="1">
        <f>Table1[[#This Row],[Shipping per Unit]]*Table1[[#This Row],[Quantity]]</f>
        <v>225</v>
      </c>
      <c r="W357" s="2">
        <f>IF(Table1[[#This Row],[Total Shipping]]&gt;0.1,0.2,0)</f>
        <v>0.2</v>
      </c>
      <c r="X357" s="4">
        <f>Table1[[#This Row],[Total Shipping]]*Table1[[#This Row],[VAT on Shipping]]</f>
        <v>45</v>
      </c>
      <c r="Y357" s="1">
        <f>Table1[[#This Row],[Revenue]]-Table1[[#This Row],[COGS]]</f>
        <v>1035</v>
      </c>
      <c r="Z357" s="3">
        <f>(Table1[[#This Row],[Profit]]/Table1[[#This Row],[Revenue]])</f>
        <v>0.33014354066985646</v>
      </c>
      <c r="AA357" s="1">
        <f>Table1[[#This Row],[Profit]]-Table1[[#This Row],[Total Shipping]]</f>
        <v>810</v>
      </c>
      <c r="AB357" s="3">
        <f>Table1[[#This Row],[Operating Profit]]/Table1[[#This Row],[Revenue]]</f>
        <v>0.25837320574162681</v>
      </c>
    </row>
    <row r="358" spans="1:28" x14ac:dyDescent="0.25">
      <c r="A358" t="s">
        <v>211</v>
      </c>
      <c r="B358">
        <v>812</v>
      </c>
      <c r="C358" t="s">
        <v>65</v>
      </c>
      <c r="D358" t="s">
        <v>67</v>
      </c>
      <c r="E358" t="s">
        <v>31</v>
      </c>
      <c r="F358" t="s">
        <v>79</v>
      </c>
      <c r="G358" t="str" cm="1">
        <f t="array" ref="G358">_xlfn.SWITCH(F358,"Acme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358" t="s">
        <v>51</v>
      </c>
      <c r="I358" t="s">
        <v>60</v>
      </c>
      <c r="J358" t="str" cm="1">
        <f t="array" ref="J358">_xlfn.SWITCH(I358,"P001","Laptop","P002","Server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58" s="1" cm="1">
        <f t="array" ref="K358">_xlfn.SWITCH(Table1[[#This Row],[Product ID]],"P001",220,"P002",150,"P003",130,"P004",70,"P005",200,"P006",40,"P007",25,"P008",20,"P009",190,"P010",530)</f>
        <v>25</v>
      </c>
      <c r="L358">
        <v>15</v>
      </c>
      <c r="M358" s="1">
        <f>Table1[[#This Row],[Unit Price]]*Table1[[#This Row],[Quantity]]</f>
        <v>375</v>
      </c>
      <c r="N358" s="2">
        <v>0.08</v>
      </c>
      <c r="O358" s="1">
        <f>Table1[[#This Row],[Gross Value]]*(1-Table1[[#This Row],[Discount]])</f>
        <v>345</v>
      </c>
      <c r="P358" s="2">
        <v>0.2</v>
      </c>
      <c r="Q358" s="1">
        <f>Table1[[#This Row],[Revenue]]*Table1[[#This Row],[VAT Rate]]</f>
        <v>69</v>
      </c>
      <c r="R358" s="1">
        <f>Table1[[#This Row],[Revenue]]+Table1[[#This Row],[VAT Charged]]</f>
        <v>414</v>
      </c>
      <c r="S358" s="1" cm="1">
        <f t="array" ref="S358">_xlfn.SWITCH(Table1[[#This Row],[Product ID]],"P001",140,"P002",80,"P003",72,"P004",30,"P005",110,"P006",24,"P007",14,"P008",12,"P009",115,"P010",360)</f>
        <v>14</v>
      </c>
      <c r="T358" s="1" cm="1">
        <f t="array" ref="T358">(_xlfn.SWITCH(Table1[[#This Row],[Product ID]],"P001",140,"P002",80,"P003",72,"P004",30,"P005",110,"P006",24,"P007",14,"P008",12,"P009",115,"P010",360))*Table1[[#This Row],[Quantity]]</f>
        <v>210</v>
      </c>
      <c r="U358" s="1" cm="1">
        <f t="array" ref="U358">_xlfn.SWITCH(Table1[[#This Row],[Product ID]],"P001",15,"P002",0,"P003",8,"P004",8,"P005",0,"P006",7,"P007",7,"P008",6,"P009",45,"P010",60)</f>
        <v>7</v>
      </c>
      <c r="V358" s="1">
        <f>Table1[[#This Row],[Shipping per Unit]]*Table1[[#This Row],[Quantity]]</f>
        <v>105</v>
      </c>
      <c r="W358" s="2">
        <f>IF(Table1[[#This Row],[Total Shipping]]&gt;0.1,0.2,0)</f>
        <v>0.2</v>
      </c>
      <c r="X358" s="4">
        <f>Table1[[#This Row],[Total Shipping]]*Table1[[#This Row],[VAT on Shipping]]</f>
        <v>21</v>
      </c>
      <c r="Y358" s="1">
        <f>Table1[[#This Row],[Revenue]]-Table1[[#This Row],[COGS]]</f>
        <v>135</v>
      </c>
      <c r="Z358" s="3">
        <f>(Table1[[#This Row],[Profit]]/Table1[[#This Row],[Revenue]])</f>
        <v>0.39130434782608697</v>
      </c>
      <c r="AA358" s="1">
        <f>Table1[[#This Row],[Profit]]-Table1[[#This Row],[Total Shipping]]</f>
        <v>30</v>
      </c>
      <c r="AB358" s="3">
        <f>Table1[[#This Row],[Operating Profit]]/Table1[[#This Row],[Revenue]]</f>
        <v>8.6956521739130432E-2</v>
      </c>
    </row>
    <row r="359" spans="1:28" x14ac:dyDescent="0.25">
      <c r="A359" t="s">
        <v>211</v>
      </c>
      <c r="B359">
        <v>938</v>
      </c>
      <c r="C359" t="s">
        <v>35</v>
      </c>
      <c r="D359" t="s">
        <v>53</v>
      </c>
      <c r="E359" t="s">
        <v>31</v>
      </c>
      <c r="F359" t="s">
        <v>84</v>
      </c>
      <c r="G359" t="str" cm="1">
        <f t="array" ref="G359">_xlfn.SWITCH(F359,"Acme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359" t="s">
        <v>33</v>
      </c>
      <c r="I359" t="s">
        <v>70</v>
      </c>
      <c r="J359" t="str" cm="1">
        <f t="array" ref="J359">_xlfn.SWITCH(I359,"P001","Laptop","P002","Server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59" s="1" cm="1">
        <f t="array" ref="K359">_xlfn.SWITCH(Table1[[#This Row],[Product ID]],"P001",220,"P002",150,"P003",130,"P004",70,"P005",200,"P006",40,"P007",25,"P008",20,"P009",190,"P010",530)</f>
        <v>150</v>
      </c>
      <c r="L359">
        <v>19</v>
      </c>
      <c r="M359" s="1">
        <f>Table1[[#This Row],[Unit Price]]*Table1[[#This Row],[Quantity]]</f>
        <v>2850</v>
      </c>
      <c r="N359" s="2">
        <v>0.05</v>
      </c>
      <c r="O359" s="1">
        <f>Table1[[#This Row],[Gross Value]]*(1-Table1[[#This Row],[Discount]])</f>
        <v>2707.5</v>
      </c>
      <c r="P359" s="2">
        <v>0.2</v>
      </c>
      <c r="Q359" s="1">
        <f>Table1[[#This Row],[Revenue]]*Table1[[#This Row],[VAT Rate]]</f>
        <v>541.5</v>
      </c>
      <c r="R359" s="1">
        <f>Table1[[#This Row],[Revenue]]+Table1[[#This Row],[VAT Charged]]</f>
        <v>3249</v>
      </c>
      <c r="S359" s="1" cm="1">
        <f t="array" ref="S359">_xlfn.SWITCH(Table1[[#This Row],[Product ID]],"P001",140,"P002",80,"P003",72,"P004",30,"P005",110,"P006",24,"P007",14,"P008",12,"P009",115,"P010",360)</f>
        <v>80</v>
      </c>
      <c r="T359" s="1" cm="1">
        <f t="array" ref="T359">(_xlfn.SWITCH(Table1[[#This Row],[Product ID]],"P001",140,"P002",80,"P003",72,"P004",30,"P005",110,"P006",24,"P007",14,"P008",12,"P009",115,"P010",360))*Table1[[#This Row],[Quantity]]</f>
        <v>1520</v>
      </c>
      <c r="U359" s="1" cm="1">
        <f t="array" ref="U359">_xlfn.SWITCH(Table1[[#This Row],[Product ID]],"P001",15,"P002",0,"P003",8,"P004",8,"P005",0,"P006",7,"P007",7,"P008",6,"P009",45,"P010",60)</f>
        <v>0</v>
      </c>
      <c r="V359" s="1">
        <f>Table1[[#This Row],[Shipping per Unit]]*Table1[[#This Row],[Quantity]]</f>
        <v>0</v>
      </c>
      <c r="W359" s="2">
        <f>IF(Table1[[#This Row],[Total Shipping]]&gt;0.1,0.2,0)</f>
        <v>0</v>
      </c>
      <c r="X359" s="4">
        <f>Table1[[#This Row],[Total Shipping]]*Table1[[#This Row],[VAT on Shipping]]</f>
        <v>0</v>
      </c>
      <c r="Y359" s="1">
        <f>Table1[[#This Row],[Revenue]]-Table1[[#This Row],[COGS]]</f>
        <v>1187.5</v>
      </c>
      <c r="Z359" s="3">
        <f>(Table1[[#This Row],[Profit]]/Table1[[#This Row],[Revenue]])</f>
        <v>0.43859649122807015</v>
      </c>
      <c r="AA359" s="1">
        <f>Table1[[#This Row],[Profit]]-Table1[[#This Row],[Total Shipping]]</f>
        <v>1187.5</v>
      </c>
      <c r="AB359" s="3">
        <f>Table1[[#This Row],[Operating Profit]]/Table1[[#This Row],[Revenue]]</f>
        <v>0.43859649122807015</v>
      </c>
    </row>
    <row r="360" spans="1:28" x14ac:dyDescent="0.25">
      <c r="A360" t="s">
        <v>212</v>
      </c>
      <c r="B360">
        <v>151</v>
      </c>
      <c r="C360" t="s">
        <v>71</v>
      </c>
      <c r="D360" t="s">
        <v>36</v>
      </c>
      <c r="E360" t="s">
        <v>40</v>
      </c>
      <c r="F360" t="s">
        <v>78</v>
      </c>
      <c r="G360" t="str" cm="1">
        <f t="array" ref="G360">_xlfn.SWITCH(F360,"Acme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360" t="s">
        <v>58</v>
      </c>
      <c r="I360" t="s">
        <v>55</v>
      </c>
      <c r="J360" t="str" cm="1">
        <f t="array" ref="J360">_xlfn.SWITCH(I360,"P001","Laptop","P002","Server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60" s="1" cm="1">
        <f t="array" ref="K360">_xlfn.SWITCH(Table1[[#This Row],[Product ID]],"P001",220,"P002",150,"P003",130,"P004",70,"P005",200,"P006",40,"P007",25,"P008",20,"P009",190,"P010",530)</f>
        <v>70</v>
      </c>
      <c r="L360">
        <v>6</v>
      </c>
      <c r="M360" s="1">
        <f>Table1[[#This Row],[Unit Price]]*Table1[[#This Row],[Quantity]]</f>
        <v>420</v>
      </c>
      <c r="N360" s="2">
        <v>0.03</v>
      </c>
      <c r="O360" s="1">
        <f>Table1[[#This Row],[Gross Value]]*(1-Table1[[#This Row],[Discount]])</f>
        <v>407.4</v>
      </c>
      <c r="P360" s="2">
        <v>0.2</v>
      </c>
      <c r="Q360" s="1">
        <f>Table1[[#This Row],[Revenue]]*Table1[[#This Row],[VAT Rate]]</f>
        <v>81.48</v>
      </c>
      <c r="R360" s="1">
        <f>Table1[[#This Row],[Revenue]]+Table1[[#This Row],[VAT Charged]]</f>
        <v>488.88</v>
      </c>
      <c r="S360" s="1" cm="1">
        <f t="array" ref="S360">_xlfn.SWITCH(Table1[[#This Row],[Product ID]],"P001",140,"P002",80,"P003",72,"P004",30,"P005",110,"P006",24,"P007",14,"P008",12,"P009",115,"P010",360)</f>
        <v>30</v>
      </c>
      <c r="T360" s="1" cm="1">
        <f t="array" ref="T360">(_xlfn.SWITCH(Table1[[#This Row],[Product ID]],"P001",140,"P002",80,"P003",72,"P004",30,"P005",110,"P006",24,"P007",14,"P008",12,"P009",115,"P010",360))*Table1[[#This Row],[Quantity]]</f>
        <v>180</v>
      </c>
      <c r="U360" s="1" cm="1">
        <f t="array" ref="U360">_xlfn.SWITCH(Table1[[#This Row],[Product ID]],"P001",15,"P002",0,"P003",8,"P004",8,"P005",0,"P006",7,"P007",7,"P008",6,"P009",45,"P010",60)</f>
        <v>8</v>
      </c>
      <c r="V360" s="1">
        <f>Table1[[#This Row],[Shipping per Unit]]*Table1[[#This Row],[Quantity]]</f>
        <v>48</v>
      </c>
      <c r="W360" s="2">
        <f>IF(Table1[[#This Row],[Total Shipping]]&gt;0.1,0.2,0)</f>
        <v>0.2</v>
      </c>
      <c r="X360" s="4">
        <f>Table1[[#This Row],[Total Shipping]]*Table1[[#This Row],[VAT on Shipping]]</f>
        <v>9.6000000000000014</v>
      </c>
      <c r="Y360" s="1">
        <f>Table1[[#This Row],[Revenue]]-Table1[[#This Row],[COGS]]</f>
        <v>227.39999999999998</v>
      </c>
      <c r="Z360" s="3">
        <f>(Table1[[#This Row],[Profit]]/Table1[[#This Row],[Revenue]])</f>
        <v>0.5581737849779087</v>
      </c>
      <c r="AA360" s="1">
        <f>Table1[[#This Row],[Profit]]-Table1[[#This Row],[Total Shipping]]</f>
        <v>179.39999999999998</v>
      </c>
      <c r="AB360" s="3">
        <f>Table1[[#This Row],[Operating Profit]]/Table1[[#This Row],[Revenue]]</f>
        <v>0.44035346097201766</v>
      </c>
    </row>
    <row r="361" spans="1:28" x14ac:dyDescent="0.25">
      <c r="A361" t="s">
        <v>212</v>
      </c>
      <c r="B361">
        <v>604</v>
      </c>
      <c r="C361" t="s">
        <v>56</v>
      </c>
      <c r="D361" t="s">
        <v>72</v>
      </c>
      <c r="E361" t="s">
        <v>40</v>
      </c>
      <c r="F361" t="s">
        <v>86</v>
      </c>
      <c r="G361" t="str" cm="1">
        <f t="array" ref="G361">_xlfn.SWITCH(F361,"Acme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61" t="s">
        <v>45</v>
      </c>
      <c r="I361" t="s">
        <v>68</v>
      </c>
      <c r="J361" t="str" cm="1">
        <f t="array" ref="J361">_xlfn.SWITCH(I361,"P001","Laptop","P002","Server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61" s="1" cm="1">
        <f t="array" ref="K361">_xlfn.SWITCH(Table1[[#This Row],[Product ID]],"P001",220,"P002",150,"P003",130,"P004",70,"P005",200,"P006",40,"P007",25,"P008",20,"P009",190,"P010",530)</f>
        <v>220</v>
      </c>
      <c r="L361">
        <v>9</v>
      </c>
      <c r="M361" s="1">
        <f>Table1[[#This Row],[Unit Price]]*Table1[[#This Row],[Quantity]]</f>
        <v>1980</v>
      </c>
      <c r="N361" s="2">
        <v>7.0000000000000007E-2</v>
      </c>
      <c r="O361" s="1">
        <f>Table1[[#This Row],[Gross Value]]*(1-Table1[[#This Row],[Discount]])</f>
        <v>1841.3999999999999</v>
      </c>
      <c r="P361" s="2">
        <v>0.2</v>
      </c>
      <c r="Q361" s="1">
        <f>Table1[[#This Row],[Revenue]]*Table1[[#This Row],[VAT Rate]]</f>
        <v>368.28</v>
      </c>
      <c r="R361" s="1">
        <f>Table1[[#This Row],[Revenue]]+Table1[[#This Row],[VAT Charged]]</f>
        <v>2209.6799999999998</v>
      </c>
      <c r="S361" s="1" cm="1">
        <f t="array" ref="S361">_xlfn.SWITCH(Table1[[#This Row],[Product ID]],"P001",140,"P002",80,"P003",72,"P004",30,"P005",110,"P006",24,"P007",14,"P008",12,"P009",115,"P010",360)</f>
        <v>140</v>
      </c>
      <c r="T361" s="1" cm="1">
        <f t="array" ref="T361">(_xlfn.SWITCH(Table1[[#This Row],[Product ID]],"P001",140,"P002",80,"P003",72,"P004",30,"P005",110,"P006",24,"P007",14,"P008",12,"P009",115,"P010",360))*Table1[[#This Row],[Quantity]]</f>
        <v>1260</v>
      </c>
      <c r="U361" s="1" cm="1">
        <f t="array" ref="U361">_xlfn.SWITCH(Table1[[#This Row],[Product ID]],"P001",15,"P002",0,"P003",8,"P004",8,"P005",0,"P006",7,"P007",7,"P008",6,"P009",45,"P010",60)</f>
        <v>15</v>
      </c>
      <c r="V361" s="1">
        <f>Table1[[#This Row],[Shipping per Unit]]*Table1[[#This Row],[Quantity]]</f>
        <v>135</v>
      </c>
      <c r="W361" s="2">
        <f>IF(Table1[[#This Row],[Total Shipping]]&gt;0.1,0.2,0)</f>
        <v>0.2</v>
      </c>
      <c r="X361" s="4">
        <f>Table1[[#This Row],[Total Shipping]]*Table1[[#This Row],[VAT on Shipping]]</f>
        <v>27</v>
      </c>
      <c r="Y361" s="1">
        <f>Table1[[#This Row],[Revenue]]-Table1[[#This Row],[COGS]]</f>
        <v>581.39999999999986</v>
      </c>
      <c r="Z361" s="3">
        <f>(Table1[[#This Row],[Profit]]/Table1[[#This Row],[Revenue]])</f>
        <v>0.31573802541544471</v>
      </c>
      <c r="AA361" s="1">
        <f>Table1[[#This Row],[Profit]]-Table1[[#This Row],[Total Shipping]]</f>
        <v>446.39999999999986</v>
      </c>
      <c r="AB361" s="3">
        <f>Table1[[#This Row],[Operating Profit]]/Table1[[#This Row],[Revenue]]</f>
        <v>0.24242424242424238</v>
      </c>
    </row>
    <row r="362" spans="1:28" x14ac:dyDescent="0.25">
      <c r="A362" t="s">
        <v>212</v>
      </c>
      <c r="B362">
        <v>878</v>
      </c>
      <c r="C362" t="s">
        <v>62</v>
      </c>
      <c r="D362" t="s">
        <v>72</v>
      </c>
      <c r="E362" t="s">
        <v>40</v>
      </c>
      <c r="F362" t="s">
        <v>98</v>
      </c>
      <c r="G362" t="str" cm="1">
        <f t="array" ref="G362">_xlfn.SWITCH(F362,"Acme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362" t="s">
        <v>104</v>
      </c>
      <c r="I362" t="s">
        <v>70</v>
      </c>
      <c r="J362" t="str" cm="1">
        <f t="array" ref="J362">_xlfn.SWITCH(I362,"P001","Laptop","P002","Server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62" s="1" cm="1">
        <f t="array" ref="K362">_xlfn.SWITCH(Table1[[#This Row],[Product ID]],"P001",220,"P002",150,"P003",130,"P004",70,"P005",200,"P006",40,"P007",25,"P008",20,"P009",190,"P010",530)</f>
        <v>150</v>
      </c>
      <c r="L362">
        <v>2</v>
      </c>
      <c r="M362" s="1">
        <f>Table1[[#This Row],[Unit Price]]*Table1[[#This Row],[Quantity]]</f>
        <v>300</v>
      </c>
      <c r="N362" s="2">
        <v>0.03</v>
      </c>
      <c r="O362" s="1">
        <f>Table1[[#This Row],[Gross Value]]*(1-Table1[[#This Row],[Discount]])</f>
        <v>291</v>
      </c>
      <c r="P362" s="2">
        <v>0.2</v>
      </c>
      <c r="Q362" s="1">
        <f>Table1[[#This Row],[Revenue]]*Table1[[#This Row],[VAT Rate]]</f>
        <v>58.2</v>
      </c>
      <c r="R362" s="1">
        <f>Table1[[#This Row],[Revenue]]+Table1[[#This Row],[VAT Charged]]</f>
        <v>349.2</v>
      </c>
      <c r="S362" s="1" cm="1">
        <f t="array" ref="S362">_xlfn.SWITCH(Table1[[#This Row],[Product ID]],"P001",140,"P002",80,"P003",72,"P004",30,"P005",110,"P006",24,"P007",14,"P008",12,"P009",115,"P010",360)</f>
        <v>80</v>
      </c>
      <c r="T362" s="1" cm="1">
        <f t="array" ref="T362">(_xlfn.SWITCH(Table1[[#This Row],[Product ID]],"P001",140,"P002",80,"P003",72,"P004",30,"P005",110,"P006",24,"P007",14,"P008",12,"P009",115,"P010",360))*Table1[[#This Row],[Quantity]]</f>
        <v>160</v>
      </c>
      <c r="U362" s="1" cm="1">
        <f t="array" ref="U362">_xlfn.SWITCH(Table1[[#This Row],[Product ID]],"P001",15,"P002",0,"P003",8,"P004",8,"P005",0,"P006",7,"P007",7,"P008",6,"P009",45,"P010",60)</f>
        <v>0</v>
      </c>
      <c r="V362" s="1">
        <f>Table1[[#This Row],[Shipping per Unit]]*Table1[[#This Row],[Quantity]]</f>
        <v>0</v>
      </c>
      <c r="W362" s="2">
        <f>IF(Table1[[#This Row],[Total Shipping]]&gt;0.1,0.2,0)</f>
        <v>0</v>
      </c>
      <c r="X362" s="4">
        <f>Table1[[#This Row],[Total Shipping]]*Table1[[#This Row],[VAT on Shipping]]</f>
        <v>0</v>
      </c>
      <c r="Y362" s="1">
        <f>Table1[[#This Row],[Revenue]]-Table1[[#This Row],[COGS]]</f>
        <v>131</v>
      </c>
      <c r="Z362" s="3">
        <f>(Table1[[#This Row],[Profit]]/Table1[[#This Row],[Revenue]])</f>
        <v>0.45017182130584193</v>
      </c>
      <c r="AA362" s="1">
        <f>Table1[[#This Row],[Profit]]-Table1[[#This Row],[Total Shipping]]</f>
        <v>131</v>
      </c>
      <c r="AB362" s="3">
        <f>Table1[[#This Row],[Operating Profit]]/Table1[[#This Row],[Revenue]]</f>
        <v>0.45017182130584193</v>
      </c>
    </row>
    <row r="363" spans="1:28" x14ac:dyDescent="0.25">
      <c r="A363" t="s">
        <v>212</v>
      </c>
      <c r="B363">
        <v>985</v>
      </c>
      <c r="C363" t="s">
        <v>35</v>
      </c>
      <c r="D363" t="s">
        <v>95</v>
      </c>
      <c r="E363" t="s">
        <v>40</v>
      </c>
      <c r="F363" t="s">
        <v>86</v>
      </c>
      <c r="G363" t="str" cm="1">
        <f t="array" ref="G363">_xlfn.SWITCH(F363,"Acme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63" t="s">
        <v>45</v>
      </c>
      <c r="I363" t="s">
        <v>55</v>
      </c>
      <c r="J363" t="str" cm="1">
        <f t="array" ref="J363">_xlfn.SWITCH(I363,"P001","Laptop","P002","Server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63" s="1" cm="1">
        <f t="array" ref="K363">_xlfn.SWITCH(Table1[[#This Row],[Product ID]],"P001",220,"P002",150,"P003",130,"P004",70,"P005",200,"P006",40,"P007",25,"P008",20,"P009",190,"P010",530)</f>
        <v>70</v>
      </c>
      <c r="L363">
        <v>10</v>
      </c>
      <c r="M363" s="1">
        <f>Table1[[#This Row],[Unit Price]]*Table1[[#This Row],[Quantity]]</f>
        <v>700</v>
      </c>
      <c r="N363" s="2">
        <v>0.02</v>
      </c>
      <c r="O363" s="1">
        <f>Table1[[#This Row],[Gross Value]]*(1-Table1[[#This Row],[Discount]])</f>
        <v>686</v>
      </c>
      <c r="P363" s="2">
        <v>0.2</v>
      </c>
      <c r="Q363" s="1">
        <f>Table1[[#This Row],[Revenue]]*Table1[[#This Row],[VAT Rate]]</f>
        <v>137.20000000000002</v>
      </c>
      <c r="R363" s="1">
        <f>Table1[[#This Row],[Revenue]]+Table1[[#This Row],[VAT Charged]]</f>
        <v>823.2</v>
      </c>
      <c r="S363" s="1" cm="1">
        <f t="array" ref="S363">_xlfn.SWITCH(Table1[[#This Row],[Product ID]],"P001",140,"P002",80,"P003",72,"P004",30,"P005",110,"P006",24,"P007",14,"P008",12,"P009",115,"P010",360)</f>
        <v>30</v>
      </c>
      <c r="T363" s="1" cm="1">
        <f t="array" ref="T363">(_xlfn.SWITCH(Table1[[#This Row],[Product ID]],"P001",140,"P002",80,"P003",72,"P004",30,"P005",110,"P006",24,"P007",14,"P008",12,"P009",115,"P010",360))*Table1[[#This Row],[Quantity]]</f>
        <v>300</v>
      </c>
      <c r="U363" s="1" cm="1">
        <f t="array" ref="U363">_xlfn.SWITCH(Table1[[#This Row],[Product ID]],"P001",15,"P002",0,"P003",8,"P004",8,"P005",0,"P006",7,"P007",7,"P008",6,"P009",45,"P010",60)</f>
        <v>8</v>
      </c>
      <c r="V363" s="1">
        <f>Table1[[#This Row],[Shipping per Unit]]*Table1[[#This Row],[Quantity]]</f>
        <v>80</v>
      </c>
      <c r="W363" s="2">
        <f>IF(Table1[[#This Row],[Total Shipping]]&gt;0.1,0.2,0)</f>
        <v>0.2</v>
      </c>
      <c r="X363" s="4">
        <f>Table1[[#This Row],[Total Shipping]]*Table1[[#This Row],[VAT on Shipping]]</f>
        <v>16</v>
      </c>
      <c r="Y363" s="1">
        <f>Table1[[#This Row],[Revenue]]-Table1[[#This Row],[COGS]]</f>
        <v>386</v>
      </c>
      <c r="Z363" s="3">
        <f>(Table1[[#This Row],[Profit]]/Table1[[#This Row],[Revenue]])</f>
        <v>0.56268221574344024</v>
      </c>
      <c r="AA363" s="1">
        <f>Table1[[#This Row],[Profit]]-Table1[[#This Row],[Total Shipping]]</f>
        <v>306</v>
      </c>
      <c r="AB363" s="3">
        <f>Table1[[#This Row],[Operating Profit]]/Table1[[#This Row],[Revenue]]</f>
        <v>0.44606413994169097</v>
      </c>
    </row>
    <row r="364" spans="1:28" x14ac:dyDescent="0.25">
      <c r="A364" t="s">
        <v>213</v>
      </c>
      <c r="B364">
        <v>707</v>
      </c>
      <c r="C364" t="s">
        <v>56</v>
      </c>
      <c r="D364" t="s">
        <v>95</v>
      </c>
      <c r="E364" t="s">
        <v>31</v>
      </c>
      <c r="F364" t="s">
        <v>66</v>
      </c>
      <c r="G364" t="str" cm="1">
        <f t="array" ref="G364">_xlfn.SWITCH(F364,"Acme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364" t="s">
        <v>33</v>
      </c>
      <c r="I364" t="s">
        <v>75</v>
      </c>
      <c r="J364" t="str" cm="1">
        <f t="array" ref="J364">_xlfn.SWITCH(I364,"P001","Laptop","P002","Server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364" s="1" cm="1">
        <f t="array" ref="K364">_xlfn.SWITCH(Table1[[#This Row],[Product ID]],"P001",220,"P002",150,"P003",130,"P004",70,"P005",200,"P006",40,"P007",25,"P008",20,"P009",190,"P010",530)</f>
        <v>200</v>
      </c>
      <c r="L364">
        <v>18</v>
      </c>
      <c r="M364" s="1">
        <f>Table1[[#This Row],[Unit Price]]*Table1[[#This Row],[Quantity]]</f>
        <v>3600</v>
      </c>
      <c r="N364" s="2">
        <v>0.1</v>
      </c>
      <c r="O364" s="1">
        <f>Table1[[#This Row],[Gross Value]]*(1-Table1[[#This Row],[Discount]])</f>
        <v>3240</v>
      </c>
      <c r="P364" s="2">
        <v>0.2</v>
      </c>
      <c r="Q364" s="1">
        <f>Table1[[#This Row],[Revenue]]*Table1[[#This Row],[VAT Rate]]</f>
        <v>648</v>
      </c>
      <c r="R364" s="1">
        <f>Table1[[#This Row],[Revenue]]+Table1[[#This Row],[VAT Charged]]</f>
        <v>3888</v>
      </c>
      <c r="S364" s="1" cm="1">
        <f t="array" ref="S364">_xlfn.SWITCH(Table1[[#This Row],[Product ID]],"P001",140,"P002",80,"P003",72,"P004",30,"P005",110,"P006",24,"P007",14,"P008",12,"P009",115,"P010",360)</f>
        <v>110</v>
      </c>
      <c r="T364" s="1" cm="1">
        <f t="array" ref="T364">(_xlfn.SWITCH(Table1[[#This Row],[Product ID]],"P001",140,"P002",80,"P003",72,"P004",30,"P005",110,"P006",24,"P007",14,"P008",12,"P009",115,"P010",360))*Table1[[#This Row],[Quantity]]</f>
        <v>1980</v>
      </c>
      <c r="U364" s="1" cm="1">
        <f t="array" ref="U364">_xlfn.SWITCH(Table1[[#This Row],[Product ID]],"P001",15,"P002",0,"P003",8,"P004",8,"P005",0,"P006",7,"P007",7,"P008",6,"P009",45,"P010",60)</f>
        <v>0</v>
      </c>
      <c r="V364" s="1">
        <f>Table1[[#This Row],[Shipping per Unit]]*Table1[[#This Row],[Quantity]]</f>
        <v>0</v>
      </c>
      <c r="W364" s="2">
        <f>IF(Table1[[#This Row],[Total Shipping]]&gt;0.1,0.2,0)</f>
        <v>0</v>
      </c>
      <c r="X364" s="4">
        <f>Table1[[#This Row],[Total Shipping]]*Table1[[#This Row],[VAT on Shipping]]</f>
        <v>0</v>
      </c>
      <c r="Y364" s="1">
        <f>Table1[[#This Row],[Revenue]]-Table1[[#This Row],[COGS]]</f>
        <v>1260</v>
      </c>
      <c r="Z364" s="3">
        <f>(Table1[[#This Row],[Profit]]/Table1[[#This Row],[Revenue]])</f>
        <v>0.3888888888888889</v>
      </c>
      <c r="AA364" s="1">
        <f>Table1[[#This Row],[Profit]]-Table1[[#This Row],[Total Shipping]]</f>
        <v>1260</v>
      </c>
      <c r="AB364" s="3">
        <f>Table1[[#This Row],[Operating Profit]]/Table1[[#This Row],[Revenue]]</f>
        <v>0.3888888888888889</v>
      </c>
    </row>
    <row r="365" spans="1:28" x14ac:dyDescent="0.25">
      <c r="A365" t="s">
        <v>214</v>
      </c>
      <c r="B365">
        <v>154</v>
      </c>
      <c r="C365" t="s">
        <v>38</v>
      </c>
      <c r="D365" t="s">
        <v>36</v>
      </c>
      <c r="E365" t="s">
        <v>40</v>
      </c>
      <c r="F365" t="s">
        <v>97</v>
      </c>
      <c r="G365" t="str" cm="1">
        <f t="array" ref="G365">_xlfn.SWITCH(F365,"Acme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365" t="s">
        <v>58</v>
      </c>
      <c r="I365" t="s">
        <v>52</v>
      </c>
      <c r="J365" t="str" cm="1">
        <f t="array" ref="J365">_xlfn.SWITCH(I365,"P001","Laptop","P002","Server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65" s="1" cm="1">
        <f t="array" ref="K365">_xlfn.SWITCH(Table1[[#This Row],[Product ID]],"P001",220,"P002",150,"P003",130,"P004",70,"P005",200,"P006",40,"P007",25,"P008",20,"P009",190,"P010",530)</f>
        <v>130</v>
      </c>
      <c r="L365">
        <v>17</v>
      </c>
      <c r="M365" s="1">
        <f>Table1[[#This Row],[Unit Price]]*Table1[[#This Row],[Quantity]]</f>
        <v>2210</v>
      </c>
      <c r="N365" s="2">
        <v>0.06</v>
      </c>
      <c r="O365" s="1">
        <f>Table1[[#This Row],[Gross Value]]*(1-Table1[[#This Row],[Discount]])</f>
        <v>2077.4</v>
      </c>
      <c r="P365" s="2">
        <v>0.2</v>
      </c>
      <c r="Q365" s="1">
        <f>Table1[[#This Row],[Revenue]]*Table1[[#This Row],[VAT Rate]]</f>
        <v>415.48</v>
      </c>
      <c r="R365" s="1">
        <f>Table1[[#This Row],[Revenue]]+Table1[[#This Row],[VAT Charged]]</f>
        <v>2492.88</v>
      </c>
      <c r="S365" s="1" cm="1">
        <f t="array" ref="S365">_xlfn.SWITCH(Table1[[#This Row],[Product ID]],"P001",140,"P002",80,"P003",72,"P004",30,"P005",110,"P006",24,"P007",14,"P008",12,"P009",115,"P010",360)</f>
        <v>72</v>
      </c>
      <c r="T365" s="1" cm="1">
        <f t="array" ref="T365">(_xlfn.SWITCH(Table1[[#This Row],[Product ID]],"P001",140,"P002",80,"P003",72,"P004",30,"P005",110,"P006",24,"P007",14,"P008",12,"P009",115,"P010",360))*Table1[[#This Row],[Quantity]]</f>
        <v>1224</v>
      </c>
      <c r="U365" s="1" cm="1">
        <f t="array" ref="U365">_xlfn.SWITCH(Table1[[#This Row],[Product ID]],"P001",15,"P002",0,"P003",8,"P004",8,"P005",0,"P006",7,"P007",7,"P008",6,"P009",45,"P010",60)</f>
        <v>8</v>
      </c>
      <c r="V365" s="1">
        <f>Table1[[#This Row],[Shipping per Unit]]*Table1[[#This Row],[Quantity]]</f>
        <v>136</v>
      </c>
      <c r="W365" s="2">
        <f>IF(Table1[[#This Row],[Total Shipping]]&gt;0.1,0.2,0)</f>
        <v>0.2</v>
      </c>
      <c r="X365" s="4">
        <f>Table1[[#This Row],[Total Shipping]]*Table1[[#This Row],[VAT on Shipping]]</f>
        <v>27.200000000000003</v>
      </c>
      <c r="Y365" s="1">
        <f>Table1[[#This Row],[Revenue]]-Table1[[#This Row],[COGS]]</f>
        <v>853.40000000000009</v>
      </c>
      <c r="Z365" s="3">
        <f>(Table1[[#This Row],[Profit]]/Table1[[#This Row],[Revenue]])</f>
        <v>0.41080196399345337</v>
      </c>
      <c r="AA365" s="1">
        <f>Table1[[#This Row],[Profit]]-Table1[[#This Row],[Total Shipping]]</f>
        <v>717.40000000000009</v>
      </c>
      <c r="AB365" s="3">
        <f>Table1[[#This Row],[Operating Profit]]/Table1[[#This Row],[Revenue]]</f>
        <v>0.34533551554828151</v>
      </c>
    </row>
    <row r="366" spans="1:28" x14ac:dyDescent="0.25">
      <c r="A366" t="s">
        <v>214</v>
      </c>
      <c r="B366">
        <v>340</v>
      </c>
      <c r="C366" t="s">
        <v>62</v>
      </c>
      <c r="D366" t="s">
        <v>53</v>
      </c>
      <c r="E366" t="s">
        <v>31</v>
      </c>
      <c r="F366" t="s">
        <v>87</v>
      </c>
      <c r="G366" t="str" cm="1">
        <f t="array" ref="G366">_xlfn.SWITCH(F366,"Acme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366" t="s">
        <v>51</v>
      </c>
      <c r="I366" t="s">
        <v>34</v>
      </c>
      <c r="J366" t="str" cm="1">
        <f t="array" ref="J366">_xlfn.SWITCH(I366,"P001","Laptop","P002","Server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66" s="1" cm="1">
        <f t="array" ref="K366">_xlfn.SWITCH(Table1[[#This Row],[Product ID]],"P001",220,"P002",150,"P003",130,"P004",70,"P005",200,"P006",40,"P007",25,"P008",20,"P009",190,"P010",530)</f>
        <v>20</v>
      </c>
      <c r="L366">
        <v>14</v>
      </c>
      <c r="M366" s="1">
        <f>Table1[[#This Row],[Unit Price]]*Table1[[#This Row],[Quantity]]</f>
        <v>280</v>
      </c>
      <c r="N366" s="2">
        <v>0.06</v>
      </c>
      <c r="O366" s="1">
        <f>Table1[[#This Row],[Gross Value]]*(1-Table1[[#This Row],[Discount]])</f>
        <v>263.2</v>
      </c>
      <c r="P366" s="2">
        <v>0.2</v>
      </c>
      <c r="Q366" s="1">
        <f>Table1[[#This Row],[Revenue]]*Table1[[#This Row],[VAT Rate]]</f>
        <v>52.64</v>
      </c>
      <c r="R366" s="1">
        <f>Table1[[#This Row],[Revenue]]+Table1[[#This Row],[VAT Charged]]</f>
        <v>315.83999999999997</v>
      </c>
      <c r="S366" s="1" cm="1">
        <f t="array" ref="S366">_xlfn.SWITCH(Table1[[#This Row],[Product ID]],"P001",140,"P002",80,"P003",72,"P004",30,"P005",110,"P006",24,"P007",14,"P008",12,"P009",115,"P010",360)</f>
        <v>12</v>
      </c>
      <c r="T366" s="1" cm="1">
        <f t="array" ref="T366">(_xlfn.SWITCH(Table1[[#This Row],[Product ID]],"P001",140,"P002",80,"P003",72,"P004",30,"P005",110,"P006",24,"P007",14,"P008",12,"P009",115,"P010",360))*Table1[[#This Row],[Quantity]]</f>
        <v>168</v>
      </c>
      <c r="U366" s="1" cm="1">
        <f t="array" ref="U366">_xlfn.SWITCH(Table1[[#This Row],[Product ID]],"P001",15,"P002",0,"P003",8,"P004",8,"P005",0,"P006",7,"P007",7,"P008",6,"P009",45,"P010",60)</f>
        <v>6</v>
      </c>
      <c r="V366" s="1">
        <f>Table1[[#This Row],[Shipping per Unit]]*Table1[[#This Row],[Quantity]]</f>
        <v>84</v>
      </c>
      <c r="W366" s="2">
        <f>IF(Table1[[#This Row],[Total Shipping]]&gt;0.1,0.2,0)</f>
        <v>0.2</v>
      </c>
      <c r="X366" s="4">
        <f>Table1[[#This Row],[Total Shipping]]*Table1[[#This Row],[VAT on Shipping]]</f>
        <v>16.8</v>
      </c>
      <c r="Y366" s="1">
        <f>Table1[[#This Row],[Revenue]]-Table1[[#This Row],[COGS]]</f>
        <v>95.199999999999989</v>
      </c>
      <c r="Z366" s="3">
        <f>(Table1[[#This Row],[Profit]]/Table1[[#This Row],[Revenue]])</f>
        <v>0.36170212765957444</v>
      </c>
      <c r="AA366" s="1">
        <f>Table1[[#This Row],[Profit]]-Table1[[#This Row],[Total Shipping]]</f>
        <v>11.199999999999989</v>
      </c>
      <c r="AB366" s="3">
        <f>Table1[[#This Row],[Operating Profit]]/Table1[[#This Row],[Revenue]]</f>
        <v>4.2553191489361659E-2</v>
      </c>
    </row>
    <row r="367" spans="1:28" x14ac:dyDescent="0.25">
      <c r="A367" t="s">
        <v>214</v>
      </c>
      <c r="B367">
        <v>939</v>
      </c>
      <c r="C367" t="s">
        <v>62</v>
      </c>
      <c r="D367" t="s">
        <v>53</v>
      </c>
      <c r="E367" t="s">
        <v>40</v>
      </c>
      <c r="F367" t="s">
        <v>113</v>
      </c>
      <c r="G367" t="str" cm="1">
        <f t="array" ref="G367">_xlfn.SWITCH(F367,"Acme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367" t="s">
        <v>58</v>
      </c>
      <c r="I367" t="s">
        <v>68</v>
      </c>
      <c r="J367" t="str" cm="1">
        <f t="array" ref="J367">_xlfn.SWITCH(I367,"P001","Laptop","P002","Server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67" s="1" cm="1">
        <f t="array" ref="K367">_xlfn.SWITCH(Table1[[#This Row],[Product ID]],"P001",220,"P002",150,"P003",130,"P004",70,"P005",200,"P006",40,"P007",25,"P008",20,"P009",190,"P010",530)</f>
        <v>220</v>
      </c>
      <c r="L367">
        <v>3</v>
      </c>
      <c r="M367" s="1">
        <f>Table1[[#This Row],[Unit Price]]*Table1[[#This Row],[Quantity]]</f>
        <v>660</v>
      </c>
      <c r="N367" s="2">
        <v>0.03</v>
      </c>
      <c r="O367" s="1">
        <f>Table1[[#This Row],[Gross Value]]*(1-Table1[[#This Row],[Discount]])</f>
        <v>640.19999999999993</v>
      </c>
      <c r="P367" s="2">
        <v>0.2</v>
      </c>
      <c r="Q367" s="1">
        <f>Table1[[#This Row],[Revenue]]*Table1[[#This Row],[VAT Rate]]</f>
        <v>128.04</v>
      </c>
      <c r="R367" s="1">
        <f>Table1[[#This Row],[Revenue]]+Table1[[#This Row],[VAT Charged]]</f>
        <v>768.2399999999999</v>
      </c>
      <c r="S367" s="1" cm="1">
        <f t="array" ref="S367">_xlfn.SWITCH(Table1[[#This Row],[Product ID]],"P001",140,"P002",80,"P003",72,"P004",30,"P005",110,"P006",24,"P007",14,"P008",12,"P009",115,"P010",360)</f>
        <v>140</v>
      </c>
      <c r="T367" s="1" cm="1">
        <f t="array" ref="T367">(_xlfn.SWITCH(Table1[[#This Row],[Product ID]],"P001",140,"P002",80,"P003",72,"P004",30,"P005",110,"P006",24,"P007",14,"P008",12,"P009",115,"P010",360))*Table1[[#This Row],[Quantity]]</f>
        <v>420</v>
      </c>
      <c r="U367" s="1" cm="1">
        <f t="array" ref="U367">_xlfn.SWITCH(Table1[[#This Row],[Product ID]],"P001",15,"P002",0,"P003",8,"P004",8,"P005",0,"P006",7,"P007",7,"P008",6,"P009",45,"P010",60)</f>
        <v>15</v>
      </c>
      <c r="V367" s="1">
        <f>Table1[[#This Row],[Shipping per Unit]]*Table1[[#This Row],[Quantity]]</f>
        <v>45</v>
      </c>
      <c r="W367" s="2">
        <f>IF(Table1[[#This Row],[Total Shipping]]&gt;0.1,0.2,0)</f>
        <v>0.2</v>
      </c>
      <c r="X367" s="4">
        <f>Table1[[#This Row],[Total Shipping]]*Table1[[#This Row],[VAT on Shipping]]</f>
        <v>9</v>
      </c>
      <c r="Y367" s="1">
        <f>Table1[[#This Row],[Revenue]]-Table1[[#This Row],[COGS]]</f>
        <v>220.19999999999993</v>
      </c>
      <c r="Z367" s="3">
        <f>(Table1[[#This Row],[Profit]]/Table1[[#This Row],[Revenue]])</f>
        <v>0.34395501405810675</v>
      </c>
      <c r="AA367" s="1">
        <f>Table1[[#This Row],[Profit]]-Table1[[#This Row],[Total Shipping]]</f>
        <v>175.19999999999993</v>
      </c>
      <c r="AB367" s="3">
        <f>Table1[[#This Row],[Operating Profit]]/Table1[[#This Row],[Revenue]]</f>
        <v>0.27366447985004677</v>
      </c>
    </row>
    <row r="368" spans="1:28" x14ac:dyDescent="0.25">
      <c r="A368" t="s">
        <v>215</v>
      </c>
      <c r="B368">
        <v>32</v>
      </c>
      <c r="C368" t="s">
        <v>29</v>
      </c>
      <c r="D368" t="s">
        <v>72</v>
      </c>
      <c r="E368" t="s">
        <v>31</v>
      </c>
      <c r="F368" t="s">
        <v>79</v>
      </c>
      <c r="G368" t="str" cm="1">
        <f t="array" ref="G368">_xlfn.SWITCH(F368,"Acme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368" t="s">
        <v>33</v>
      </c>
      <c r="I368" t="s">
        <v>46</v>
      </c>
      <c r="J368" t="str" cm="1">
        <f t="array" ref="J368">_xlfn.SWITCH(I368,"P001","Laptop","P002","Server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368" s="1" cm="1">
        <f t="array" ref="K368">_xlfn.SWITCH(Table1[[#This Row],[Product ID]],"P001",220,"P002",150,"P003",130,"P004",70,"P005",200,"P006",40,"P007",25,"P008",20,"P009",190,"P010",530)</f>
        <v>530</v>
      </c>
      <c r="L368">
        <v>5</v>
      </c>
      <c r="M368" s="1">
        <f>Table1[[#This Row],[Unit Price]]*Table1[[#This Row],[Quantity]]</f>
        <v>2650</v>
      </c>
      <c r="N368" s="2">
        <v>0.02</v>
      </c>
      <c r="O368" s="1">
        <f>Table1[[#This Row],[Gross Value]]*(1-Table1[[#This Row],[Discount]])</f>
        <v>2597</v>
      </c>
      <c r="P368" s="2">
        <v>0.2</v>
      </c>
      <c r="Q368" s="1">
        <f>Table1[[#This Row],[Revenue]]*Table1[[#This Row],[VAT Rate]]</f>
        <v>519.4</v>
      </c>
      <c r="R368" s="1">
        <f>Table1[[#This Row],[Revenue]]+Table1[[#This Row],[VAT Charged]]</f>
        <v>3116.4</v>
      </c>
      <c r="S368" s="1" cm="1">
        <f t="array" ref="S368">_xlfn.SWITCH(Table1[[#This Row],[Product ID]],"P001",140,"P002",80,"P003",72,"P004",30,"P005",110,"P006",24,"P007",14,"P008",12,"P009",115,"P010",360)</f>
        <v>360</v>
      </c>
      <c r="T368" s="1" cm="1">
        <f t="array" ref="T368">(_xlfn.SWITCH(Table1[[#This Row],[Product ID]],"P001",140,"P002",80,"P003",72,"P004",30,"P005",110,"P006",24,"P007",14,"P008",12,"P009",115,"P010",360))*Table1[[#This Row],[Quantity]]</f>
        <v>1800</v>
      </c>
      <c r="U368" s="1" cm="1">
        <f t="array" ref="U368">_xlfn.SWITCH(Table1[[#This Row],[Product ID]],"P001",15,"P002",0,"P003",8,"P004",8,"P005",0,"P006",7,"P007",7,"P008",6,"P009",45,"P010",60)</f>
        <v>60</v>
      </c>
      <c r="V368" s="1">
        <f>Table1[[#This Row],[Shipping per Unit]]*Table1[[#This Row],[Quantity]]</f>
        <v>300</v>
      </c>
      <c r="W368" s="2">
        <f>IF(Table1[[#This Row],[Total Shipping]]&gt;0.1,0.2,0)</f>
        <v>0.2</v>
      </c>
      <c r="X368" s="4">
        <f>Table1[[#This Row],[Total Shipping]]*Table1[[#This Row],[VAT on Shipping]]</f>
        <v>60</v>
      </c>
      <c r="Y368" s="1">
        <f>Table1[[#This Row],[Revenue]]-Table1[[#This Row],[COGS]]</f>
        <v>797</v>
      </c>
      <c r="Z368" s="3">
        <f>(Table1[[#This Row],[Profit]]/Table1[[#This Row],[Revenue]])</f>
        <v>0.30689256834809397</v>
      </c>
      <c r="AA368" s="1">
        <f>Table1[[#This Row],[Profit]]-Table1[[#This Row],[Total Shipping]]</f>
        <v>497</v>
      </c>
      <c r="AB368" s="3">
        <f>Table1[[#This Row],[Operating Profit]]/Table1[[#This Row],[Revenue]]</f>
        <v>0.19137466307277629</v>
      </c>
    </row>
    <row r="369" spans="1:28" x14ac:dyDescent="0.25">
      <c r="A369" t="s">
        <v>215</v>
      </c>
      <c r="B369">
        <v>272</v>
      </c>
      <c r="C369" t="s">
        <v>29</v>
      </c>
      <c r="D369" t="s">
        <v>57</v>
      </c>
      <c r="E369" t="s">
        <v>40</v>
      </c>
      <c r="F369" t="s">
        <v>86</v>
      </c>
      <c r="G369" t="str" cm="1">
        <f t="array" ref="G369">_xlfn.SWITCH(F369,"Acme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69" t="s">
        <v>51</v>
      </c>
      <c r="I369" t="s">
        <v>34</v>
      </c>
      <c r="J369" t="str" cm="1">
        <f t="array" ref="J369">_xlfn.SWITCH(I369,"P001","Laptop","P002","Server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69" s="1" cm="1">
        <f t="array" ref="K369">_xlfn.SWITCH(Table1[[#This Row],[Product ID]],"P001",220,"P002",150,"P003",130,"P004",70,"P005",200,"P006",40,"P007",25,"P008",20,"P009",190,"P010",530)</f>
        <v>20</v>
      </c>
      <c r="L369">
        <v>15</v>
      </c>
      <c r="M369" s="1">
        <f>Table1[[#This Row],[Unit Price]]*Table1[[#This Row],[Quantity]]</f>
        <v>300</v>
      </c>
      <c r="N369" s="2">
        <v>0.02</v>
      </c>
      <c r="O369" s="1">
        <f>Table1[[#This Row],[Gross Value]]*(1-Table1[[#This Row],[Discount]])</f>
        <v>294</v>
      </c>
      <c r="P369" s="2">
        <v>0.2</v>
      </c>
      <c r="Q369" s="1">
        <f>Table1[[#This Row],[Revenue]]*Table1[[#This Row],[VAT Rate]]</f>
        <v>58.800000000000004</v>
      </c>
      <c r="R369" s="1">
        <f>Table1[[#This Row],[Revenue]]+Table1[[#This Row],[VAT Charged]]</f>
        <v>352.8</v>
      </c>
      <c r="S369" s="1" cm="1">
        <f t="array" ref="S369">_xlfn.SWITCH(Table1[[#This Row],[Product ID]],"P001",140,"P002",80,"P003",72,"P004",30,"P005",110,"P006",24,"P007",14,"P008",12,"P009",115,"P010",360)</f>
        <v>12</v>
      </c>
      <c r="T369" s="1" cm="1">
        <f t="array" ref="T369">(_xlfn.SWITCH(Table1[[#This Row],[Product ID]],"P001",140,"P002",80,"P003",72,"P004",30,"P005",110,"P006",24,"P007",14,"P008",12,"P009",115,"P010",360))*Table1[[#This Row],[Quantity]]</f>
        <v>180</v>
      </c>
      <c r="U369" s="1" cm="1">
        <f t="array" ref="U369">_xlfn.SWITCH(Table1[[#This Row],[Product ID]],"P001",15,"P002",0,"P003",8,"P004",8,"P005",0,"P006",7,"P007",7,"P008",6,"P009",45,"P010",60)</f>
        <v>6</v>
      </c>
      <c r="V369" s="1">
        <f>Table1[[#This Row],[Shipping per Unit]]*Table1[[#This Row],[Quantity]]</f>
        <v>90</v>
      </c>
      <c r="W369" s="2">
        <f>IF(Table1[[#This Row],[Total Shipping]]&gt;0.1,0.2,0)</f>
        <v>0.2</v>
      </c>
      <c r="X369" s="4">
        <f>Table1[[#This Row],[Total Shipping]]*Table1[[#This Row],[VAT on Shipping]]</f>
        <v>18</v>
      </c>
      <c r="Y369" s="1">
        <f>Table1[[#This Row],[Revenue]]-Table1[[#This Row],[COGS]]</f>
        <v>114</v>
      </c>
      <c r="Z369" s="3">
        <f>(Table1[[#This Row],[Profit]]/Table1[[#This Row],[Revenue]])</f>
        <v>0.38775510204081631</v>
      </c>
      <c r="AA369" s="1">
        <f>Table1[[#This Row],[Profit]]-Table1[[#This Row],[Total Shipping]]</f>
        <v>24</v>
      </c>
      <c r="AB369" s="3">
        <f>Table1[[#This Row],[Operating Profit]]/Table1[[#This Row],[Revenue]]</f>
        <v>8.1632653061224483E-2</v>
      </c>
    </row>
    <row r="370" spans="1:28" x14ac:dyDescent="0.25">
      <c r="A370" t="s">
        <v>215</v>
      </c>
      <c r="B370">
        <v>323</v>
      </c>
      <c r="C370" t="s">
        <v>29</v>
      </c>
      <c r="D370" t="s">
        <v>48</v>
      </c>
      <c r="E370" t="s">
        <v>31</v>
      </c>
      <c r="F370" t="s">
        <v>113</v>
      </c>
      <c r="G370" t="str" cm="1">
        <f t="array" ref="G370">_xlfn.SWITCH(F370,"Acme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370" t="s">
        <v>69</v>
      </c>
      <c r="I370" t="s">
        <v>70</v>
      </c>
      <c r="J370" t="str" cm="1">
        <f t="array" ref="J370">_xlfn.SWITCH(I370,"P001","Laptop","P002","Server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70" s="1" cm="1">
        <f t="array" ref="K370">_xlfn.SWITCH(Table1[[#This Row],[Product ID]],"P001",220,"P002",150,"P003",130,"P004",70,"P005",200,"P006",40,"P007",25,"P008",20,"P009",190,"P010",530)</f>
        <v>150</v>
      </c>
      <c r="L370">
        <v>15</v>
      </c>
      <c r="M370" s="1">
        <f>Table1[[#This Row],[Unit Price]]*Table1[[#This Row],[Quantity]]</f>
        <v>2250</v>
      </c>
      <c r="N370" s="2">
        <v>0.03</v>
      </c>
      <c r="O370" s="1">
        <f>Table1[[#This Row],[Gross Value]]*(1-Table1[[#This Row],[Discount]])</f>
        <v>2182.5</v>
      </c>
      <c r="P370" s="2">
        <v>0.2</v>
      </c>
      <c r="Q370" s="1">
        <f>Table1[[#This Row],[Revenue]]*Table1[[#This Row],[VAT Rate]]</f>
        <v>436.5</v>
      </c>
      <c r="R370" s="1">
        <f>Table1[[#This Row],[Revenue]]+Table1[[#This Row],[VAT Charged]]</f>
        <v>2619</v>
      </c>
      <c r="S370" s="1" cm="1">
        <f t="array" ref="S370">_xlfn.SWITCH(Table1[[#This Row],[Product ID]],"P001",140,"P002",80,"P003",72,"P004",30,"P005",110,"P006",24,"P007",14,"P008",12,"P009",115,"P010",360)</f>
        <v>80</v>
      </c>
      <c r="T370" s="1" cm="1">
        <f t="array" ref="T370">(_xlfn.SWITCH(Table1[[#This Row],[Product ID]],"P001",140,"P002",80,"P003",72,"P004",30,"P005",110,"P006",24,"P007",14,"P008",12,"P009",115,"P010",360))*Table1[[#This Row],[Quantity]]</f>
        <v>1200</v>
      </c>
      <c r="U370" s="1" cm="1">
        <f t="array" ref="U370">_xlfn.SWITCH(Table1[[#This Row],[Product ID]],"P001",15,"P002",0,"P003",8,"P004",8,"P005",0,"P006",7,"P007",7,"P008",6,"P009",45,"P010",60)</f>
        <v>0</v>
      </c>
      <c r="V370" s="1">
        <f>Table1[[#This Row],[Shipping per Unit]]*Table1[[#This Row],[Quantity]]</f>
        <v>0</v>
      </c>
      <c r="W370" s="2">
        <f>IF(Table1[[#This Row],[Total Shipping]]&gt;0.1,0.2,0)</f>
        <v>0</v>
      </c>
      <c r="X370" s="4">
        <f>Table1[[#This Row],[Total Shipping]]*Table1[[#This Row],[VAT on Shipping]]</f>
        <v>0</v>
      </c>
      <c r="Y370" s="1">
        <f>Table1[[#This Row],[Revenue]]-Table1[[#This Row],[COGS]]</f>
        <v>982.5</v>
      </c>
      <c r="Z370" s="3">
        <f>(Table1[[#This Row],[Profit]]/Table1[[#This Row],[Revenue]])</f>
        <v>0.45017182130584193</v>
      </c>
      <c r="AA370" s="1">
        <f>Table1[[#This Row],[Profit]]-Table1[[#This Row],[Total Shipping]]</f>
        <v>982.5</v>
      </c>
      <c r="AB370" s="3">
        <f>Table1[[#This Row],[Operating Profit]]/Table1[[#This Row],[Revenue]]</f>
        <v>0.45017182130584193</v>
      </c>
    </row>
    <row r="371" spans="1:28" x14ac:dyDescent="0.25">
      <c r="A371" t="s">
        <v>215</v>
      </c>
      <c r="B371">
        <v>377</v>
      </c>
      <c r="C371" t="s">
        <v>62</v>
      </c>
      <c r="D371" t="s">
        <v>57</v>
      </c>
      <c r="E371" t="s">
        <v>49</v>
      </c>
      <c r="F371" t="s">
        <v>64</v>
      </c>
      <c r="G371" t="str" cm="1">
        <f t="array" ref="G371">_xlfn.SWITCH(F371,"Acme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371" t="s">
        <v>58</v>
      </c>
      <c r="I371" t="s">
        <v>52</v>
      </c>
      <c r="J371" t="str" cm="1">
        <f t="array" ref="J371">_xlfn.SWITCH(I371,"P001","Laptop","P002","Server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71" s="1" cm="1">
        <f t="array" ref="K371">_xlfn.SWITCH(Table1[[#This Row],[Product ID]],"P001",220,"P002",150,"P003",130,"P004",70,"P005",200,"P006",40,"P007",25,"P008",20,"P009",190,"P010",530)</f>
        <v>130</v>
      </c>
      <c r="L371">
        <v>7</v>
      </c>
      <c r="M371" s="1">
        <f>Table1[[#This Row],[Unit Price]]*Table1[[#This Row],[Quantity]]</f>
        <v>910</v>
      </c>
      <c r="N371" s="2">
        <v>0.12</v>
      </c>
      <c r="O371" s="1">
        <f>Table1[[#This Row],[Gross Value]]*(1-Table1[[#This Row],[Discount]])</f>
        <v>800.8</v>
      </c>
      <c r="P371" s="2">
        <v>0.2</v>
      </c>
      <c r="Q371" s="1">
        <f>Table1[[#This Row],[Revenue]]*Table1[[#This Row],[VAT Rate]]</f>
        <v>160.16</v>
      </c>
      <c r="R371" s="1">
        <f>Table1[[#This Row],[Revenue]]+Table1[[#This Row],[VAT Charged]]</f>
        <v>960.95999999999992</v>
      </c>
      <c r="S371" s="1" cm="1">
        <f t="array" ref="S371">_xlfn.SWITCH(Table1[[#This Row],[Product ID]],"P001",140,"P002",80,"P003",72,"P004",30,"P005",110,"P006",24,"P007",14,"P008",12,"P009",115,"P010",360)</f>
        <v>72</v>
      </c>
      <c r="T371" s="1" cm="1">
        <f t="array" ref="T371">(_xlfn.SWITCH(Table1[[#This Row],[Product ID]],"P001",140,"P002",80,"P003",72,"P004",30,"P005",110,"P006",24,"P007",14,"P008",12,"P009",115,"P010",360))*Table1[[#This Row],[Quantity]]</f>
        <v>504</v>
      </c>
      <c r="U371" s="1" cm="1">
        <f t="array" ref="U371">_xlfn.SWITCH(Table1[[#This Row],[Product ID]],"P001",15,"P002",0,"P003",8,"P004",8,"P005",0,"P006",7,"P007",7,"P008",6,"P009",45,"P010",60)</f>
        <v>8</v>
      </c>
      <c r="V371" s="1">
        <f>Table1[[#This Row],[Shipping per Unit]]*Table1[[#This Row],[Quantity]]</f>
        <v>56</v>
      </c>
      <c r="W371" s="2">
        <f>IF(Table1[[#This Row],[Total Shipping]]&gt;0.1,0.2,0)</f>
        <v>0.2</v>
      </c>
      <c r="X371" s="4">
        <f>Table1[[#This Row],[Total Shipping]]*Table1[[#This Row],[VAT on Shipping]]</f>
        <v>11.200000000000001</v>
      </c>
      <c r="Y371" s="1">
        <f>Table1[[#This Row],[Revenue]]-Table1[[#This Row],[COGS]]</f>
        <v>296.79999999999995</v>
      </c>
      <c r="Z371" s="3">
        <f>(Table1[[#This Row],[Profit]]/Table1[[#This Row],[Revenue]])</f>
        <v>0.37062937062937057</v>
      </c>
      <c r="AA371" s="1">
        <f>Table1[[#This Row],[Profit]]-Table1[[#This Row],[Total Shipping]]</f>
        <v>240.79999999999995</v>
      </c>
      <c r="AB371" s="3">
        <f>Table1[[#This Row],[Operating Profit]]/Table1[[#This Row],[Revenue]]</f>
        <v>0.30069930069930068</v>
      </c>
    </row>
    <row r="372" spans="1:28" x14ac:dyDescent="0.25">
      <c r="A372" t="s">
        <v>215</v>
      </c>
      <c r="B372">
        <v>523</v>
      </c>
      <c r="C372" t="s">
        <v>65</v>
      </c>
      <c r="D372" t="s">
        <v>72</v>
      </c>
      <c r="E372" t="s">
        <v>31</v>
      </c>
      <c r="F372" t="s">
        <v>59</v>
      </c>
      <c r="G372" t="str" cm="1">
        <f t="array" ref="G372">_xlfn.SWITCH(F372,"Acme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372" t="s">
        <v>33</v>
      </c>
      <c r="I372" t="s">
        <v>34</v>
      </c>
      <c r="J372" t="str" cm="1">
        <f t="array" ref="J372">_xlfn.SWITCH(I372,"P001","Laptop","P002","Server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72" s="1" cm="1">
        <f t="array" ref="K372">_xlfn.SWITCH(Table1[[#This Row],[Product ID]],"P001",220,"P002",150,"P003",130,"P004",70,"P005",200,"P006",40,"P007",25,"P008",20,"P009",190,"P010",530)</f>
        <v>20</v>
      </c>
      <c r="L372">
        <v>13</v>
      </c>
      <c r="M372" s="1">
        <f>Table1[[#This Row],[Unit Price]]*Table1[[#This Row],[Quantity]]</f>
        <v>260</v>
      </c>
      <c r="N372" s="2">
        <v>0.03</v>
      </c>
      <c r="O372" s="1">
        <f>Table1[[#This Row],[Gross Value]]*(1-Table1[[#This Row],[Discount]])</f>
        <v>252.2</v>
      </c>
      <c r="P372" s="2">
        <v>0.2</v>
      </c>
      <c r="Q372" s="1">
        <f>Table1[[#This Row],[Revenue]]*Table1[[#This Row],[VAT Rate]]</f>
        <v>50.44</v>
      </c>
      <c r="R372" s="1">
        <f>Table1[[#This Row],[Revenue]]+Table1[[#This Row],[VAT Charged]]</f>
        <v>302.64</v>
      </c>
      <c r="S372" s="1" cm="1">
        <f t="array" ref="S372">_xlfn.SWITCH(Table1[[#This Row],[Product ID]],"P001",140,"P002",80,"P003",72,"P004",30,"P005",110,"P006",24,"P007",14,"P008",12,"P009",115,"P010",360)</f>
        <v>12</v>
      </c>
      <c r="T372" s="1" cm="1">
        <f t="array" ref="T372">(_xlfn.SWITCH(Table1[[#This Row],[Product ID]],"P001",140,"P002",80,"P003",72,"P004",30,"P005",110,"P006",24,"P007",14,"P008",12,"P009",115,"P010",360))*Table1[[#This Row],[Quantity]]</f>
        <v>156</v>
      </c>
      <c r="U372" s="1" cm="1">
        <f t="array" ref="U372">_xlfn.SWITCH(Table1[[#This Row],[Product ID]],"P001",15,"P002",0,"P003",8,"P004",8,"P005",0,"P006",7,"P007",7,"P008",6,"P009",45,"P010",60)</f>
        <v>6</v>
      </c>
      <c r="V372" s="1">
        <f>Table1[[#This Row],[Shipping per Unit]]*Table1[[#This Row],[Quantity]]</f>
        <v>78</v>
      </c>
      <c r="W372" s="2">
        <f>IF(Table1[[#This Row],[Total Shipping]]&gt;0.1,0.2,0)</f>
        <v>0.2</v>
      </c>
      <c r="X372" s="4">
        <f>Table1[[#This Row],[Total Shipping]]*Table1[[#This Row],[VAT on Shipping]]</f>
        <v>15.600000000000001</v>
      </c>
      <c r="Y372" s="1">
        <f>Table1[[#This Row],[Revenue]]-Table1[[#This Row],[COGS]]</f>
        <v>96.199999999999989</v>
      </c>
      <c r="Z372" s="3">
        <f>(Table1[[#This Row],[Profit]]/Table1[[#This Row],[Revenue]])</f>
        <v>0.38144329896907214</v>
      </c>
      <c r="AA372" s="1">
        <f>Table1[[#This Row],[Profit]]-Table1[[#This Row],[Total Shipping]]</f>
        <v>18.199999999999989</v>
      </c>
      <c r="AB372" s="3">
        <f>Table1[[#This Row],[Operating Profit]]/Table1[[#This Row],[Revenue]]</f>
        <v>7.2164948453608199E-2</v>
      </c>
    </row>
    <row r="373" spans="1:28" x14ac:dyDescent="0.25">
      <c r="A373" t="s">
        <v>215</v>
      </c>
      <c r="B373">
        <v>649</v>
      </c>
      <c r="C373" t="s">
        <v>29</v>
      </c>
      <c r="D373" t="s">
        <v>30</v>
      </c>
      <c r="E373" t="s">
        <v>40</v>
      </c>
      <c r="F373" t="s">
        <v>41</v>
      </c>
      <c r="G373" t="str" cm="1">
        <f t="array" ref="G373">_xlfn.SWITCH(F373,"Acme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373" t="s">
        <v>45</v>
      </c>
      <c r="I373" t="s">
        <v>42</v>
      </c>
      <c r="J373" t="str" cm="1">
        <f t="array" ref="J373">_xlfn.SWITCH(I373,"P001","Laptop","P002","Server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73" s="1" cm="1">
        <f t="array" ref="K373">_xlfn.SWITCH(Table1[[#This Row],[Product ID]],"P001",220,"P002",150,"P003",130,"P004",70,"P005",200,"P006",40,"P007",25,"P008",20,"P009",190,"P010",530)</f>
        <v>40</v>
      </c>
      <c r="L373">
        <v>14</v>
      </c>
      <c r="M373" s="1">
        <f>Table1[[#This Row],[Unit Price]]*Table1[[#This Row],[Quantity]]</f>
        <v>560</v>
      </c>
      <c r="N373" s="2">
        <v>0.06</v>
      </c>
      <c r="O373" s="1">
        <f>Table1[[#This Row],[Gross Value]]*(1-Table1[[#This Row],[Discount]])</f>
        <v>526.4</v>
      </c>
      <c r="P373" s="2">
        <v>0.2</v>
      </c>
      <c r="Q373" s="1">
        <f>Table1[[#This Row],[Revenue]]*Table1[[#This Row],[VAT Rate]]</f>
        <v>105.28</v>
      </c>
      <c r="R373" s="1">
        <f>Table1[[#This Row],[Revenue]]+Table1[[#This Row],[VAT Charged]]</f>
        <v>631.67999999999995</v>
      </c>
      <c r="S373" s="1" cm="1">
        <f t="array" ref="S373">_xlfn.SWITCH(Table1[[#This Row],[Product ID]],"P001",140,"P002",80,"P003",72,"P004",30,"P005",110,"P006",24,"P007",14,"P008",12,"P009",115,"P010",360)</f>
        <v>24</v>
      </c>
      <c r="T373" s="1" cm="1">
        <f t="array" ref="T373">(_xlfn.SWITCH(Table1[[#This Row],[Product ID]],"P001",140,"P002",80,"P003",72,"P004",30,"P005",110,"P006",24,"P007",14,"P008",12,"P009",115,"P010",360))*Table1[[#This Row],[Quantity]]</f>
        <v>336</v>
      </c>
      <c r="U373" s="1" cm="1">
        <f t="array" ref="U373">_xlfn.SWITCH(Table1[[#This Row],[Product ID]],"P001",15,"P002",0,"P003",8,"P004",8,"P005",0,"P006",7,"P007",7,"P008",6,"P009",45,"P010",60)</f>
        <v>7</v>
      </c>
      <c r="V373" s="1">
        <f>Table1[[#This Row],[Shipping per Unit]]*Table1[[#This Row],[Quantity]]</f>
        <v>98</v>
      </c>
      <c r="W373" s="2">
        <f>IF(Table1[[#This Row],[Total Shipping]]&gt;0.1,0.2,0)</f>
        <v>0.2</v>
      </c>
      <c r="X373" s="4">
        <f>Table1[[#This Row],[Total Shipping]]*Table1[[#This Row],[VAT on Shipping]]</f>
        <v>19.600000000000001</v>
      </c>
      <c r="Y373" s="1">
        <f>Table1[[#This Row],[Revenue]]-Table1[[#This Row],[COGS]]</f>
        <v>190.39999999999998</v>
      </c>
      <c r="Z373" s="3">
        <f>(Table1[[#This Row],[Profit]]/Table1[[#This Row],[Revenue]])</f>
        <v>0.36170212765957444</v>
      </c>
      <c r="AA373" s="1">
        <f>Table1[[#This Row],[Profit]]-Table1[[#This Row],[Total Shipping]]</f>
        <v>92.399999999999977</v>
      </c>
      <c r="AB373" s="3">
        <f>Table1[[#This Row],[Operating Profit]]/Table1[[#This Row],[Revenue]]</f>
        <v>0.175531914893617</v>
      </c>
    </row>
    <row r="374" spans="1:28" x14ac:dyDescent="0.25">
      <c r="A374" t="s">
        <v>216</v>
      </c>
      <c r="B374">
        <v>851</v>
      </c>
      <c r="C374" t="s">
        <v>29</v>
      </c>
      <c r="D374" t="s">
        <v>53</v>
      </c>
      <c r="E374" t="s">
        <v>40</v>
      </c>
      <c r="F374" t="s">
        <v>64</v>
      </c>
      <c r="G374" t="str" cm="1">
        <f t="array" ref="G374">_xlfn.SWITCH(F374,"Acme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374" t="s">
        <v>45</v>
      </c>
      <c r="I374" t="s">
        <v>91</v>
      </c>
      <c r="J374" t="str" cm="1">
        <f t="array" ref="J374">_xlfn.SWITCH(I374,"P001","Laptop","P002","Server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374" s="1" cm="1">
        <f t="array" ref="K374">_xlfn.SWITCH(Table1[[#This Row],[Product ID]],"P001",220,"P002",150,"P003",130,"P004",70,"P005",200,"P006",40,"P007",25,"P008",20,"P009",190,"P010",530)</f>
        <v>190</v>
      </c>
      <c r="L374">
        <v>3</v>
      </c>
      <c r="M374" s="1">
        <f>Table1[[#This Row],[Unit Price]]*Table1[[#This Row],[Quantity]]</f>
        <v>570</v>
      </c>
      <c r="N374" s="2">
        <v>0.05</v>
      </c>
      <c r="O374" s="1">
        <f>Table1[[#This Row],[Gross Value]]*(1-Table1[[#This Row],[Discount]])</f>
        <v>541.5</v>
      </c>
      <c r="P374" s="2">
        <v>0.2</v>
      </c>
      <c r="Q374" s="1">
        <f>Table1[[#This Row],[Revenue]]*Table1[[#This Row],[VAT Rate]]</f>
        <v>108.30000000000001</v>
      </c>
      <c r="R374" s="1">
        <f>Table1[[#This Row],[Revenue]]+Table1[[#This Row],[VAT Charged]]</f>
        <v>649.79999999999995</v>
      </c>
      <c r="S374" s="1" cm="1">
        <f t="array" ref="S374">_xlfn.SWITCH(Table1[[#This Row],[Product ID]],"P001",140,"P002",80,"P003",72,"P004",30,"P005",110,"P006",24,"P007",14,"P008",12,"P009",115,"P010",360)</f>
        <v>115</v>
      </c>
      <c r="T374" s="1" cm="1">
        <f t="array" ref="T374">(_xlfn.SWITCH(Table1[[#This Row],[Product ID]],"P001",140,"P002",80,"P003",72,"P004",30,"P005",110,"P006",24,"P007",14,"P008",12,"P009",115,"P010",360))*Table1[[#This Row],[Quantity]]</f>
        <v>345</v>
      </c>
      <c r="U374" s="1" cm="1">
        <f t="array" ref="U374">_xlfn.SWITCH(Table1[[#This Row],[Product ID]],"P001",15,"P002",0,"P003",8,"P004",8,"P005",0,"P006",7,"P007",7,"P008",6,"P009",45,"P010",60)</f>
        <v>45</v>
      </c>
      <c r="V374" s="1">
        <f>Table1[[#This Row],[Shipping per Unit]]*Table1[[#This Row],[Quantity]]</f>
        <v>135</v>
      </c>
      <c r="W374" s="2">
        <f>IF(Table1[[#This Row],[Total Shipping]]&gt;0.1,0.2,0)</f>
        <v>0.2</v>
      </c>
      <c r="X374" s="4">
        <f>Table1[[#This Row],[Total Shipping]]*Table1[[#This Row],[VAT on Shipping]]</f>
        <v>27</v>
      </c>
      <c r="Y374" s="1">
        <f>Table1[[#This Row],[Revenue]]-Table1[[#This Row],[COGS]]</f>
        <v>196.5</v>
      </c>
      <c r="Z374" s="3">
        <f>(Table1[[#This Row],[Profit]]/Table1[[#This Row],[Revenue]])</f>
        <v>0.36288088642659277</v>
      </c>
      <c r="AA374" s="1">
        <f>Table1[[#This Row],[Profit]]-Table1[[#This Row],[Total Shipping]]</f>
        <v>61.5</v>
      </c>
      <c r="AB374" s="3">
        <f>Table1[[#This Row],[Operating Profit]]/Table1[[#This Row],[Revenue]]</f>
        <v>0.11357340720221606</v>
      </c>
    </row>
    <row r="375" spans="1:28" x14ac:dyDescent="0.25">
      <c r="A375" t="s">
        <v>216</v>
      </c>
      <c r="B375">
        <v>990</v>
      </c>
      <c r="C375" t="s">
        <v>29</v>
      </c>
      <c r="D375" t="s">
        <v>30</v>
      </c>
      <c r="E375" t="s">
        <v>31</v>
      </c>
      <c r="F375" t="s">
        <v>97</v>
      </c>
      <c r="G375" t="str" cm="1">
        <f t="array" ref="G375">_xlfn.SWITCH(F375,"Acme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375" t="s">
        <v>51</v>
      </c>
      <c r="I375" t="s">
        <v>91</v>
      </c>
      <c r="J375" t="str" cm="1">
        <f t="array" ref="J375">_xlfn.SWITCH(I375,"P001","Laptop","P002","Server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375" s="1" cm="1">
        <f t="array" ref="K375">_xlfn.SWITCH(Table1[[#This Row],[Product ID]],"P001",220,"P002",150,"P003",130,"P004",70,"P005",200,"P006",40,"P007",25,"P008",20,"P009",190,"P010",530)</f>
        <v>190</v>
      </c>
      <c r="L375">
        <v>16</v>
      </c>
      <c r="M375" s="1">
        <f>Table1[[#This Row],[Unit Price]]*Table1[[#This Row],[Quantity]]</f>
        <v>3040</v>
      </c>
      <c r="N375" s="2">
        <v>0.06</v>
      </c>
      <c r="O375" s="1">
        <f>Table1[[#This Row],[Gross Value]]*(1-Table1[[#This Row],[Discount]])</f>
        <v>2857.6</v>
      </c>
      <c r="P375" s="2">
        <v>0.2</v>
      </c>
      <c r="Q375" s="1">
        <f>Table1[[#This Row],[Revenue]]*Table1[[#This Row],[VAT Rate]]</f>
        <v>571.52</v>
      </c>
      <c r="R375" s="1">
        <f>Table1[[#This Row],[Revenue]]+Table1[[#This Row],[VAT Charged]]</f>
        <v>3429.12</v>
      </c>
      <c r="S375" s="1" cm="1">
        <f t="array" ref="S375">_xlfn.SWITCH(Table1[[#This Row],[Product ID]],"P001",140,"P002",80,"P003",72,"P004",30,"P005",110,"P006",24,"P007",14,"P008",12,"P009",115,"P010",360)</f>
        <v>115</v>
      </c>
      <c r="T375" s="1" cm="1">
        <f t="array" ref="T375">(_xlfn.SWITCH(Table1[[#This Row],[Product ID]],"P001",140,"P002",80,"P003",72,"P004",30,"P005",110,"P006",24,"P007",14,"P008",12,"P009",115,"P010",360))*Table1[[#This Row],[Quantity]]</f>
        <v>1840</v>
      </c>
      <c r="U375" s="1" cm="1">
        <f t="array" ref="U375">_xlfn.SWITCH(Table1[[#This Row],[Product ID]],"P001",15,"P002",0,"P003",8,"P004",8,"P005",0,"P006",7,"P007",7,"P008",6,"P009",45,"P010",60)</f>
        <v>45</v>
      </c>
      <c r="V375" s="1">
        <f>Table1[[#This Row],[Shipping per Unit]]*Table1[[#This Row],[Quantity]]</f>
        <v>720</v>
      </c>
      <c r="W375" s="2">
        <f>IF(Table1[[#This Row],[Total Shipping]]&gt;0.1,0.2,0)</f>
        <v>0.2</v>
      </c>
      <c r="X375" s="4">
        <f>Table1[[#This Row],[Total Shipping]]*Table1[[#This Row],[VAT on Shipping]]</f>
        <v>144</v>
      </c>
      <c r="Y375" s="1">
        <f>Table1[[#This Row],[Revenue]]-Table1[[#This Row],[COGS]]</f>
        <v>1017.5999999999999</v>
      </c>
      <c r="Z375" s="3">
        <f>(Table1[[#This Row],[Profit]]/Table1[[#This Row],[Revenue]])</f>
        <v>0.3561030235162374</v>
      </c>
      <c r="AA375" s="1">
        <f>Table1[[#This Row],[Profit]]-Table1[[#This Row],[Total Shipping]]</f>
        <v>297.59999999999991</v>
      </c>
      <c r="AB375" s="3">
        <f>Table1[[#This Row],[Operating Profit]]/Table1[[#This Row],[Revenue]]</f>
        <v>0.1041433370660694</v>
      </c>
    </row>
    <row r="376" spans="1:28" x14ac:dyDescent="0.25">
      <c r="A376" t="s">
        <v>217</v>
      </c>
      <c r="B376">
        <v>68</v>
      </c>
      <c r="C376" t="s">
        <v>38</v>
      </c>
      <c r="D376" t="s">
        <v>39</v>
      </c>
      <c r="E376" t="s">
        <v>31</v>
      </c>
      <c r="F376" t="s">
        <v>76</v>
      </c>
      <c r="G376" t="str" cm="1">
        <f t="array" ref="G376">_xlfn.SWITCH(F376,"Acme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376" t="s">
        <v>33</v>
      </c>
      <c r="I376" t="s">
        <v>42</v>
      </c>
      <c r="J376" t="str" cm="1">
        <f t="array" ref="J376">_xlfn.SWITCH(I376,"P001","Laptop","P002","Server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76" s="1" cm="1">
        <f t="array" ref="K376">_xlfn.SWITCH(Table1[[#This Row],[Product ID]],"P001",220,"P002",150,"P003",130,"P004",70,"P005",200,"P006",40,"P007",25,"P008",20,"P009",190,"P010",530)</f>
        <v>40</v>
      </c>
      <c r="L376">
        <v>20</v>
      </c>
      <c r="M376" s="1">
        <f>Table1[[#This Row],[Unit Price]]*Table1[[#This Row],[Quantity]]</f>
        <v>800</v>
      </c>
      <c r="N376" s="2">
        <v>0.08</v>
      </c>
      <c r="O376" s="1">
        <f>Table1[[#This Row],[Gross Value]]*(1-Table1[[#This Row],[Discount]])</f>
        <v>736</v>
      </c>
      <c r="P376" s="2">
        <v>0.2</v>
      </c>
      <c r="Q376" s="1">
        <f>Table1[[#This Row],[Revenue]]*Table1[[#This Row],[VAT Rate]]</f>
        <v>147.20000000000002</v>
      </c>
      <c r="R376" s="1">
        <f>Table1[[#This Row],[Revenue]]+Table1[[#This Row],[VAT Charged]]</f>
        <v>883.2</v>
      </c>
      <c r="S376" s="1" cm="1">
        <f t="array" ref="S376">_xlfn.SWITCH(Table1[[#This Row],[Product ID]],"P001",140,"P002",80,"P003",72,"P004",30,"P005",110,"P006",24,"P007",14,"P008",12,"P009",115,"P010",360)</f>
        <v>24</v>
      </c>
      <c r="T376" s="1" cm="1">
        <f t="array" ref="T376">(_xlfn.SWITCH(Table1[[#This Row],[Product ID]],"P001",140,"P002",80,"P003",72,"P004",30,"P005",110,"P006",24,"P007",14,"P008",12,"P009",115,"P010",360))*Table1[[#This Row],[Quantity]]</f>
        <v>480</v>
      </c>
      <c r="U376" s="1" cm="1">
        <f t="array" ref="U376">_xlfn.SWITCH(Table1[[#This Row],[Product ID]],"P001",15,"P002",0,"P003",8,"P004",8,"P005",0,"P006",7,"P007",7,"P008",6,"P009",45,"P010",60)</f>
        <v>7</v>
      </c>
      <c r="V376" s="1">
        <f>Table1[[#This Row],[Shipping per Unit]]*Table1[[#This Row],[Quantity]]</f>
        <v>140</v>
      </c>
      <c r="W376" s="2">
        <f>IF(Table1[[#This Row],[Total Shipping]]&gt;0.1,0.2,0)</f>
        <v>0.2</v>
      </c>
      <c r="X376" s="4">
        <f>Table1[[#This Row],[Total Shipping]]*Table1[[#This Row],[VAT on Shipping]]</f>
        <v>28</v>
      </c>
      <c r="Y376" s="1">
        <f>Table1[[#This Row],[Revenue]]-Table1[[#This Row],[COGS]]</f>
        <v>256</v>
      </c>
      <c r="Z376" s="3">
        <f>(Table1[[#This Row],[Profit]]/Table1[[#This Row],[Revenue]])</f>
        <v>0.34782608695652173</v>
      </c>
      <c r="AA376" s="1">
        <f>Table1[[#This Row],[Profit]]-Table1[[#This Row],[Total Shipping]]</f>
        <v>116</v>
      </c>
      <c r="AB376" s="3">
        <f>Table1[[#This Row],[Operating Profit]]/Table1[[#This Row],[Revenue]]</f>
        <v>0.15760869565217392</v>
      </c>
    </row>
    <row r="377" spans="1:28" x14ac:dyDescent="0.25">
      <c r="A377" t="s">
        <v>217</v>
      </c>
      <c r="B377">
        <v>241</v>
      </c>
      <c r="C377" t="s">
        <v>71</v>
      </c>
      <c r="D377" t="s">
        <v>53</v>
      </c>
      <c r="E377" t="s">
        <v>31</v>
      </c>
      <c r="F377" t="s">
        <v>66</v>
      </c>
      <c r="G377" t="str" cm="1">
        <f t="array" ref="G377">_xlfn.SWITCH(F377,"Acme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377" t="s">
        <v>104</v>
      </c>
      <c r="I377" t="s">
        <v>42</v>
      </c>
      <c r="J377" t="str" cm="1">
        <f t="array" ref="J377">_xlfn.SWITCH(I377,"P001","Laptop","P002","Server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77" s="1" cm="1">
        <f t="array" ref="K377">_xlfn.SWITCH(Table1[[#This Row],[Product ID]],"P001",220,"P002",150,"P003",130,"P004",70,"P005",200,"P006",40,"P007",25,"P008",20,"P009",190,"P010",530)</f>
        <v>40</v>
      </c>
      <c r="L377">
        <v>3</v>
      </c>
      <c r="M377" s="1">
        <f>Table1[[#This Row],[Unit Price]]*Table1[[#This Row],[Quantity]]</f>
        <v>120</v>
      </c>
      <c r="N377" s="2">
        <v>0.02</v>
      </c>
      <c r="O377" s="1">
        <f>Table1[[#This Row],[Gross Value]]*(1-Table1[[#This Row],[Discount]])</f>
        <v>117.6</v>
      </c>
      <c r="P377" s="2">
        <v>0.2</v>
      </c>
      <c r="Q377" s="1">
        <f>Table1[[#This Row],[Revenue]]*Table1[[#This Row],[VAT Rate]]</f>
        <v>23.52</v>
      </c>
      <c r="R377" s="1">
        <f>Table1[[#This Row],[Revenue]]+Table1[[#This Row],[VAT Charged]]</f>
        <v>141.12</v>
      </c>
      <c r="S377" s="1" cm="1">
        <f t="array" ref="S377">_xlfn.SWITCH(Table1[[#This Row],[Product ID]],"P001",140,"P002",80,"P003",72,"P004",30,"P005",110,"P006",24,"P007",14,"P008",12,"P009",115,"P010",360)</f>
        <v>24</v>
      </c>
      <c r="T377" s="1" cm="1">
        <f t="array" ref="T377">(_xlfn.SWITCH(Table1[[#This Row],[Product ID]],"P001",140,"P002",80,"P003",72,"P004",30,"P005",110,"P006",24,"P007",14,"P008",12,"P009",115,"P010",360))*Table1[[#This Row],[Quantity]]</f>
        <v>72</v>
      </c>
      <c r="U377" s="1" cm="1">
        <f t="array" ref="U377">_xlfn.SWITCH(Table1[[#This Row],[Product ID]],"P001",15,"P002",0,"P003",8,"P004",8,"P005",0,"P006",7,"P007",7,"P008",6,"P009",45,"P010",60)</f>
        <v>7</v>
      </c>
      <c r="V377" s="1">
        <f>Table1[[#This Row],[Shipping per Unit]]*Table1[[#This Row],[Quantity]]</f>
        <v>21</v>
      </c>
      <c r="W377" s="2">
        <f>IF(Table1[[#This Row],[Total Shipping]]&gt;0.1,0.2,0)</f>
        <v>0.2</v>
      </c>
      <c r="X377" s="4">
        <f>Table1[[#This Row],[Total Shipping]]*Table1[[#This Row],[VAT on Shipping]]</f>
        <v>4.2</v>
      </c>
      <c r="Y377" s="1">
        <f>Table1[[#This Row],[Revenue]]-Table1[[#This Row],[COGS]]</f>
        <v>45.599999999999994</v>
      </c>
      <c r="Z377" s="3">
        <f>(Table1[[#This Row],[Profit]]/Table1[[#This Row],[Revenue]])</f>
        <v>0.38775510204081631</v>
      </c>
      <c r="AA377" s="1">
        <f>Table1[[#This Row],[Profit]]-Table1[[#This Row],[Total Shipping]]</f>
        <v>24.599999999999994</v>
      </c>
      <c r="AB377" s="3">
        <f>Table1[[#This Row],[Operating Profit]]/Table1[[#This Row],[Revenue]]</f>
        <v>0.20918367346938771</v>
      </c>
    </row>
    <row r="378" spans="1:28" x14ac:dyDescent="0.25">
      <c r="A378" t="s">
        <v>217</v>
      </c>
      <c r="B378">
        <v>661</v>
      </c>
      <c r="C378" t="s">
        <v>65</v>
      </c>
      <c r="D378" t="s">
        <v>30</v>
      </c>
      <c r="E378" t="s">
        <v>31</v>
      </c>
      <c r="F378" t="s">
        <v>113</v>
      </c>
      <c r="G378" t="str" cm="1">
        <f t="array" ref="G378">_xlfn.SWITCH(F378,"Acme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378" t="s">
        <v>58</v>
      </c>
      <c r="I378" t="s">
        <v>55</v>
      </c>
      <c r="J378" t="str" cm="1">
        <f t="array" ref="J378">_xlfn.SWITCH(I378,"P001","Laptop","P002","Server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78" s="1" cm="1">
        <f t="array" ref="K378">_xlfn.SWITCH(Table1[[#This Row],[Product ID]],"P001",220,"P002",150,"P003",130,"P004",70,"P005",200,"P006",40,"P007",25,"P008",20,"P009",190,"P010",530)</f>
        <v>70</v>
      </c>
      <c r="L378">
        <v>10</v>
      </c>
      <c r="M378" s="1">
        <f>Table1[[#This Row],[Unit Price]]*Table1[[#This Row],[Quantity]]</f>
        <v>700</v>
      </c>
      <c r="N378" s="2">
        <v>0.03</v>
      </c>
      <c r="O378" s="1">
        <f>Table1[[#This Row],[Gross Value]]*(1-Table1[[#This Row],[Discount]])</f>
        <v>679</v>
      </c>
      <c r="P378" s="2">
        <v>0.2</v>
      </c>
      <c r="Q378" s="1">
        <f>Table1[[#This Row],[Revenue]]*Table1[[#This Row],[VAT Rate]]</f>
        <v>135.80000000000001</v>
      </c>
      <c r="R378" s="1">
        <f>Table1[[#This Row],[Revenue]]+Table1[[#This Row],[VAT Charged]]</f>
        <v>814.8</v>
      </c>
      <c r="S378" s="1" cm="1">
        <f t="array" ref="S378">_xlfn.SWITCH(Table1[[#This Row],[Product ID]],"P001",140,"P002",80,"P003",72,"P004",30,"P005",110,"P006",24,"P007",14,"P008",12,"P009",115,"P010",360)</f>
        <v>30</v>
      </c>
      <c r="T378" s="1" cm="1">
        <f t="array" ref="T378">(_xlfn.SWITCH(Table1[[#This Row],[Product ID]],"P001",140,"P002",80,"P003",72,"P004",30,"P005",110,"P006",24,"P007",14,"P008",12,"P009",115,"P010",360))*Table1[[#This Row],[Quantity]]</f>
        <v>300</v>
      </c>
      <c r="U378" s="1" cm="1">
        <f t="array" ref="U378">_xlfn.SWITCH(Table1[[#This Row],[Product ID]],"P001",15,"P002",0,"P003",8,"P004",8,"P005",0,"P006",7,"P007",7,"P008",6,"P009",45,"P010",60)</f>
        <v>8</v>
      </c>
      <c r="V378" s="1">
        <f>Table1[[#This Row],[Shipping per Unit]]*Table1[[#This Row],[Quantity]]</f>
        <v>80</v>
      </c>
      <c r="W378" s="2">
        <f>IF(Table1[[#This Row],[Total Shipping]]&gt;0.1,0.2,0)</f>
        <v>0.2</v>
      </c>
      <c r="X378" s="4">
        <f>Table1[[#This Row],[Total Shipping]]*Table1[[#This Row],[VAT on Shipping]]</f>
        <v>16</v>
      </c>
      <c r="Y378" s="1">
        <f>Table1[[#This Row],[Revenue]]-Table1[[#This Row],[COGS]]</f>
        <v>379</v>
      </c>
      <c r="Z378" s="3">
        <f>(Table1[[#This Row],[Profit]]/Table1[[#This Row],[Revenue]])</f>
        <v>0.5581737849779087</v>
      </c>
      <c r="AA378" s="1">
        <f>Table1[[#This Row],[Profit]]-Table1[[#This Row],[Total Shipping]]</f>
        <v>299</v>
      </c>
      <c r="AB378" s="3">
        <f>Table1[[#This Row],[Operating Profit]]/Table1[[#This Row],[Revenue]]</f>
        <v>0.44035346097201766</v>
      </c>
    </row>
    <row r="379" spans="1:28" x14ac:dyDescent="0.25">
      <c r="A379" t="s">
        <v>218</v>
      </c>
      <c r="B379">
        <v>187</v>
      </c>
      <c r="C379" t="s">
        <v>83</v>
      </c>
      <c r="D379" t="s">
        <v>57</v>
      </c>
      <c r="E379" t="s">
        <v>31</v>
      </c>
      <c r="F379" t="s">
        <v>74</v>
      </c>
      <c r="G379" t="str" cm="1">
        <f t="array" ref="G379">_xlfn.SWITCH(F379,"Acme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379" t="s">
        <v>33</v>
      </c>
      <c r="I379" t="s">
        <v>68</v>
      </c>
      <c r="J379" t="str" cm="1">
        <f t="array" ref="J379">_xlfn.SWITCH(I379,"P001","Laptop","P002","Server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79" s="1" cm="1">
        <f t="array" ref="K379">_xlfn.SWITCH(Table1[[#This Row],[Product ID]],"P001",220,"P002",150,"P003",130,"P004",70,"P005",200,"P006",40,"P007",25,"P008",20,"P009",190,"P010",530)</f>
        <v>220</v>
      </c>
      <c r="L379">
        <v>16</v>
      </c>
      <c r="M379" s="1">
        <f>Table1[[#This Row],[Unit Price]]*Table1[[#This Row],[Quantity]]</f>
        <v>3520</v>
      </c>
      <c r="N379" s="2">
        <v>0.02</v>
      </c>
      <c r="O379" s="1">
        <f>Table1[[#This Row],[Gross Value]]*(1-Table1[[#This Row],[Discount]])</f>
        <v>3449.6</v>
      </c>
      <c r="P379" s="2">
        <v>0.2</v>
      </c>
      <c r="Q379" s="1">
        <f>Table1[[#This Row],[Revenue]]*Table1[[#This Row],[VAT Rate]]</f>
        <v>689.92000000000007</v>
      </c>
      <c r="R379" s="1">
        <f>Table1[[#This Row],[Revenue]]+Table1[[#This Row],[VAT Charged]]</f>
        <v>4139.5200000000004</v>
      </c>
      <c r="S379" s="1" cm="1">
        <f t="array" ref="S379">_xlfn.SWITCH(Table1[[#This Row],[Product ID]],"P001",140,"P002",80,"P003",72,"P004",30,"P005",110,"P006",24,"P007",14,"P008",12,"P009",115,"P010",360)</f>
        <v>140</v>
      </c>
      <c r="T379" s="1" cm="1">
        <f t="array" ref="T379">(_xlfn.SWITCH(Table1[[#This Row],[Product ID]],"P001",140,"P002",80,"P003",72,"P004",30,"P005",110,"P006",24,"P007",14,"P008",12,"P009",115,"P010",360))*Table1[[#This Row],[Quantity]]</f>
        <v>2240</v>
      </c>
      <c r="U379" s="1" cm="1">
        <f t="array" ref="U379">_xlfn.SWITCH(Table1[[#This Row],[Product ID]],"P001",15,"P002",0,"P003",8,"P004",8,"P005",0,"P006",7,"P007",7,"P008",6,"P009",45,"P010",60)</f>
        <v>15</v>
      </c>
      <c r="V379" s="1">
        <f>Table1[[#This Row],[Shipping per Unit]]*Table1[[#This Row],[Quantity]]</f>
        <v>240</v>
      </c>
      <c r="W379" s="2">
        <f>IF(Table1[[#This Row],[Total Shipping]]&gt;0.1,0.2,0)</f>
        <v>0.2</v>
      </c>
      <c r="X379" s="4">
        <f>Table1[[#This Row],[Total Shipping]]*Table1[[#This Row],[VAT on Shipping]]</f>
        <v>48</v>
      </c>
      <c r="Y379" s="1">
        <f>Table1[[#This Row],[Revenue]]-Table1[[#This Row],[COGS]]</f>
        <v>1209.5999999999999</v>
      </c>
      <c r="Z379" s="3">
        <f>(Table1[[#This Row],[Profit]]/Table1[[#This Row],[Revenue]])</f>
        <v>0.35064935064935066</v>
      </c>
      <c r="AA379" s="1">
        <f>Table1[[#This Row],[Profit]]-Table1[[#This Row],[Total Shipping]]</f>
        <v>969.59999999999991</v>
      </c>
      <c r="AB379" s="3">
        <f>Table1[[#This Row],[Operating Profit]]/Table1[[#This Row],[Revenue]]</f>
        <v>0.28107606679035246</v>
      </c>
    </row>
    <row r="380" spans="1:28" x14ac:dyDescent="0.25">
      <c r="A380" t="s">
        <v>218</v>
      </c>
      <c r="B380">
        <v>188</v>
      </c>
      <c r="C380" t="s">
        <v>65</v>
      </c>
      <c r="D380" t="s">
        <v>57</v>
      </c>
      <c r="E380" t="s">
        <v>31</v>
      </c>
      <c r="F380" t="s">
        <v>86</v>
      </c>
      <c r="G380" t="str" cm="1">
        <f t="array" ref="G380">_xlfn.SWITCH(F380,"Acme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80" t="s">
        <v>58</v>
      </c>
      <c r="I380" t="s">
        <v>68</v>
      </c>
      <c r="J380" t="str" cm="1">
        <f t="array" ref="J380">_xlfn.SWITCH(I380,"P001","Laptop","P002","Server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380" s="1" cm="1">
        <f t="array" ref="K380">_xlfn.SWITCH(Table1[[#This Row],[Product ID]],"P001",220,"P002",150,"P003",130,"P004",70,"P005",200,"P006",40,"P007",25,"P008",20,"P009",190,"P010",530)</f>
        <v>220</v>
      </c>
      <c r="L380">
        <v>16</v>
      </c>
      <c r="M380" s="1">
        <f>Table1[[#This Row],[Unit Price]]*Table1[[#This Row],[Quantity]]</f>
        <v>3520</v>
      </c>
      <c r="N380" s="2">
        <v>0.03</v>
      </c>
      <c r="O380" s="1">
        <f>Table1[[#This Row],[Gross Value]]*(1-Table1[[#This Row],[Discount]])</f>
        <v>3414.4</v>
      </c>
      <c r="P380" s="2">
        <v>0.2</v>
      </c>
      <c r="Q380" s="1">
        <f>Table1[[#This Row],[Revenue]]*Table1[[#This Row],[VAT Rate]]</f>
        <v>682.88000000000011</v>
      </c>
      <c r="R380" s="1">
        <f>Table1[[#This Row],[Revenue]]+Table1[[#This Row],[VAT Charged]]</f>
        <v>4097.2800000000007</v>
      </c>
      <c r="S380" s="1" cm="1">
        <f t="array" ref="S380">_xlfn.SWITCH(Table1[[#This Row],[Product ID]],"P001",140,"P002",80,"P003",72,"P004",30,"P005",110,"P006",24,"P007",14,"P008",12,"P009",115,"P010",360)</f>
        <v>140</v>
      </c>
      <c r="T380" s="1" cm="1">
        <f t="array" ref="T380">(_xlfn.SWITCH(Table1[[#This Row],[Product ID]],"P001",140,"P002",80,"P003",72,"P004",30,"P005",110,"P006",24,"P007",14,"P008",12,"P009",115,"P010",360))*Table1[[#This Row],[Quantity]]</f>
        <v>2240</v>
      </c>
      <c r="U380" s="1" cm="1">
        <f t="array" ref="U380">_xlfn.SWITCH(Table1[[#This Row],[Product ID]],"P001",15,"P002",0,"P003",8,"P004",8,"P005",0,"P006",7,"P007",7,"P008",6,"P009",45,"P010",60)</f>
        <v>15</v>
      </c>
      <c r="V380" s="1">
        <f>Table1[[#This Row],[Shipping per Unit]]*Table1[[#This Row],[Quantity]]</f>
        <v>240</v>
      </c>
      <c r="W380" s="2">
        <f>IF(Table1[[#This Row],[Total Shipping]]&gt;0.1,0.2,0)</f>
        <v>0.2</v>
      </c>
      <c r="X380" s="4">
        <f>Table1[[#This Row],[Total Shipping]]*Table1[[#This Row],[VAT on Shipping]]</f>
        <v>48</v>
      </c>
      <c r="Y380" s="1">
        <f>Table1[[#This Row],[Revenue]]-Table1[[#This Row],[COGS]]</f>
        <v>1174.4000000000001</v>
      </c>
      <c r="Z380" s="3">
        <f>(Table1[[#This Row],[Profit]]/Table1[[#This Row],[Revenue]])</f>
        <v>0.34395501405810686</v>
      </c>
      <c r="AA380" s="1">
        <f>Table1[[#This Row],[Profit]]-Table1[[#This Row],[Total Shipping]]</f>
        <v>934.40000000000009</v>
      </c>
      <c r="AB380" s="3">
        <f>Table1[[#This Row],[Operating Profit]]/Table1[[#This Row],[Revenue]]</f>
        <v>0.27366447985004688</v>
      </c>
    </row>
    <row r="381" spans="1:28" x14ac:dyDescent="0.25">
      <c r="A381" t="s">
        <v>218</v>
      </c>
      <c r="B381">
        <v>190</v>
      </c>
      <c r="C381" t="s">
        <v>29</v>
      </c>
      <c r="D381" t="s">
        <v>95</v>
      </c>
      <c r="E381" t="s">
        <v>31</v>
      </c>
      <c r="F381" t="s">
        <v>64</v>
      </c>
      <c r="G381" t="str" cm="1">
        <f t="array" ref="G381">_xlfn.SWITCH(F381,"Acme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381" t="s">
        <v>69</v>
      </c>
      <c r="I381" t="s">
        <v>34</v>
      </c>
      <c r="J381" t="str" cm="1">
        <f t="array" ref="J381">_xlfn.SWITCH(I381,"P001","Laptop","P002","Server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81" s="1" cm="1">
        <f t="array" ref="K381">_xlfn.SWITCH(Table1[[#This Row],[Product ID]],"P001",220,"P002",150,"P003",130,"P004",70,"P005",200,"P006",40,"P007",25,"P008",20,"P009",190,"P010",530)</f>
        <v>20</v>
      </c>
      <c r="L381">
        <v>18</v>
      </c>
      <c r="M381" s="1">
        <f>Table1[[#This Row],[Unit Price]]*Table1[[#This Row],[Quantity]]</f>
        <v>360</v>
      </c>
      <c r="N381" s="2">
        <v>0.1</v>
      </c>
      <c r="O381" s="1">
        <f>Table1[[#This Row],[Gross Value]]*(1-Table1[[#This Row],[Discount]])</f>
        <v>324</v>
      </c>
      <c r="P381" s="2">
        <v>0.2</v>
      </c>
      <c r="Q381" s="1">
        <f>Table1[[#This Row],[Revenue]]*Table1[[#This Row],[VAT Rate]]</f>
        <v>64.8</v>
      </c>
      <c r="R381" s="1">
        <f>Table1[[#This Row],[Revenue]]+Table1[[#This Row],[VAT Charged]]</f>
        <v>388.8</v>
      </c>
      <c r="S381" s="1" cm="1">
        <f t="array" ref="S381">_xlfn.SWITCH(Table1[[#This Row],[Product ID]],"P001",140,"P002",80,"P003",72,"P004",30,"P005",110,"P006",24,"P007",14,"P008",12,"P009",115,"P010",360)</f>
        <v>12</v>
      </c>
      <c r="T381" s="1" cm="1">
        <f t="array" ref="T381">(_xlfn.SWITCH(Table1[[#This Row],[Product ID]],"P001",140,"P002",80,"P003",72,"P004",30,"P005",110,"P006",24,"P007",14,"P008",12,"P009",115,"P010",360))*Table1[[#This Row],[Quantity]]</f>
        <v>216</v>
      </c>
      <c r="U381" s="1" cm="1">
        <f t="array" ref="U381">_xlfn.SWITCH(Table1[[#This Row],[Product ID]],"P001",15,"P002",0,"P003",8,"P004",8,"P005",0,"P006",7,"P007",7,"P008",6,"P009",45,"P010",60)</f>
        <v>6</v>
      </c>
      <c r="V381" s="1">
        <f>Table1[[#This Row],[Shipping per Unit]]*Table1[[#This Row],[Quantity]]</f>
        <v>108</v>
      </c>
      <c r="W381" s="2">
        <f>IF(Table1[[#This Row],[Total Shipping]]&gt;0.1,0.2,0)</f>
        <v>0.2</v>
      </c>
      <c r="X381" s="4">
        <f>Table1[[#This Row],[Total Shipping]]*Table1[[#This Row],[VAT on Shipping]]</f>
        <v>21.6</v>
      </c>
      <c r="Y381" s="1">
        <f>Table1[[#This Row],[Revenue]]-Table1[[#This Row],[COGS]]</f>
        <v>108</v>
      </c>
      <c r="Z381" s="3">
        <f>(Table1[[#This Row],[Profit]]/Table1[[#This Row],[Revenue]])</f>
        <v>0.33333333333333331</v>
      </c>
      <c r="AA381" s="1">
        <f>Table1[[#This Row],[Profit]]-Table1[[#This Row],[Total Shipping]]</f>
        <v>0</v>
      </c>
      <c r="AB381" s="3">
        <f>Table1[[#This Row],[Operating Profit]]/Table1[[#This Row],[Revenue]]</f>
        <v>0</v>
      </c>
    </row>
    <row r="382" spans="1:28" x14ac:dyDescent="0.25">
      <c r="A382" t="s">
        <v>218</v>
      </c>
      <c r="B382">
        <v>338</v>
      </c>
      <c r="C382" t="s">
        <v>56</v>
      </c>
      <c r="D382" t="s">
        <v>48</v>
      </c>
      <c r="E382" t="s">
        <v>31</v>
      </c>
      <c r="F382" t="s">
        <v>54</v>
      </c>
      <c r="G382" t="str" cm="1">
        <f t="array" ref="G382">_xlfn.SWITCH(F382,"Acme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382" t="s">
        <v>51</v>
      </c>
      <c r="I382" t="s">
        <v>46</v>
      </c>
      <c r="J382" t="str" cm="1">
        <f t="array" ref="J382">_xlfn.SWITCH(I382,"P001","Laptop","P002","Server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382" s="1" cm="1">
        <f t="array" ref="K382">_xlfn.SWITCH(Table1[[#This Row],[Product ID]],"P001",220,"P002",150,"P003",130,"P004",70,"P005",200,"P006",40,"P007",25,"P008",20,"P009",190,"P010",530)</f>
        <v>530</v>
      </c>
      <c r="L382">
        <v>1</v>
      </c>
      <c r="M382" s="1">
        <f>Table1[[#This Row],[Unit Price]]*Table1[[#This Row],[Quantity]]</f>
        <v>530</v>
      </c>
      <c r="N382" s="2">
        <v>0.05</v>
      </c>
      <c r="O382" s="1">
        <f>Table1[[#This Row],[Gross Value]]*(1-Table1[[#This Row],[Discount]])</f>
        <v>503.5</v>
      </c>
      <c r="P382" s="2">
        <v>0.2</v>
      </c>
      <c r="Q382" s="1">
        <f>Table1[[#This Row],[Revenue]]*Table1[[#This Row],[VAT Rate]]</f>
        <v>100.7</v>
      </c>
      <c r="R382" s="1">
        <f>Table1[[#This Row],[Revenue]]+Table1[[#This Row],[VAT Charged]]</f>
        <v>604.20000000000005</v>
      </c>
      <c r="S382" s="1" cm="1">
        <f t="array" ref="S382">_xlfn.SWITCH(Table1[[#This Row],[Product ID]],"P001",140,"P002",80,"P003",72,"P004",30,"P005",110,"P006",24,"P007",14,"P008",12,"P009",115,"P010",360)</f>
        <v>360</v>
      </c>
      <c r="T382" s="1" cm="1">
        <f t="array" ref="T382">(_xlfn.SWITCH(Table1[[#This Row],[Product ID]],"P001",140,"P002",80,"P003",72,"P004",30,"P005",110,"P006",24,"P007",14,"P008",12,"P009",115,"P010",360))*Table1[[#This Row],[Quantity]]</f>
        <v>360</v>
      </c>
      <c r="U382" s="1" cm="1">
        <f t="array" ref="U382">_xlfn.SWITCH(Table1[[#This Row],[Product ID]],"P001",15,"P002",0,"P003",8,"P004",8,"P005",0,"P006",7,"P007",7,"P008",6,"P009",45,"P010",60)</f>
        <v>60</v>
      </c>
      <c r="V382" s="1">
        <f>Table1[[#This Row],[Shipping per Unit]]*Table1[[#This Row],[Quantity]]</f>
        <v>60</v>
      </c>
      <c r="W382" s="2">
        <f>IF(Table1[[#This Row],[Total Shipping]]&gt;0.1,0.2,0)</f>
        <v>0.2</v>
      </c>
      <c r="X382" s="4">
        <f>Table1[[#This Row],[Total Shipping]]*Table1[[#This Row],[VAT on Shipping]]</f>
        <v>12</v>
      </c>
      <c r="Y382" s="1">
        <f>Table1[[#This Row],[Revenue]]-Table1[[#This Row],[COGS]]</f>
        <v>143.5</v>
      </c>
      <c r="Z382" s="3">
        <f>(Table1[[#This Row],[Profit]]/Table1[[#This Row],[Revenue]])</f>
        <v>0.28500496524329694</v>
      </c>
      <c r="AA382" s="1">
        <f>Table1[[#This Row],[Profit]]-Table1[[#This Row],[Total Shipping]]</f>
        <v>83.5</v>
      </c>
      <c r="AB382" s="3">
        <f>Table1[[#This Row],[Operating Profit]]/Table1[[#This Row],[Revenue]]</f>
        <v>0.16583912611717974</v>
      </c>
    </row>
    <row r="383" spans="1:28" x14ac:dyDescent="0.25">
      <c r="A383" t="s">
        <v>219</v>
      </c>
      <c r="B383">
        <v>120</v>
      </c>
      <c r="C383" t="s">
        <v>29</v>
      </c>
      <c r="D383" t="s">
        <v>53</v>
      </c>
      <c r="E383" t="s">
        <v>31</v>
      </c>
      <c r="F383" t="s">
        <v>64</v>
      </c>
      <c r="G383" t="str" cm="1">
        <f t="array" ref="G383">_xlfn.SWITCH(F383,"Acme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383" t="s">
        <v>33</v>
      </c>
      <c r="I383" t="s">
        <v>70</v>
      </c>
      <c r="J383" t="str" cm="1">
        <f t="array" ref="J383">_xlfn.SWITCH(I383,"P001","Laptop","P002","Server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83" s="1" cm="1">
        <f t="array" ref="K383">_xlfn.SWITCH(Table1[[#This Row],[Product ID]],"P001",220,"P002",150,"P003",130,"P004",70,"P005",200,"P006",40,"P007",25,"P008",20,"P009",190,"P010",530)</f>
        <v>150</v>
      </c>
      <c r="L383">
        <v>7</v>
      </c>
      <c r="M383" s="1">
        <f>Table1[[#This Row],[Unit Price]]*Table1[[#This Row],[Quantity]]</f>
        <v>1050</v>
      </c>
      <c r="N383" s="2">
        <v>0.03</v>
      </c>
      <c r="O383" s="1">
        <f>Table1[[#This Row],[Gross Value]]*(1-Table1[[#This Row],[Discount]])</f>
        <v>1018.5</v>
      </c>
      <c r="P383" s="2">
        <v>0.2</v>
      </c>
      <c r="Q383" s="1">
        <f>Table1[[#This Row],[Revenue]]*Table1[[#This Row],[VAT Rate]]</f>
        <v>203.70000000000002</v>
      </c>
      <c r="R383" s="1">
        <f>Table1[[#This Row],[Revenue]]+Table1[[#This Row],[VAT Charged]]</f>
        <v>1222.2</v>
      </c>
      <c r="S383" s="1" cm="1">
        <f t="array" ref="S383">_xlfn.SWITCH(Table1[[#This Row],[Product ID]],"P001",140,"P002",80,"P003",72,"P004",30,"P005",110,"P006",24,"P007",14,"P008",12,"P009",115,"P010",360)</f>
        <v>80</v>
      </c>
      <c r="T383" s="1" cm="1">
        <f t="array" ref="T383">(_xlfn.SWITCH(Table1[[#This Row],[Product ID]],"P001",140,"P002",80,"P003",72,"P004",30,"P005",110,"P006",24,"P007",14,"P008",12,"P009",115,"P010",360))*Table1[[#This Row],[Quantity]]</f>
        <v>560</v>
      </c>
      <c r="U383" s="1" cm="1">
        <f t="array" ref="U383">_xlfn.SWITCH(Table1[[#This Row],[Product ID]],"P001",15,"P002",0,"P003",8,"P004",8,"P005",0,"P006",7,"P007",7,"P008",6,"P009",45,"P010",60)</f>
        <v>0</v>
      </c>
      <c r="V383" s="1">
        <f>Table1[[#This Row],[Shipping per Unit]]*Table1[[#This Row],[Quantity]]</f>
        <v>0</v>
      </c>
      <c r="W383" s="2">
        <f>IF(Table1[[#This Row],[Total Shipping]]&gt;0.1,0.2,0)</f>
        <v>0</v>
      </c>
      <c r="X383" s="4">
        <f>Table1[[#This Row],[Total Shipping]]*Table1[[#This Row],[VAT on Shipping]]</f>
        <v>0</v>
      </c>
      <c r="Y383" s="1">
        <f>Table1[[#This Row],[Revenue]]-Table1[[#This Row],[COGS]]</f>
        <v>458.5</v>
      </c>
      <c r="Z383" s="3">
        <f>(Table1[[#This Row],[Profit]]/Table1[[#This Row],[Revenue]])</f>
        <v>0.45017182130584193</v>
      </c>
      <c r="AA383" s="1">
        <f>Table1[[#This Row],[Profit]]-Table1[[#This Row],[Total Shipping]]</f>
        <v>458.5</v>
      </c>
      <c r="AB383" s="3">
        <f>Table1[[#This Row],[Operating Profit]]/Table1[[#This Row],[Revenue]]</f>
        <v>0.45017182130584193</v>
      </c>
    </row>
    <row r="384" spans="1:28" x14ac:dyDescent="0.25">
      <c r="A384" t="s">
        <v>219</v>
      </c>
      <c r="B384">
        <v>145</v>
      </c>
      <c r="C384" t="s">
        <v>71</v>
      </c>
      <c r="D384" t="s">
        <v>39</v>
      </c>
      <c r="E384" t="s">
        <v>31</v>
      </c>
      <c r="F384" t="s">
        <v>126</v>
      </c>
      <c r="G384" t="str" cm="1">
        <f t="array" ref="G384">_xlfn.SWITCH(F384,"Acme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384" t="s">
        <v>104</v>
      </c>
      <c r="I384" t="s">
        <v>70</v>
      </c>
      <c r="J384" t="str" cm="1">
        <f t="array" ref="J384">_xlfn.SWITCH(I384,"P001","Laptop","P002","Server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84" s="1" cm="1">
        <f t="array" ref="K384">_xlfn.SWITCH(Table1[[#This Row],[Product ID]],"P001",220,"P002",150,"P003",130,"P004",70,"P005",200,"P006",40,"P007",25,"P008",20,"P009",190,"P010",530)</f>
        <v>150</v>
      </c>
      <c r="L384">
        <v>8</v>
      </c>
      <c r="M384" s="1">
        <f>Table1[[#This Row],[Unit Price]]*Table1[[#This Row],[Quantity]]</f>
        <v>1200</v>
      </c>
      <c r="N384" s="2">
        <v>0.05</v>
      </c>
      <c r="O384" s="1">
        <f>Table1[[#This Row],[Gross Value]]*(1-Table1[[#This Row],[Discount]])</f>
        <v>1140</v>
      </c>
      <c r="P384" s="2">
        <v>0.2</v>
      </c>
      <c r="Q384" s="1">
        <f>Table1[[#This Row],[Revenue]]*Table1[[#This Row],[VAT Rate]]</f>
        <v>228</v>
      </c>
      <c r="R384" s="1">
        <f>Table1[[#This Row],[Revenue]]+Table1[[#This Row],[VAT Charged]]</f>
        <v>1368</v>
      </c>
      <c r="S384" s="1" cm="1">
        <f t="array" ref="S384">_xlfn.SWITCH(Table1[[#This Row],[Product ID]],"P001",140,"P002",80,"P003",72,"P004",30,"P005",110,"P006",24,"P007",14,"P008",12,"P009",115,"P010",360)</f>
        <v>80</v>
      </c>
      <c r="T384" s="1" cm="1">
        <f t="array" ref="T384">(_xlfn.SWITCH(Table1[[#This Row],[Product ID]],"P001",140,"P002",80,"P003",72,"P004",30,"P005",110,"P006",24,"P007",14,"P008",12,"P009",115,"P010",360))*Table1[[#This Row],[Quantity]]</f>
        <v>640</v>
      </c>
      <c r="U384" s="1" cm="1">
        <f t="array" ref="U384">_xlfn.SWITCH(Table1[[#This Row],[Product ID]],"P001",15,"P002",0,"P003",8,"P004",8,"P005",0,"P006",7,"P007",7,"P008",6,"P009",45,"P010",60)</f>
        <v>0</v>
      </c>
      <c r="V384" s="1">
        <f>Table1[[#This Row],[Shipping per Unit]]*Table1[[#This Row],[Quantity]]</f>
        <v>0</v>
      </c>
      <c r="W384" s="2">
        <f>IF(Table1[[#This Row],[Total Shipping]]&gt;0.1,0.2,0)</f>
        <v>0</v>
      </c>
      <c r="X384" s="4">
        <f>Table1[[#This Row],[Total Shipping]]*Table1[[#This Row],[VAT on Shipping]]</f>
        <v>0</v>
      </c>
      <c r="Y384" s="1">
        <f>Table1[[#This Row],[Revenue]]-Table1[[#This Row],[COGS]]</f>
        <v>500</v>
      </c>
      <c r="Z384" s="3">
        <f>(Table1[[#This Row],[Profit]]/Table1[[#This Row],[Revenue]])</f>
        <v>0.43859649122807015</v>
      </c>
      <c r="AA384" s="1">
        <f>Table1[[#This Row],[Profit]]-Table1[[#This Row],[Total Shipping]]</f>
        <v>500</v>
      </c>
      <c r="AB384" s="3">
        <f>Table1[[#This Row],[Operating Profit]]/Table1[[#This Row],[Revenue]]</f>
        <v>0.43859649122807015</v>
      </c>
    </row>
    <row r="385" spans="1:28" x14ac:dyDescent="0.25">
      <c r="A385" t="s">
        <v>219</v>
      </c>
      <c r="B385">
        <v>692</v>
      </c>
      <c r="C385" t="s">
        <v>29</v>
      </c>
      <c r="D385" t="s">
        <v>53</v>
      </c>
      <c r="E385" t="s">
        <v>40</v>
      </c>
      <c r="F385" t="s">
        <v>78</v>
      </c>
      <c r="G385" t="str" cm="1">
        <f t="array" ref="G385">_xlfn.SWITCH(F385,"Acme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385" t="s">
        <v>69</v>
      </c>
      <c r="I385" t="s">
        <v>70</v>
      </c>
      <c r="J385" t="str" cm="1">
        <f t="array" ref="J385">_xlfn.SWITCH(I385,"P001","Laptop","P002","Server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85" s="1" cm="1">
        <f t="array" ref="K385">_xlfn.SWITCH(Table1[[#This Row],[Product ID]],"P001",220,"P002",150,"P003",130,"P004",70,"P005",200,"P006",40,"P007",25,"P008",20,"P009",190,"P010",530)</f>
        <v>150</v>
      </c>
      <c r="L385">
        <v>1</v>
      </c>
      <c r="M385" s="1">
        <f>Table1[[#This Row],[Unit Price]]*Table1[[#This Row],[Quantity]]</f>
        <v>150</v>
      </c>
      <c r="N385" s="2">
        <v>0.03</v>
      </c>
      <c r="O385" s="1">
        <f>Table1[[#This Row],[Gross Value]]*(1-Table1[[#This Row],[Discount]])</f>
        <v>145.5</v>
      </c>
      <c r="P385" s="2">
        <v>0.2</v>
      </c>
      <c r="Q385" s="1">
        <f>Table1[[#This Row],[Revenue]]*Table1[[#This Row],[VAT Rate]]</f>
        <v>29.1</v>
      </c>
      <c r="R385" s="1">
        <f>Table1[[#This Row],[Revenue]]+Table1[[#This Row],[VAT Charged]]</f>
        <v>174.6</v>
      </c>
      <c r="S385" s="1" cm="1">
        <f t="array" ref="S385">_xlfn.SWITCH(Table1[[#This Row],[Product ID]],"P001",140,"P002",80,"P003",72,"P004",30,"P005",110,"P006",24,"P007",14,"P008",12,"P009",115,"P010",360)</f>
        <v>80</v>
      </c>
      <c r="T385" s="1" cm="1">
        <f t="array" ref="T385">(_xlfn.SWITCH(Table1[[#This Row],[Product ID]],"P001",140,"P002",80,"P003",72,"P004",30,"P005",110,"P006",24,"P007",14,"P008",12,"P009",115,"P010",360))*Table1[[#This Row],[Quantity]]</f>
        <v>80</v>
      </c>
      <c r="U385" s="1" cm="1">
        <f t="array" ref="U385">_xlfn.SWITCH(Table1[[#This Row],[Product ID]],"P001",15,"P002",0,"P003",8,"P004",8,"P005",0,"P006",7,"P007",7,"P008",6,"P009",45,"P010",60)</f>
        <v>0</v>
      </c>
      <c r="V385" s="1">
        <f>Table1[[#This Row],[Shipping per Unit]]*Table1[[#This Row],[Quantity]]</f>
        <v>0</v>
      </c>
      <c r="W385" s="2">
        <f>IF(Table1[[#This Row],[Total Shipping]]&gt;0.1,0.2,0)</f>
        <v>0</v>
      </c>
      <c r="X385" s="4">
        <f>Table1[[#This Row],[Total Shipping]]*Table1[[#This Row],[VAT on Shipping]]</f>
        <v>0</v>
      </c>
      <c r="Y385" s="1">
        <f>Table1[[#This Row],[Revenue]]-Table1[[#This Row],[COGS]]</f>
        <v>65.5</v>
      </c>
      <c r="Z385" s="3">
        <f>(Table1[[#This Row],[Profit]]/Table1[[#This Row],[Revenue]])</f>
        <v>0.45017182130584193</v>
      </c>
      <c r="AA385" s="1">
        <f>Table1[[#This Row],[Profit]]-Table1[[#This Row],[Total Shipping]]</f>
        <v>65.5</v>
      </c>
      <c r="AB385" s="3">
        <f>Table1[[#This Row],[Operating Profit]]/Table1[[#This Row],[Revenue]]</f>
        <v>0.45017182130584193</v>
      </c>
    </row>
    <row r="386" spans="1:28" x14ac:dyDescent="0.25">
      <c r="A386" t="s">
        <v>220</v>
      </c>
      <c r="B386">
        <v>349</v>
      </c>
      <c r="C386" t="s">
        <v>62</v>
      </c>
      <c r="D386" t="s">
        <v>63</v>
      </c>
      <c r="E386" t="s">
        <v>49</v>
      </c>
      <c r="F386" t="s">
        <v>92</v>
      </c>
      <c r="G386" t="str" cm="1">
        <f t="array" ref="G386">_xlfn.SWITCH(F386,"Acme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386" t="s">
        <v>104</v>
      </c>
      <c r="I386" t="s">
        <v>70</v>
      </c>
      <c r="J386" t="str" cm="1">
        <f t="array" ref="J386">_xlfn.SWITCH(I386,"P001","Laptop","P002","Server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86" s="1" cm="1">
        <f t="array" ref="K386">_xlfn.SWITCH(Table1[[#This Row],[Product ID]],"P001",220,"P002",150,"P003",130,"P004",70,"P005",200,"P006",40,"P007",25,"P008",20,"P009",190,"P010",530)</f>
        <v>150</v>
      </c>
      <c r="L386">
        <v>12</v>
      </c>
      <c r="M386" s="1">
        <f>Table1[[#This Row],[Unit Price]]*Table1[[#This Row],[Quantity]]</f>
        <v>1800</v>
      </c>
      <c r="N386" s="2">
        <v>0.05</v>
      </c>
      <c r="O386" s="1">
        <f>Table1[[#This Row],[Gross Value]]*(1-Table1[[#This Row],[Discount]])</f>
        <v>1710</v>
      </c>
      <c r="P386" s="2">
        <v>0.2</v>
      </c>
      <c r="Q386" s="1">
        <f>Table1[[#This Row],[Revenue]]*Table1[[#This Row],[VAT Rate]]</f>
        <v>342</v>
      </c>
      <c r="R386" s="1">
        <f>Table1[[#This Row],[Revenue]]+Table1[[#This Row],[VAT Charged]]</f>
        <v>2052</v>
      </c>
      <c r="S386" s="1" cm="1">
        <f t="array" ref="S386">_xlfn.SWITCH(Table1[[#This Row],[Product ID]],"P001",140,"P002",80,"P003",72,"P004",30,"P005",110,"P006",24,"P007",14,"P008",12,"P009",115,"P010",360)</f>
        <v>80</v>
      </c>
      <c r="T386" s="1" cm="1">
        <f t="array" ref="T386">(_xlfn.SWITCH(Table1[[#This Row],[Product ID]],"P001",140,"P002",80,"P003",72,"P004",30,"P005",110,"P006",24,"P007",14,"P008",12,"P009",115,"P010",360))*Table1[[#This Row],[Quantity]]</f>
        <v>960</v>
      </c>
      <c r="U386" s="1" cm="1">
        <f t="array" ref="U386">_xlfn.SWITCH(Table1[[#This Row],[Product ID]],"P001",15,"P002",0,"P003",8,"P004",8,"P005",0,"P006",7,"P007",7,"P008",6,"P009",45,"P010",60)</f>
        <v>0</v>
      </c>
      <c r="V386" s="1">
        <f>Table1[[#This Row],[Shipping per Unit]]*Table1[[#This Row],[Quantity]]</f>
        <v>0</v>
      </c>
      <c r="W386" s="2">
        <f>IF(Table1[[#This Row],[Total Shipping]]&gt;0.1,0.2,0)</f>
        <v>0</v>
      </c>
      <c r="X386" s="4">
        <f>Table1[[#This Row],[Total Shipping]]*Table1[[#This Row],[VAT on Shipping]]</f>
        <v>0</v>
      </c>
      <c r="Y386" s="1">
        <f>Table1[[#This Row],[Revenue]]-Table1[[#This Row],[COGS]]</f>
        <v>750</v>
      </c>
      <c r="Z386" s="3">
        <f>(Table1[[#This Row],[Profit]]/Table1[[#This Row],[Revenue]])</f>
        <v>0.43859649122807015</v>
      </c>
      <c r="AA386" s="1">
        <f>Table1[[#This Row],[Profit]]-Table1[[#This Row],[Total Shipping]]</f>
        <v>750</v>
      </c>
      <c r="AB386" s="3">
        <f>Table1[[#This Row],[Operating Profit]]/Table1[[#This Row],[Revenue]]</f>
        <v>0.43859649122807015</v>
      </c>
    </row>
    <row r="387" spans="1:28" x14ac:dyDescent="0.25">
      <c r="A387" t="s">
        <v>220</v>
      </c>
      <c r="B387">
        <v>451</v>
      </c>
      <c r="C387" t="s">
        <v>56</v>
      </c>
      <c r="D387" t="s">
        <v>95</v>
      </c>
      <c r="E387" t="s">
        <v>49</v>
      </c>
      <c r="F387" t="s">
        <v>98</v>
      </c>
      <c r="G387" t="str" cm="1">
        <f t="array" ref="G387">_xlfn.SWITCH(F387,"Acme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387" t="s">
        <v>33</v>
      </c>
      <c r="I387" t="s">
        <v>42</v>
      </c>
      <c r="J387" t="str" cm="1">
        <f t="array" ref="J387">_xlfn.SWITCH(I387,"P001","Laptop","P002","Server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87" s="1" cm="1">
        <f t="array" ref="K387">_xlfn.SWITCH(Table1[[#This Row],[Product ID]],"P001",220,"P002",150,"P003",130,"P004",70,"P005",200,"P006",40,"P007",25,"P008",20,"P009",190,"P010",530)</f>
        <v>40</v>
      </c>
      <c r="L387">
        <v>2</v>
      </c>
      <c r="M387" s="1">
        <f>Table1[[#This Row],[Unit Price]]*Table1[[#This Row],[Quantity]]</f>
        <v>80</v>
      </c>
      <c r="N387" s="2">
        <v>7.0000000000000007E-2</v>
      </c>
      <c r="O387" s="1">
        <f>Table1[[#This Row],[Gross Value]]*(1-Table1[[#This Row],[Discount]])</f>
        <v>74.399999999999991</v>
      </c>
      <c r="P387" s="2">
        <v>0.2</v>
      </c>
      <c r="Q387" s="1">
        <f>Table1[[#This Row],[Revenue]]*Table1[[#This Row],[VAT Rate]]</f>
        <v>14.879999999999999</v>
      </c>
      <c r="R387" s="1">
        <f>Table1[[#This Row],[Revenue]]+Table1[[#This Row],[VAT Charged]]</f>
        <v>89.279999999999987</v>
      </c>
      <c r="S387" s="1" cm="1">
        <f t="array" ref="S387">_xlfn.SWITCH(Table1[[#This Row],[Product ID]],"P001",140,"P002",80,"P003",72,"P004",30,"P005",110,"P006",24,"P007",14,"P008",12,"P009",115,"P010",360)</f>
        <v>24</v>
      </c>
      <c r="T387" s="1" cm="1">
        <f t="array" ref="T387">(_xlfn.SWITCH(Table1[[#This Row],[Product ID]],"P001",140,"P002",80,"P003",72,"P004",30,"P005",110,"P006",24,"P007",14,"P008",12,"P009",115,"P010",360))*Table1[[#This Row],[Quantity]]</f>
        <v>48</v>
      </c>
      <c r="U387" s="1" cm="1">
        <f t="array" ref="U387">_xlfn.SWITCH(Table1[[#This Row],[Product ID]],"P001",15,"P002",0,"P003",8,"P004",8,"P005",0,"P006",7,"P007",7,"P008",6,"P009",45,"P010",60)</f>
        <v>7</v>
      </c>
      <c r="V387" s="1">
        <f>Table1[[#This Row],[Shipping per Unit]]*Table1[[#This Row],[Quantity]]</f>
        <v>14</v>
      </c>
      <c r="W387" s="2">
        <f>IF(Table1[[#This Row],[Total Shipping]]&gt;0.1,0.2,0)</f>
        <v>0.2</v>
      </c>
      <c r="X387" s="4">
        <f>Table1[[#This Row],[Total Shipping]]*Table1[[#This Row],[VAT on Shipping]]</f>
        <v>2.8000000000000003</v>
      </c>
      <c r="Y387" s="1">
        <f>Table1[[#This Row],[Revenue]]-Table1[[#This Row],[COGS]]</f>
        <v>26.399999999999991</v>
      </c>
      <c r="Z387" s="3">
        <f>(Table1[[#This Row],[Profit]]/Table1[[#This Row],[Revenue]])</f>
        <v>0.35483870967741926</v>
      </c>
      <c r="AA387" s="1">
        <f>Table1[[#This Row],[Profit]]-Table1[[#This Row],[Total Shipping]]</f>
        <v>12.399999999999991</v>
      </c>
      <c r="AB387" s="3">
        <f>Table1[[#This Row],[Operating Profit]]/Table1[[#This Row],[Revenue]]</f>
        <v>0.16666666666666657</v>
      </c>
    </row>
    <row r="388" spans="1:28" x14ac:dyDescent="0.25">
      <c r="A388" t="s">
        <v>220</v>
      </c>
      <c r="B388">
        <v>963</v>
      </c>
      <c r="C388" t="s">
        <v>83</v>
      </c>
      <c r="D388" t="s">
        <v>48</v>
      </c>
      <c r="E388" t="s">
        <v>31</v>
      </c>
      <c r="F388" t="s">
        <v>44</v>
      </c>
      <c r="G388" t="str" cm="1">
        <f t="array" ref="G388">_xlfn.SWITCH(F388,"Acme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388" t="s">
        <v>45</v>
      </c>
      <c r="I388" t="s">
        <v>42</v>
      </c>
      <c r="J388" t="str" cm="1">
        <f t="array" ref="J388">_xlfn.SWITCH(I388,"P001","Laptop","P002","Server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88" s="1" cm="1">
        <f t="array" ref="K388">_xlfn.SWITCH(Table1[[#This Row],[Product ID]],"P001",220,"P002",150,"P003",130,"P004",70,"P005",200,"P006",40,"P007",25,"P008",20,"P009",190,"P010",530)</f>
        <v>40</v>
      </c>
      <c r="L388">
        <v>19</v>
      </c>
      <c r="M388" s="1">
        <f>Table1[[#This Row],[Unit Price]]*Table1[[#This Row],[Quantity]]</f>
        <v>760</v>
      </c>
      <c r="N388" s="2">
        <v>0.03</v>
      </c>
      <c r="O388" s="1">
        <f>Table1[[#This Row],[Gross Value]]*(1-Table1[[#This Row],[Discount]])</f>
        <v>737.19999999999993</v>
      </c>
      <c r="P388" s="2">
        <v>0.2</v>
      </c>
      <c r="Q388" s="1">
        <f>Table1[[#This Row],[Revenue]]*Table1[[#This Row],[VAT Rate]]</f>
        <v>147.44</v>
      </c>
      <c r="R388" s="1">
        <f>Table1[[#This Row],[Revenue]]+Table1[[#This Row],[VAT Charged]]</f>
        <v>884.63999999999987</v>
      </c>
      <c r="S388" s="1" cm="1">
        <f t="array" ref="S388">_xlfn.SWITCH(Table1[[#This Row],[Product ID]],"P001",140,"P002",80,"P003",72,"P004",30,"P005",110,"P006",24,"P007",14,"P008",12,"P009",115,"P010",360)</f>
        <v>24</v>
      </c>
      <c r="T388" s="1" cm="1">
        <f t="array" ref="T388">(_xlfn.SWITCH(Table1[[#This Row],[Product ID]],"P001",140,"P002",80,"P003",72,"P004",30,"P005",110,"P006",24,"P007",14,"P008",12,"P009",115,"P010",360))*Table1[[#This Row],[Quantity]]</f>
        <v>456</v>
      </c>
      <c r="U388" s="1" cm="1">
        <f t="array" ref="U388">_xlfn.SWITCH(Table1[[#This Row],[Product ID]],"P001",15,"P002",0,"P003",8,"P004",8,"P005",0,"P006",7,"P007",7,"P008",6,"P009",45,"P010",60)</f>
        <v>7</v>
      </c>
      <c r="V388" s="1">
        <f>Table1[[#This Row],[Shipping per Unit]]*Table1[[#This Row],[Quantity]]</f>
        <v>133</v>
      </c>
      <c r="W388" s="2">
        <f>IF(Table1[[#This Row],[Total Shipping]]&gt;0.1,0.2,0)</f>
        <v>0.2</v>
      </c>
      <c r="X388" s="4">
        <f>Table1[[#This Row],[Total Shipping]]*Table1[[#This Row],[VAT on Shipping]]</f>
        <v>26.6</v>
      </c>
      <c r="Y388" s="1">
        <f>Table1[[#This Row],[Revenue]]-Table1[[#This Row],[COGS]]</f>
        <v>281.19999999999993</v>
      </c>
      <c r="Z388" s="3">
        <f>(Table1[[#This Row],[Profit]]/Table1[[#This Row],[Revenue]])</f>
        <v>0.38144329896907209</v>
      </c>
      <c r="AA388" s="1">
        <f>Table1[[#This Row],[Profit]]-Table1[[#This Row],[Total Shipping]]</f>
        <v>148.19999999999993</v>
      </c>
      <c r="AB388" s="3">
        <f>Table1[[#This Row],[Operating Profit]]/Table1[[#This Row],[Revenue]]</f>
        <v>0.20103092783505147</v>
      </c>
    </row>
    <row r="389" spans="1:28" x14ac:dyDescent="0.25">
      <c r="A389" t="s">
        <v>221</v>
      </c>
      <c r="B389">
        <v>325</v>
      </c>
      <c r="C389" t="s">
        <v>38</v>
      </c>
      <c r="D389" t="s">
        <v>53</v>
      </c>
      <c r="E389" t="s">
        <v>40</v>
      </c>
      <c r="F389" t="s">
        <v>113</v>
      </c>
      <c r="G389" t="str" cm="1">
        <f t="array" ref="G389">_xlfn.SWITCH(F389,"Acme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389" t="s">
        <v>33</v>
      </c>
      <c r="I389" t="s">
        <v>42</v>
      </c>
      <c r="J389" t="str" cm="1">
        <f t="array" ref="J389">_xlfn.SWITCH(I389,"P001","Laptop","P002","Server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89" s="1" cm="1">
        <f t="array" ref="K389">_xlfn.SWITCH(Table1[[#This Row],[Product ID]],"P001",220,"P002",150,"P003",130,"P004",70,"P005",200,"P006",40,"P007",25,"P008",20,"P009",190,"P010",530)</f>
        <v>40</v>
      </c>
      <c r="L389">
        <v>18</v>
      </c>
      <c r="M389" s="1">
        <f>Table1[[#This Row],[Unit Price]]*Table1[[#This Row],[Quantity]]</f>
        <v>720</v>
      </c>
      <c r="N389" s="2">
        <v>7.0000000000000007E-2</v>
      </c>
      <c r="O389" s="1">
        <f>Table1[[#This Row],[Gross Value]]*(1-Table1[[#This Row],[Discount]])</f>
        <v>669.59999999999991</v>
      </c>
      <c r="P389" s="2">
        <v>0.2</v>
      </c>
      <c r="Q389" s="1">
        <f>Table1[[#This Row],[Revenue]]*Table1[[#This Row],[VAT Rate]]</f>
        <v>133.91999999999999</v>
      </c>
      <c r="R389" s="1">
        <f>Table1[[#This Row],[Revenue]]+Table1[[#This Row],[VAT Charged]]</f>
        <v>803.51999999999987</v>
      </c>
      <c r="S389" s="1" cm="1">
        <f t="array" ref="S389">_xlfn.SWITCH(Table1[[#This Row],[Product ID]],"P001",140,"P002",80,"P003",72,"P004",30,"P005",110,"P006",24,"P007",14,"P008",12,"P009",115,"P010",360)</f>
        <v>24</v>
      </c>
      <c r="T389" s="1" cm="1">
        <f t="array" ref="T389">(_xlfn.SWITCH(Table1[[#This Row],[Product ID]],"P001",140,"P002",80,"P003",72,"P004",30,"P005",110,"P006",24,"P007",14,"P008",12,"P009",115,"P010",360))*Table1[[#This Row],[Quantity]]</f>
        <v>432</v>
      </c>
      <c r="U389" s="1" cm="1">
        <f t="array" ref="U389">_xlfn.SWITCH(Table1[[#This Row],[Product ID]],"P001",15,"P002",0,"P003",8,"P004",8,"P005",0,"P006",7,"P007",7,"P008",6,"P009",45,"P010",60)</f>
        <v>7</v>
      </c>
      <c r="V389" s="1">
        <f>Table1[[#This Row],[Shipping per Unit]]*Table1[[#This Row],[Quantity]]</f>
        <v>126</v>
      </c>
      <c r="W389" s="2">
        <f>IF(Table1[[#This Row],[Total Shipping]]&gt;0.1,0.2,0)</f>
        <v>0.2</v>
      </c>
      <c r="X389" s="4">
        <f>Table1[[#This Row],[Total Shipping]]*Table1[[#This Row],[VAT on Shipping]]</f>
        <v>25.200000000000003</v>
      </c>
      <c r="Y389" s="1">
        <f>Table1[[#This Row],[Revenue]]-Table1[[#This Row],[COGS]]</f>
        <v>237.59999999999991</v>
      </c>
      <c r="Z389" s="3">
        <f>(Table1[[#This Row],[Profit]]/Table1[[#This Row],[Revenue]])</f>
        <v>0.35483870967741926</v>
      </c>
      <c r="AA389" s="1">
        <f>Table1[[#This Row],[Profit]]-Table1[[#This Row],[Total Shipping]]</f>
        <v>111.59999999999991</v>
      </c>
      <c r="AB389" s="3">
        <f>Table1[[#This Row],[Operating Profit]]/Table1[[#This Row],[Revenue]]</f>
        <v>0.16666666666666655</v>
      </c>
    </row>
    <row r="390" spans="1:28" x14ac:dyDescent="0.25">
      <c r="A390" t="s">
        <v>221</v>
      </c>
      <c r="B390">
        <v>506</v>
      </c>
      <c r="C390" t="s">
        <v>35</v>
      </c>
      <c r="D390" t="s">
        <v>53</v>
      </c>
      <c r="E390" t="s">
        <v>31</v>
      </c>
      <c r="F390" t="s">
        <v>50</v>
      </c>
      <c r="G390" t="str" cm="1">
        <f t="array" ref="G390">_xlfn.SWITCH(F390,"Acme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390" t="s">
        <v>33</v>
      </c>
      <c r="I390" t="s">
        <v>34</v>
      </c>
      <c r="J390" t="str" cm="1">
        <f t="array" ref="J390">_xlfn.SWITCH(I390,"P001","Laptop","P002","Server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390" s="1" cm="1">
        <f t="array" ref="K390">_xlfn.SWITCH(Table1[[#This Row],[Product ID]],"P001",220,"P002",150,"P003",130,"P004",70,"P005",200,"P006",40,"P007",25,"P008",20,"P009",190,"P010",530)</f>
        <v>20</v>
      </c>
      <c r="L390">
        <v>3</v>
      </c>
      <c r="M390" s="1">
        <f>Table1[[#This Row],[Unit Price]]*Table1[[#This Row],[Quantity]]</f>
        <v>60</v>
      </c>
      <c r="N390" s="2">
        <v>0.03</v>
      </c>
      <c r="O390" s="1">
        <f>Table1[[#This Row],[Gross Value]]*(1-Table1[[#This Row],[Discount]])</f>
        <v>58.199999999999996</v>
      </c>
      <c r="P390" s="2">
        <v>0.2</v>
      </c>
      <c r="Q390" s="1">
        <f>Table1[[#This Row],[Revenue]]*Table1[[#This Row],[VAT Rate]]</f>
        <v>11.64</v>
      </c>
      <c r="R390" s="1">
        <f>Table1[[#This Row],[Revenue]]+Table1[[#This Row],[VAT Charged]]</f>
        <v>69.84</v>
      </c>
      <c r="S390" s="1" cm="1">
        <f t="array" ref="S390">_xlfn.SWITCH(Table1[[#This Row],[Product ID]],"P001",140,"P002",80,"P003",72,"P004",30,"P005",110,"P006",24,"P007",14,"P008",12,"P009",115,"P010",360)</f>
        <v>12</v>
      </c>
      <c r="T390" s="1" cm="1">
        <f t="array" ref="T390">(_xlfn.SWITCH(Table1[[#This Row],[Product ID]],"P001",140,"P002",80,"P003",72,"P004",30,"P005",110,"P006",24,"P007",14,"P008",12,"P009",115,"P010",360))*Table1[[#This Row],[Quantity]]</f>
        <v>36</v>
      </c>
      <c r="U390" s="1" cm="1">
        <f t="array" ref="U390">_xlfn.SWITCH(Table1[[#This Row],[Product ID]],"P001",15,"P002",0,"P003",8,"P004",8,"P005",0,"P006",7,"P007",7,"P008",6,"P009",45,"P010",60)</f>
        <v>6</v>
      </c>
      <c r="V390" s="1">
        <f>Table1[[#This Row],[Shipping per Unit]]*Table1[[#This Row],[Quantity]]</f>
        <v>18</v>
      </c>
      <c r="W390" s="2">
        <f>IF(Table1[[#This Row],[Total Shipping]]&gt;0.1,0.2,0)</f>
        <v>0.2</v>
      </c>
      <c r="X390" s="4">
        <f>Table1[[#This Row],[Total Shipping]]*Table1[[#This Row],[VAT on Shipping]]</f>
        <v>3.6</v>
      </c>
      <c r="Y390" s="1">
        <f>Table1[[#This Row],[Revenue]]-Table1[[#This Row],[COGS]]</f>
        <v>22.199999999999996</v>
      </c>
      <c r="Z390" s="3">
        <f>(Table1[[#This Row],[Profit]]/Table1[[#This Row],[Revenue]])</f>
        <v>0.38144329896907214</v>
      </c>
      <c r="AA390" s="1">
        <f>Table1[[#This Row],[Profit]]-Table1[[#This Row],[Total Shipping]]</f>
        <v>4.1999999999999957</v>
      </c>
      <c r="AB390" s="3">
        <f>Table1[[#This Row],[Operating Profit]]/Table1[[#This Row],[Revenue]]</f>
        <v>7.2164948453608185E-2</v>
      </c>
    </row>
    <row r="391" spans="1:28" x14ac:dyDescent="0.25">
      <c r="A391" t="s">
        <v>221</v>
      </c>
      <c r="B391">
        <v>857</v>
      </c>
      <c r="C391" t="s">
        <v>62</v>
      </c>
      <c r="D391" t="s">
        <v>57</v>
      </c>
      <c r="E391" t="s">
        <v>31</v>
      </c>
      <c r="F391" t="s">
        <v>126</v>
      </c>
      <c r="G391" t="str" cm="1">
        <f t="array" ref="G391">_xlfn.SWITCH(F391,"Acme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391" t="s">
        <v>51</v>
      </c>
      <c r="I391" t="s">
        <v>55</v>
      </c>
      <c r="J391" t="str" cm="1">
        <f t="array" ref="J391">_xlfn.SWITCH(I391,"P001","Laptop","P002","Server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391" s="1" cm="1">
        <f t="array" ref="K391">_xlfn.SWITCH(Table1[[#This Row],[Product ID]],"P001",220,"P002",150,"P003",130,"P004",70,"P005",200,"P006",40,"P007",25,"P008",20,"P009",190,"P010",530)</f>
        <v>70</v>
      </c>
      <c r="L391">
        <v>15</v>
      </c>
      <c r="M391" s="1">
        <f>Table1[[#This Row],[Unit Price]]*Table1[[#This Row],[Quantity]]</f>
        <v>1050</v>
      </c>
      <c r="N391" s="2">
        <v>0.05</v>
      </c>
      <c r="O391" s="1">
        <f>Table1[[#This Row],[Gross Value]]*(1-Table1[[#This Row],[Discount]])</f>
        <v>997.5</v>
      </c>
      <c r="P391" s="2">
        <v>0.2</v>
      </c>
      <c r="Q391" s="1">
        <f>Table1[[#This Row],[Revenue]]*Table1[[#This Row],[VAT Rate]]</f>
        <v>199.5</v>
      </c>
      <c r="R391" s="1">
        <f>Table1[[#This Row],[Revenue]]+Table1[[#This Row],[VAT Charged]]</f>
        <v>1197</v>
      </c>
      <c r="S391" s="1" cm="1">
        <f t="array" ref="S391">_xlfn.SWITCH(Table1[[#This Row],[Product ID]],"P001",140,"P002",80,"P003",72,"P004",30,"P005",110,"P006",24,"P007",14,"P008",12,"P009",115,"P010",360)</f>
        <v>30</v>
      </c>
      <c r="T391" s="1" cm="1">
        <f t="array" ref="T391">(_xlfn.SWITCH(Table1[[#This Row],[Product ID]],"P001",140,"P002",80,"P003",72,"P004",30,"P005",110,"P006",24,"P007",14,"P008",12,"P009",115,"P010",360))*Table1[[#This Row],[Quantity]]</f>
        <v>450</v>
      </c>
      <c r="U391" s="1" cm="1">
        <f t="array" ref="U391">_xlfn.SWITCH(Table1[[#This Row],[Product ID]],"P001",15,"P002",0,"P003",8,"P004",8,"P005",0,"P006",7,"P007",7,"P008",6,"P009",45,"P010",60)</f>
        <v>8</v>
      </c>
      <c r="V391" s="1">
        <f>Table1[[#This Row],[Shipping per Unit]]*Table1[[#This Row],[Quantity]]</f>
        <v>120</v>
      </c>
      <c r="W391" s="2">
        <f>IF(Table1[[#This Row],[Total Shipping]]&gt;0.1,0.2,0)</f>
        <v>0.2</v>
      </c>
      <c r="X391" s="4">
        <f>Table1[[#This Row],[Total Shipping]]*Table1[[#This Row],[VAT on Shipping]]</f>
        <v>24</v>
      </c>
      <c r="Y391" s="1">
        <f>Table1[[#This Row],[Revenue]]-Table1[[#This Row],[COGS]]</f>
        <v>547.5</v>
      </c>
      <c r="Z391" s="3">
        <f>(Table1[[#This Row],[Profit]]/Table1[[#This Row],[Revenue]])</f>
        <v>0.54887218045112784</v>
      </c>
      <c r="AA391" s="1">
        <f>Table1[[#This Row],[Profit]]-Table1[[#This Row],[Total Shipping]]</f>
        <v>427.5</v>
      </c>
      <c r="AB391" s="3">
        <f>Table1[[#This Row],[Operating Profit]]/Table1[[#This Row],[Revenue]]</f>
        <v>0.42857142857142855</v>
      </c>
    </row>
    <row r="392" spans="1:28" x14ac:dyDescent="0.25">
      <c r="A392" t="s">
        <v>221</v>
      </c>
      <c r="B392">
        <v>873</v>
      </c>
      <c r="C392" t="s">
        <v>71</v>
      </c>
      <c r="D392" t="s">
        <v>53</v>
      </c>
      <c r="E392" t="s">
        <v>40</v>
      </c>
      <c r="F392" t="s">
        <v>90</v>
      </c>
      <c r="G392" t="str" cm="1">
        <f t="array" ref="G392">_xlfn.SWITCH(F392,"Acme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392" t="s">
        <v>33</v>
      </c>
      <c r="I392" t="s">
        <v>75</v>
      </c>
      <c r="J392" t="str" cm="1">
        <f t="array" ref="J392">_xlfn.SWITCH(I392,"P001","Laptop","P002","Server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392" s="1" cm="1">
        <f t="array" ref="K392">_xlfn.SWITCH(Table1[[#This Row],[Product ID]],"P001",220,"P002",150,"P003",130,"P004",70,"P005",200,"P006",40,"P007",25,"P008",20,"P009",190,"P010",530)</f>
        <v>200</v>
      </c>
      <c r="L392">
        <v>6</v>
      </c>
      <c r="M392" s="1">
        <f>Table1[[#This Row],[Unit Price]]*Table1[[#This Row],[Quantity]]</f>
        <v>1200</v>
      </c>
      <c r="N392" s="2">
        <v>0.12</v>
      </c>
      <c r="O392" s="1">
        <f>Table1[[#This Row],[Gross Value]]*(1-Table1[[#This Row],[Discount]])</f>
        <v>1056</v>
      </c>
      <c r="P392" s="2">
        <v>0.2</v>
      </c>
      <c r="Q392" s="1">
        <f>Table1[[#This Row],[Revenue]]*Table1[[#This Row],[VAT Rate]]</f>
        <v>211.20000000000002</v>
      </c>
      <c r="R392" s="1">
        <f>Table1[[#This Row],[Revenue]]+Table1[[#This Row],[VAT Charged]]</f>
        <v>1267.2</v>
      </c>
      <c r="S392" s="1" cm="1">
        <f t="array" ref="S392">_xlfn.SWITCH(Table1[[#This Row],[Product ID]],"P001",140,"P002",80,"P003",72,"P004",30,"P005",110,"P006",24,"P007",14,"P008",12,"P009",115,"P010",360)</f>
        <v>110</v>
      </c>
      <c r="T392" s="1" cm="1">
        <f t="array" ref="T392">(_xlfn.SWITCH(Table1[[#This Row],[Product ID]],"P001",140,"P002",80,"P003",72,"P004",30,"P005",110,"P006",24,"P007",14,"P008",12,"P009",115,"P010",360))*Table1[[#This Row],[Quantity]]</f>
        <v>660</v>
      </c>
      <c r="U392" s="1" cm="1">
        <f t="array" ref="U392">_xlfn.SWITCH(Table1[[#This Row],[Product ID]],"P001",15,"P002",0,"P003",8,"P004",8,"P005",0,"P006",7,"P007",7,"P008",6,"P009",45,"P010",60)</f>
        <v>0</v>
      </c>
      <c r="V392" s="1">
        <f>Table1[[#This Row],[Shipping per Unit]]*Table1[[#This Row],[Quantity]]</f>
        <v>0</v>
      </c>
      <c r="W392" s="2">
        <f>IF(Table1[[#This Row],[Total Shipping]]&gt;0.1,0.2,0)</f>
        <v>0</v>
      </c>
      <c r="X392" s="4">
        <f>Table1[[#This Row],[Total Shipping]]*Table1[[#This Row],[VAT on Shipping]]</f>
        <v>0</v>
      </c>
      <c r="Y392" s="1">
        <f>Table1[[#This Row],[Revenue]]-Table1[[#This Row],[COGS]]</f>
        <v>396</v>
      </c>
      <c r="Z392" s="3">
        <f>(Table1[[#This Row],[Profit]]/Table1[[#This Row],[Revenue]])</f>
        <v>0.375</v>
      </c>
      <c r="AA392" s="1">
        <f>Table1[[#This Row],[Profit]]-Table1[[#This Row],[Total Shipping]]</f>
        <v>396</v>
      </c>
      <c r="AB392" s="3">
        <f>Table1[[#This Row],[Operating Profit]]/Table1[[#This Row],[Revenue]]</f>
        <v>0.375</v>
      </c>
    </row>
    <row r="393" spans="1:28" x14ac:dyDescent="0.25">
      <c r="A393" t="s">
        <v>222</v>
      </c>
      <c r="B393">
        <v>519</v>
      </c>
      <c r="C393" t="s">
        <v>38</v>
      </c>
      <c r="D393" t="s">
        <v>48</v>
      </c>
      <c r="E393" t="s">
        <v>31</v>
      </c>
      <c r="F393" t="s">
        <v>37</v>
      </c>
      <c r="G393" t="str" cm="1">
        <f t="array" ref="G393">_xlfn.SWITCH(F393,"Acme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393" t="s">
        <v>58</v>
      </c>
      <c r="I393" t="s">
        <v>46</v>
      </c>
      <c r="J393" t="str" cm="1">
        <f t="array" ref="J393">_xlfn.SWITCH(I393,"P001","Laptop","P002","Server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393" s="1" cm="1">
        <f t="array" ref="K393">_xlfn.SWITCH(Table1[[#This Row],[Product ID]],"P001",220,"P002",150,"P003",130,"P004",70,"P005",200,"P006",40,"P007",25,"P008",20,"P009",190,"P010",530)</f>
        <v>530</v>
      </c>
      <c r="L393">
        <v>3</v>
      </c>
      <c r="M393" s="1">
        <f>Table1[[#This Row],[Unit Price]]*Table1[[#This Row],[Quantity]]</f>
        <v>1590</v>
      </c>
      <c r="N393" s="2">
        <v>0.09</v>
      </c>
      <c r="O393" s="1">
        <f>Table1[[#This Row],[Gross Value]]*(1-Table1[[#This Row],[Discount]])</f>
        <v>1446.9</v>
      </c>
      <c r="P393" s="2">
        <v>0.2</v>
      </c>
      <c r="Q393" s="1">
        <f>Table1[[#This Row],[Revenue]]*Table1[[#This Row],[VAT Rate]]</f>
        <v>289.38000000000005</v>
      </c>
      <c r="R393" s="1">
        <f>Table1[[#This Row],[Revenue]]+Table1[[#This Row],[VAT Charged]]</f>
        <v>1736.2800000000002</v>
      </c>
      <c r="S393" s="1" cm="1">
        <f t="array" ref="S393">_xlfn.SWITCH(Table1[[#This Row],[Product ID]],"P001",140,"P002",80,"P003",72,"P004",30,"P005",110,"P006",24,"P007",14,"P008",12,"P009",115,"P010",360)</f>
        <v>360</v>
      </c>
      <c r="T393" s="1" cm="1">
        <f t="array" ref="T393">(_xlfn.SWITCH(Table1[[#This Row],[Product ID]],"P001",140,"P002",80,"P003",72,"P004",30,"P005",110,"P006",24,"P007",14,"P008",12,"P009",115,"P010",360))*Table1[[#This Row],[Quantity]]</f>
        <v>1080</v>
      </c>
      <c r="U393" s="1" cm="1">
        <f t="array" ref="U393">_xlfn.SWITCH(Table1[[#This Row],[Product ID]],"P001",15,"P002",0,"P003",8,"P004",8,"P005",0,"P006",7,"P007",7,"P008",6,"P009",45,"P010",60)</f>
        <v>60</v>
      </c>
      <c r="V393" s="1">
        <f>Table1[[#This Row],[Shipping per Unit]]*Table1[[#This Row],[Quantity]]</f>
        <v>180</v>
      </c>
      <c r="W393" s="2">
        <f>IF(Table1[[#This Row],[Total Shipping]]&gt;0.1,0.2,0)</f>
        <v>0.2</v>
      </c>
      <c r="X393" s="4">
        <f>Table1[[#This Row],[Total Shipping]]*Table1[[#This Row],[VAT on Shipping]]</f>
        <v>36</v>
      </c>
      <c r="Y393" s="1">
        <f>Table1[[#This Row],[Revenue]]-Table1[[#This Row],[COGS]]</f>
        <v>366.90000000000009</v>
      </c>
      <c r="Z393" s="3">
        <f>(Table1[[#This Row],[Profit]]/Table1[[#This Row],[Revenue]])</f>
        <v>0.25357661206717813</v>
      </c>
      <c r="AA393" s="1">
        <f>Table1[[#This Row],[Profit]]-Table1[[#This Row],[Total Shipping]]</f>
        <v>186.90000000000009</v>
      </c>
      <c r="AB393" s="3">
        <f>Table1[[#This Row],[Operating Profit]]/Table1[[#This Row],[Revenue]]</f>
        <v>0.12917271407837452</v>
      </c>
    </row>
    <row r="394" spans="1:28" x14ac:dyDescent="0.25">
      <c r="A394" t="s">
        <v>222</v>
      </c>
      <c r="B394">
        <v>690</v>
      </c>
      <c r="C394" t="s">
        <v>29</v>
      </c>
      <c r="D394" t="s">
        <v>53</v>
      </c>
      <c r="E394" t="s">
        <v>31</v>
      </c>
      <c r="F394" t="s">
        <v>32</v>
      </c>
      <c r="G394" t="str" cm="1">
        <f t="array" ref="G394">_xlfn.SWITCH(F394,"Acme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394" t="s">
        <v>45</v>
      </c>
      <c r="I394" t="s">
        <v>42</v>
      </c>
      <c r="J394" t="str" cm="1">
        <f t="array" ref="J394">_xlfn.SWITCH(I394,"P001","Laptop","P002","Server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94" s="1" cm="1">
        <f t="array" ref="K394">_xlfn.SWITCH(Table1[[#This Row],[Product ID]],"P001",220,"P002",150,"P003",130,"P004",70,"P005",200,"P006",40,"P007",25,"P008",20,"P009",190,"P010",530)</f>
        <v>40</v>
      </c>
      <c r="L394">
        <v>8</v>
      </c>
      <c r="M394" s="1">
        <f>Table1[[#This Row],[Unit Price]]*Table1[[#This Row],[Quantity]]</f>
        <v>320</v>
      </c>
      <c r="N394" s="2">
        <v>0.05</v>
      </c>
      <c r="O394" s="1">
        <f>Table1[[#This Row],[Gross Value]]*(1-Table1[[#This Row],[Discount]])</f>
        <v>304</v>
      </c>
      <c r="P394" s="2">
        <v>0.2</v>
      </c>
      <c r="Q394" s="1">
        <f>Table1[[#This Row],[Revenue]]*Table1[[#This Row],[VAT Rate]]</f>
        <v>60.800000000000004</v>
      </c>
      <c r="R394" s="1">
        <f>Table1[[#This Row],[Revenue]]+Table1[[#This Row],[VAT Charged]]</f>
        <v>364.8</v>
      </c>
      <c r="S394" s="1" cm="1">
        <f t="array" ref="S394">_xlfn.SWITCH(Table1[[#This Row],[Product ID]],"P001",140,"P002",80,"P003",72,"P004",30,"P005",110,"P006",24,"P007",14,"P008",12,"P009",115,"P010",360)</f>
        <v>24</v>
      </c>
      <c r="T394" s="1" cm="1">
        <f t="array" ref="T394">(_xlfn.SWITCH(Table1[[#This Row],[Product ID]],"P001",140,"P002",80,"P003",72,"P004",30,"P005",110,"P006",24,"P007",14,"P008",12,"P009",115,"P010",360))*Table1[[#This Row],[Quantity]]</f>
        <v>192</v>
      </c>
      <c r="U394" s="1" cm="1">
        <f t="array" ref="U394">_xlfn.SWITCH(Table1[[#This Row],[Product ID]],"P001",15,"P002",0,"P003",8,"P004",8,"P005",0,"P006",7,"P007",7,"P008",6,"P009",45,"P010",60)</f>
        <v>7</v>
      </c>
      <c r="V394" s="1">
        <f>Table1[[#This Row],[Shipping per Unit]]*Table1[[#This Row],[Quantity]]</f>
        <v>56</v>
      </c>
      <c r="W394" s="2">
        <f>IF(Table1[[#This Row],[Total Shipping]]&gt;0.1,0.2,0)</f>
        <v>0.2</v>
      </c>
      <c r="X394" s="4">
        <f>Table1[[#This Row],[Total Shipping]]*Table1[[#This Row],[VAT on Shipping]]</f>
        <v>11.200000000000001</v>
      </c>
      <c r="Y394" s="1">
        <f>Table1[[#This Row],[Revenue]]-Table1[[#This Row],[COGS]]</f>
        <v>112</v>
      </c>
      <c r="Z394" s="3">
        <f>(Table1[[#This Row],[Profit]]/Table1[[#This Row],[Revenue]])</f>
        <v>0.36842105263157893</v>
      </c>
      <c r="AA394" s="1">
        <f>Table1[[#This Row],[Profit]]-Table1[[#This Row],[Total Shipping]]</f>
        <v>56</v>
      </c>
      <c r="AB394" s="3">
        <f>Table1[[#This Row],[Operating Profit]]/Table1[[#This Row],[Revenue]]</f>
        <v>0.18421052631578946</v>
      </c>
    </row>
    <row r="395" spans="1:28" x14ac:dyDescent="0.25">
      <c r="A395" t="s">
        <v>223</v>
      </c>
      <c r="B395">
        <v>217</v>
      </c>
      <c r="C395" t="s">
        <v>71</v>
      </c>
      <c r="D395" t="s">
        <v>39</v>
      </c>
      <c r="E395" t="s">
        <v>49</v>
      </c>
      <c r="F395" t="s">
        <v>86</v>
      </c>
      <c r="G395" t="str" cm="1">
        <f t="array" ref="G395">_xlfn.SWITCH(F395,"Acme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95" t="s">
        <v>45</v>
      </c>
      <c r="I395" t="s">
        <v>60</v>
      </c>
      <c r="J395" t="str" cm="1">
        <f t="array" ref="J395">_xlfn.SWITCH(I395,"P001","Laptop","P002","Server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395" s="1" cm="1">
        <f t="array" ref="K395">_xlfn.SWITCH(Table1[[#This Row],[Product ID]],"P001",220,"P002",150,"P003",130,"P004",70,"P005",200,"P006",40,"P007",25,"P008",20,"P009",190,"P010",530)</f>
        <v>25</v>
      </c>
      <c r="L395">
        <v>6</v>
      </c>
      <c r="M395" s="1">
        <f>Table1[[#This Row],[Unit Price]]*Table1[[#This Row],[Quantity]]</f>
        <v>150</v>
      </c>
      <c r="N395" s="2">
        <v>7.0000000000000007E-2</v>
      </c>
      <c r="O395" s="1">
        <f>Table1[[#This Row],[Gross Value]]*(1-Table1[[#This Row],[Discount]])</f>
        <v>139.5</v>
      </c>
      <c r="P395" s="2">
        <v>0.2</v>
      </c>
      <c r="Q395" s="1">
        <f>Table1[[#This Row],[Revenue]]*Table1[[#This Row],[VAT Rate]]</f>
        <v>27.900000000000002</v>
      </c>
      <c r="R395" s="1">
        <f>Table1[[#This Row],[Revenue]]+Table1[[#This Row],[VAT Charged]]</f>
        <v>167.4</v>
      </c>
      <c r="S395" s="1" cm="1">
        <f t="array" ref="S395">_xlfn.SWITCH(Table1[[#This Row],[Product ID]],"P001",140,"P002",80,"P003",72,"P004",30,"P005",110,"P006",24,"P007",14,"P008",12,"P009",115,"P010",360)</f>
        <v>14</v>
      </c>
      <c r="T395" s="1" cm="1">
        <f t="array" ref="T395">(_xlfn.SWITCH(Table1[[#This Row],[Product ID]],"P001",140,"P002",80,"P003",72,"P004",30,"P005",110,"P006",24,"P007",14,"P008",12,"P009",115,"P010",360))*Table1[[#This Row],[Quantity]]</f>
        <v>84</v>
      </c>
      <c r="U395" s="1" cm="1">
        <f t="array" ref="U395">_xlfn.SWITCH(Table1[[#This Row],[Product ID]],"P001",15,"P002",0,"P003",8,"P004",8,"P005",0,"P006",7,"P007",7,"P008",6,"P009",45,"P010",60)</f>
        <v>7</v>
      </c>
      <c r="V395" s="1">
        <f>Table1[[#This Row],[Shipping per Unit]]*Table1[[#This Row],[Quantity]]</f>
        <v>42</v>
      </c>
      <c r="W395" s="2">
        <f>IF(Table1[[#This Row],[Total Shipping]]&gt;0.1,0.2,0)</f>
        <v>0.2</v>
      </c>
      <c r="X395" s="4">
        <f>Table1[[#This Row],[Total Shipping]]*Table1[[#This Row],[VAT on Shipping]]</f>
        <v>8.4</v>
      </c>
      <c r="Y395" s="1">
        <f>Table1[[#This Row],[Revenue]]-Table1[[#This Row],[COGS]]</f>
        <v>55.5</v>
      </c>
      <c r="Z395" s="3">
        <f>(Table1[[#This Row],[Profit]]/Table1[[#This Row],[Revenue]])</f>
        <v>0.39784946236559138</v>
      </c>
      <c r="AA395" s="1">
        <f>Table1[[#This Row],[Profit]]-Table1[[#This Row],[Total Shipping]]</f>
        <v>13.5</v>
      </c>
      <c r="AB395" s="3">
        <f>Table1[[#This Row],[Operating Profit]]/Table1[[#This Row],[Revenue]]</f>
        <v>9.6774193548387094E-2</v>
      </c>
    </row>
    <row r="396" spans="1:28" x14ac:dyDescent="0.25">
      <c r="A396" t="s">
        <v>223</v>
      </c>
      <c r="B396">
        <v>742</v>
      </c>
      <c r="C396" t="s">
        <v>35</v>
      </c>
      <c r="D396" t="s">
        <v>48</v>
      </c>
      <c r="E396" t="s">
        <v>40</v>
      </c>
      <c r="F396" t="s">
        <v>86</v>
      </c>
      <c r="G396" t="str" cm="1">
        <f t="array" ref="G396">_xlfn.SWITCH(F396,"Acme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396" t="s">
        <v>33</v>
      </c>
      <c r="I396" t="s">
        <v>70</v>
      </c>
      <c r="J396" t="str" cm="1">
        <f t="array" ref="J396">_xlfn.SWITCH(I396,"P001","Laptop","P002","Server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396" s="1" cm="1">
        <f t="array" ref="K396">_xlfn.SWITCH(Table1[[#This Row],[Product ID]],"P001",220,"P002",150,"P003",130,"P004",70,"P005",200,"P006",40,"P007",25,"P008",20,"P009",190,"P010",530)</f>
        <v>150</v>
      </c>
      <c r="L396">
        <v>9</v>
      </c>
      <c r="M396" s="1">
        <f>Table1[[#This Row],[Unit Price]]*Table1[[#This Row],[Quantity]]</f>
        <v>1350</v>
      </c>
      <c r="N396" s="2">
        <v>0.06</v>
      </c>
      <c r="O396" s="1">
        <f>Table1[[#This Row],[Gross Value]]*(1-Table1[[#This Row],[Discount]])</f>
        <v>1269</v>
      </c>
      <c r="P396" s="2">
        <v>0.2</v>
      </c>
      <c r="Q396" s="1">
        <f>Table1[[#This Row],[Revenue]]*Table1[[#This Row],[VAT Rate]]</f>
        <v>253.8</v>
      </c>
      <c r="R396" s="1">
        <f>Table1[[#This Row],[Revenue]]+Table1[[#This Row],[VAT Charged]]</f>
        <v>1522.8</v>
      </c>
      <c r="S396" s="1" cm="1">
        <f t="array" ref="S396">_xlfn.SWITCH(Table1[[#This Row],[Product ID]],"P001",140,"P002",80,"P003",72,"P004",30,"P005",110,"P006",24,"P007",14,"P008",12,"P009",115,"P010",360)</f>
        <v>80</v>
      </c>
      <c r="T396" s="1" cm="1">
        <f t="array" ref="T396">(_xlfn.SWITCH(Table1[[#This Row],[Product ID]],"P001",140,"P002",80,"P003",72,"P004",30,"P005",110,"P006",24,"P007",14,"P008",12,"P009",115,"P010",360))*Table1[[#This Row],[Quantity]]</f>
        <v>720</v>
      </c>
      <c r="U396" s="1" cm="1">
        <f t="array" ref="U396">_xlfn.SWITCH(Table1[[#This Row],[Product ID]],"P001",15,"P002",0,"P003",8,"P004",8,"P005",0,"P006",7,"P007",7,"P008",6,"P009",45,"P010",60)</f>
        <v>0</v>
      </c>
      <c r="V396" s="1">
        <f>Table1[[#This Row],[Shipping per Unit]]*Table1[[#This Row],[Quantity]]</f>
        <v>0</v>
      </c>
      <c r="W396" s="2">
        <f>IF(Table1[[#This Row],[Total Shipping]]&gt;0.1,0.2,0)</f>
        <v>0</v>
      </c>
      <c r="X396" s="4">
        <f>Table1[[#This Row],[Total Shipping]]*Table1[[#This Row],[VAT on Shipping]]</f>
        <v>0</v>
      </c>
      <c r="Y396" s="1">
        <f>Table1[[#This Row],[Revenue]]-Table1[[#This Row],[COGS]]</f>
        <v>549</v>
      </c>
      <c r="Z396" s="3">
        <f>(Table1[[#This Row],[Profit]]/Table1[[#This Row],[Revenue]])</f>
        <v>0.43262411347517732</v>
      </c>
      <c r="AA396" s="1">
        <f>Table1[[#This Row],[Profit]]-Table1[[#This Row],[Total Shipping]]</f>
        <v>549</v>
      </c>
      <c r="AB396" s="3">
        <f>Table1[[#This Row],[Operating Profit]]/Table1[[#This Row],[Revenue]]</f>
        <v>0.43262411347517732</v>
      </c>
    </row>
    <row r="397" spans="1:28" x14ac:dyDescent="0.25">
      <c r="A397" t="s">
        <v>223</v>
      </c>
      <c r="B397">
        <v>783</v>
      </c>
      <c r="C397" t="s">
        <v>83</v>
      </c>
      <c r="D397" t="s">
        <v>30</v>
      </c>
      <c r="E397" t="s">
        <v>40</v>
      </c>
      <c r="F397" t="s">
        <v>78</v>
      </c>
      <c r="G397" t="str" cm="1">
        <f t="array" ref="G397">_xlfn.SWITCH(F397,"Acme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397" t="s">
        <v>58</v>
      </c>
      <c r="I397" t="s">
        <v>42</v>
      </c>
      <c r="J397" t="str" cm="1">
        <f t="array" ref="J397">_xlfn.SWITCH(I397,"P001","Laptop","P002","Server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97" s="1" cm="1">
        <f t="array" ref="K397">_xlfn.SWITCH(Table1[[#This Row],[Product ID]],"P001",220,"P002",150,"P003",130,"P004",70,"P005",200,"P006",40,"P007",25,"P008",20,"P009",190,"P010",530)</f>
        <v>40</v>
      </c>
      <c r="L397">
        <v>14</v>
      </c>
      <c r="M397" s="1">
        <f>Table1[[#This Row],[Unit Price]]*Table1[[#This Row],[Quantity]]</f>
        <v>560</v>
      </c>
      <c r="N397" s="2">
        <v>0.05</v>
      </c>
      <c r="O397" s="1">
        <f>Table1[[#This Row],[Gross Value]]*(1-Table1[[#This Row],[Discount]])</f>
        <v>532</v>
      </c>
      <c r="P397" s="2">
        <v>0.2</v>
      </c>
      <c r="Q397" s="1">
        <f>Table1[[#This Row],[Revenue]]*Table1[[#This Row],[VAT Rate]]</f>
        <v>106.4</v>
      </c>
      <c r="R397" s="1">
        <f>Table1[[#This Row],[Revenue]]+Table1[[#This Row],[VAT Charged]]</f>
        <v>638.4</v>
      </c>
      <c r="S397" s="1" cm="1">
        <f t="array" ref="S397">_xlfn.SWITCH(Table1[[#This Row],[Product ID]],"P001",140,"P002",80,"P003",72,"P004",30,"P005",110,"P006",24,"P007",14,"P008",12,"P009",115,"P010",360)</f>
        <v>24</v>
      </c>
      <c r="T397" s="1" cm="1">
        <f t="array" ref="T397">(_xlfn.SWITCH(Table1[[#This Row],[Product ID]],"P001",140,"P002",80,"P003",72,"P004",30,"P005",110,"P006",24,"P007",14,"P008",12,"P009",115,"P010",360))*Table1[[#This Row],[Quantity]]</f>
        <v>336</v>
      </c>
      <c r="U397" s="1" cm="1">
        <f t="array" ref="U397">_xlfn.SWITCH(Table1[[#This Row],[Product ID]],"P001",15,"P002",0,"P003",8,"P004",8,"P005",0,"P006",7,"P007",7,"P008",6,"P009",45,"P010",60)</f>
        <v>7</v>
      </c>
      <c r="V397" s="1">
        <f>Table1[[#This Row],[Shipping per Unit]]*Table1[[#This Row],[Quantity]]</f>
        <v>98</v>
      </c>
      <c r="W397" s="2">
        <f>IF(Table1[[#This Row],[Total Shipping]]&gt;0.1,0.2,0)</f>
        <v>0.2</v>
      </c>
      <c r="X397" s="4">
        <f>Table1[[#This Row],[Total Shipping]]*Table1[[#This Row],[VAT on Shipping]]</f>
        <v>19.600000000000001</v>
      </c>
      <c r="Y397" s="1">
        <f>Table1[[#This Row],[Revenue]]-Table1[[#This Row],[COGS]]</f>
        <v>196</v>
      </c>
      <c r="Z397" s="3">
        <f>(Table1[[#This Row],[Profit]]/Table1[[#This Row],[Revenue]])</f>
        <v>0.36842105263157893</v>
      </c>
      <c r="AA397" s="1">
        <f>Table1[[#This Row],[Profit]]-Table1[[#This Row],[Total Shipping]]</f>
        <v>98</v>
      </c>
      <c r="AB397" s="3">
        <f>Table1[[#This Row],[Operating Profit]]/Table1[[#This Row],[Revenue]]</f>
        <v>0.18421052631578946</v>
      </c>
    </row>
    <row r="398" spans="1:28" x14ac:dyDescent="0.25">
      <c r="A398" t="s">
        <v>224</v>
      </c>
      <c r="B398">
        <v>9</v>
      </c>
      <c r="C398" t="s">
        <v>38</v>
      </c>
      <c r="D398" t="s">
        <v>53</v>
      </c>
      <c r="E398" t="s">
        <v>31</v>
      </c>
      <c r="F398" t="s">
        <v>78</v>
      </c>
      <c r="G398" t="str" cm="1">
        <f t="array" ref="G398">_xlfn.SWITCH(F398,"Acme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398" t="s">
        <v>33</v>
      </c>
      <c r="I398" t="s">
        <v>52</v>
      </c>
      <c r="J398" t="str" cm="1">
        <f t="array" ref="J398">_xlfn.SWITCH(I398,"P001","Laptop","P002","Server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398" s="1" cm="1">
        <f t="array" ref="K398">_xlfn.SWITCH(Table1[[#This Row],[Product ID]],"P001",220,"P002",150,"P003",130,"P004",70,"P005",200,"P006",40,"P007",25,"P008",20,"P009",190,"P010",530)</f>
        <v>130</v>
      </c>
      <c r="L398">
        <v>1</v>
      </c>
      <c r="M398" s="1">
        <f>Table1[[#This Row],[Unit Price]]*Table1[[#This Row],[Quantity]]</f>
        <v>130</v>
      </c>
      <c r="N398" s="2">
        <v>0.03</v>
      </c>
      <c r="O398" s="1">
        <f>Table1[[#This Row],[Gross Value]]*(1-Table1[[#This Row],[Discount]])</f>
        <v>126.1</v>
      </c>
      <c r="P398" s="2">
        <v>0.2</v>
      </c>
      <c r="Q398" s="1">
        <f>Table1[[#This Row],[Revenue]]*Table1[[#This Row],[VAT Rate]]</f>
        <v>25.22</v>
      </c>
      <c r="R398" s="1">
        <f>Table1[[#This Row],[Revenue]]+Table1[[#This Row],[VAT Charged]]</f>
        <v>151.32</v>
      </c>
      <c r="S398" s="1" cm="1">
        <f t="array" ref="S398">_xlfn.SWITCH(Table1[[#This Row],[Product ID]],"P001",140,"P002",80,"P003",72,"P004",30,"P005",110,"P006",24,"P007",14,"P008",12,"P009",115,"P010",360)</f>
        <v>72</v>
      </c>
      <c r="T398" s="1" cm="1">
        <f t="array" ref="T398">(_xlfn.SWITCH(Table1[[#This Row],[Product ID]],"P001",140,"P002",80,"P003",72,"P004",30,"P005",110,"P006",24,"P007",14,"P008",12,"P009",115,"P010",360))*Table1[[#This Row],[Quantity]]</f>
        <v>72</v>
      </c>
      <c r="U398" s="1" cm="1">
        <f t="array" ref="U398">_xlfn.SWITCH(Table1[[#This Row],[Product ID]],"P001",15,"P002",0,"P003",8,"P004",8,"P005",0,"P006",7,"P007",7,"P008",6,"P009",45,"P010",60)</f>
        <v>8</v>
      </c>
      <c r="V398" s="1">
        <f>Table1[[#This Row],[Shipping per Unit]]*Table1[[#This Row],[Quantity]]</f>
        <v>8</v>
      </c>
      <c r="W398" s="2">
        <f>IF(Table1[[#This Row],[Total Shipping]]&gt;0.1,0.2,0)</f>
        <v>0.2</v>
      </c>
      <c r="X398" s="4">
        <f>Table1[[#This Row],[Total Shipping]]*Table1[[#This Row],[VAT on Shipping]]</f>
        <v>1.6</v>
      </c>
      <c r="Y398" s="1">
        <f>Table1[[#This Row],[Revenue]]-Table1[[#This Row],[COGS]]</f>
        <v>54.099999999999994</v>
      </c>
      <c r="Z398" s="3">
        <f>(Table1[[#This Row],[Profit]]/Table1[[#This Row],[Revenue]])</f>
        <v>0.4290245836637589</v>
      </c>
      <c r="AA398" s="1">
        <f>Table1[[#This Row],[Profit]]-Table1[[#This Row],[Total Shipping]]</f>
        <v>46.099999999999994</v>
      </c>
      <c r="AB398" s="3">
        <f>Table1[[#This Row],[Operating Profit]]/Table1[[#This Row],[Revenue]]</f>
        <v>0.36558287073750989</v>
      </c>
    </row>
    <row r="399" spans="1:28" x14ac:dyDescent="0.25">
      <c r="A399" t="s">
        <v>224</v>
      </c>
      <c r="B399">
        <v>292</v>
      </c>
      <c r="C399" t="s">
        <v>38</v>
      </c>
      <c r="D399" t="s">
        <v>63</v>
      </c>
      <c r="E399" t="s">
        <v>49</v>
      </c>
      <c r="F399" t="s">
        <v>87</v>
      </c>
      <c r="G399" t="str" cm="1">
        <f t="array" ref="G399">_xlfn.SWITCH(F399,"Acme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399" t="s">
        <v>58</v>
      </c>
      <c r="I399" t="s">
        <v>42</v>
      </c>
      <c r="J399" t="str" cm="1">
        <f t="array" ref="J399">_xlfn.SWITCH(I399,"P001","Laptop","P002","Server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399" s="1" cm="1">
        <f t="array" ref="K399">_xlfn.SWITCH(Table1[[#This Row],[Product ID]],"P001",220,"P002",150,"P003",130,"P004",70,"P005",200,"P006",40,"P007",25,"P008",20,"P009",190,"P010",530)</f>
        <v>40</v>
      </c>
      <c r="L399">
        <v>1</v>
      </c>
      <c r="M399" s="1">
        <f>Table1[[#This Row],[Unit Price]]*Table1[[#This Row],[Quantity]]</f>
        <v>40</v>
      </c>
      <c r="N399" s="2">
        <v>0.03</v>
      </c>
      <c r="O399" s="1">
        <f>Table1[[#This Row],[Gross Value]]*(1-Table1[[#This Row],[Discount]])</f>
        <v>38.799999999999997</v>
      </c>
      <c r="P399" s="2">
        <v>0.2</v>
      </c>
      <c r="Q399" s="1">
        <f>Table1[[#This Row],[Revenue]]*Table1[[#This Row],[VAT Rate]]</f>
        <v>7.76</v>
      </c>
      <c r="R399" s="1">
        <f>Table1[[#This Row],[Revenue]]+Table1[[#This Row],[VAT Charged]]</f>
        <v>46.559999999999995</v>
      </c>
      <c r="S399" s="1" cm="1">
        <f t="array" ref="S399">_xlfn.SWITCH(Table1[[#This Row],[Product ID]],"P001",140,"P002",80,"P003",72,"P004",30,"P005",110,"P006",24,"P007",14,"P008",12,"P009",115,"P010",360)</f>
        <v>24</v>
      </c>
      <c r="T399" s="1" cm="1">
        <f t="array" ref="T399">(_xlfn.SWITCH(Table1[[#This Row],[Product ID]],"P001",140,"P002",80,"P003",72,"P004",30,"P005",110,"P006",24,"P007",14,"P008",12,"P009",115,"P010",360))*Table1[[#This Row],[Quantity]]</f>
        <v>24</v>
      </c>
      <c r="U399" s="1" cm="1">
        <f t="array" ref="U399">_xlfn.SWITCH(Table1[[#This Row],[Product ID]],"P001",15,"P002",0,"P003",8,"P004",8,"P005",0,"P006",7,"P007",7,"P008",6,"P009",45,"P010",60)</f>
        <v>7</v>
      </c>
      <c r="V399" s="1">
        <f>Table1[[#This Row],[Shipping per Unit]]*Table1[[#This Row],[Quantity]]</f>
        <v>7</v>
      </c>
      <c r="W399" s="2">
        <f>IF(Table1[[#This Row],[Total Shipping]]&gt;0.1,0.2,0)</f>
        <v>0.2</v>
      </c>
      <c r="X399" s="4">
        <f>Table1[[#This Row],[Total Shipping]]*Table1[[#This Row],[VAT on Shipping]]</f>
        <v>1.4000000000000001</v>
      </c>
      <c r="Y399" s="1">
        <f>Table1[[#This Row],[Revenue]]-Table1[[#This Row],[COGS]]</f>
        <v>14.799999999999997</v>
      </c>
      <c r="Z399" s="3">
        <f>(Table1[[#This Row],[Profit]]/Table1[[#This Row],[Revenue]])</f>
        <v>0.38144329896907214</v>
      </c>
      <c r="AA399" s="1">
        <f>Table1[[#This Row],[Profit]]-Table1[[#This Row],[Total Shipping]]</f>
        <v>7.7999999999999972</v>
      </c>
      <c r="AB399" s="3">
        <f>Table1[[#This Row],[Operating Profit]]/Table1[[#This Row],[Revenue]]</f>
        <v>0.2010309278350515</v>
      </c>
    </row>
    <row r="400" spans="1:28" x14ac:dyDescent="0.25">
      <c r="A400" t="s">
        <v>224</v>
      </c>
      <c r="B400">
        <v>357</v>
      </c>
      <c r="C400" t="s">
        <v>38</v>
      </c>
      <c r="D400" t="s">
        <v>53</v>
      </c>
      <c r="E400" t="s">
        <v>49</v>
      </c>
      <c r="F400" t="s">
        <v>92</v>
      </c>
      <c r="G400" t="str" cm="1">
        <f t="array" ref="G400">_xlfn.SWITCH(F400,"Acme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400" t="s">
        <v>45</v>
      </c>
      <c r="I400" t="s">
        <v>46</v>
      </c>
      <c r="J400" t="str" cm="1">
        <f t="array" ref="J400">_xlfn.SWITCH(I400,"P001","Laptop","P002","Server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00" s="1" cm="1">
        <f t="array" ref="K400">_xlfn.SWITCH(Table1[[#This Row],[Product ID]],"P001",220,"P002",150,"P003",130,"P004",70,"P005",200,"P006",40,"P007",25,"P008",20,"P009",190,"P010",530)</f>
        <v>530</v>
      </c>
      <c r="L400">
        <v>3</v>
      </c>
      <c r="M400" s="1">
        <f>Table1[[#This Row],[Unit Price]]*Table1[[#This Row],[Quantity]]</f>
        <v>1590</v>
      </c>
      <c r="N400" s="2">
        <v>0.08</v>
      </c>
      <c r="O400" s="1">
        <f>Table1[[#This Row],[Gross Value]]*(1-Table1[[#This Row],[Discount]])</f>
        <v>1462.8</v>
      </c>
      <c r="P400" s="2">
        <v>0.2</v>
      </c>
      <c r="Q400" s="1">
        <f>Table1[[#This Row],[Revenue]]*Table1[[#This Row],[VAT Rate]]</f>
        <v>292.56</v>
      </c>
      <c r="R400" s="1">
        <f>Table1[[#This Row],[Revenue]]+Table1[[#This Row],[VAT Charged]]</f>
        <v>1755.36</v>
      </c>
      <c r="S400" s="1" cm="1">
        <f t="array" ref="S400">_xlfn.SWITCH(Table1[[#This Row],[Product ID]],"P001",140,"P002",80,"P003",72,"P004",30,"P005",110,"P006",24,"P007",14,"P008",12,"P009",115,"P010",360)</f>
        <v>360</v>
      </c>
      <c r="T400" s="1" cm="1">
        <f t="array" ref="T400">(_xlfn.SWITCH(Table1[[#This Row],[Product ID]],"P001",140,"P002",80,"P003",72,"P004",30,"P005",110,"P006",24,"P007",14,"P008",12,"P009",115,"P010",360))*Table1[[#This Row],[Quantity]]</f>
        <v>1080</v>
      </c>
      <c r="U400" s="1" cm="1">
        <f t="array" ref="U400">_xlfn.SWITCH(Table1[[#This Row],[Product ID]],"P001",15,"P002",0,"P003",8,"P004",8,"P005",0,"P006",7,"P007",7,"P008",6,"P009",45,"P010",60)</f>
        <v>60</v>
      </c>
      <c r="V400" s="1">
        <f>Table1[[#This Row],[Shipping per Unit]]*Table1[[#This Row],[Quantity]]</f>
        <v>180</v>
      </c>
      <c r="W400" s="2">
        <f>IF(Table1[[#This Row],[Total Shipping]]&gt;0.1,0.2,0)</f>
        <v>0.2</v>
      </c>
      <c r="X400" s="4">
        <f>Table1[[#This Row],[Total Shipping]]*Table1[[#This Row],[VAT on Shipping]]</f>
        <v>36</v>
      </c>
      <c r="Y400" s="1">
        <f>Table1[[#This Row],[Revenue]]-Table1[[#This Row],[COGS]]</f>
        <v>382.79999999999995</v>
      </c>
      <c r="Z400" s="3">
        <f>(Table1[[#This Row],[Profit]]/Table1[[#This Row],[Revenue]])</f>
        <v>0.26168990976210005</v>
      </c>
      <c r="AA400" s="1">
        <f>Table1[[#This Row],[Profit]]-Table1[[#This Row],[Total Shipping]]</f>
        <v>202.79999999999995</v>
      </c>
      <c r="AB400" s="3">
        <f>Table1[[#This Row],[Operating Profit]]/Table1[[#This Row],[Revenue]]</f>
        <v>0.13863822805578341</v>
      </c>
    </row>
    <row r="401" spans="1:28" x14ac:dyDescent="0.25">
      <c r="A401" t="s">
        <v>225</v>
      </c>
      <c r="B401">
        <v>829</v>
      </c>
      <c r="C401" t="s">
        <v>83</v>
      </c>
      <c r="D401" t="s">
        <v>48</v>
      </c>
      <c r="E401" t="s">
        <v>49</v>
      </c>
      <c r="F401" t="s">
        <v>92</v>
      </c>
      <c r="G401" t="str" cm="1">
        <f t="array" ref="G401">_xlfn.SWITCH(F401,"Acme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401" t="s">
        <v>45</v>
      </c>
      <c r="I401" t="s">
        <v>60</v>
      </c>
      <c r="J401" t="str" cm="1">
        <f t="array" ref="J401">_xlfn.SWITCH(I401,"P001","Laptop","P002","Server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01" s="1" cm="1">
        <f t="array" ref="K401">_xlfn.SWITCH(Table1[[#This Row],[Product ID]],"P001",220,"P002",150,"P003",130,"P004",70,"P005",200,"P006",40,"P007",25,"P008",20,"P009",190,"P010",530)</f>
        <v>25</v>
      </c>
      <c r="L401">
        <v>6</v>
      </c>
      <c r="M401" s="1">
        <f>Table1[[#This Row],[Unit Price]]*Table1[[#This Row],[Quantity]]</f>
        <v>150</v>
      </c>
      <c r="N401" s="2">
        <v>0.09</v>
      </c>
      <c r="O401" s="1">
        <f>Table1[[#This Row],[Gross Value]]*(1-Table1[[#This Row],[Discount]])</f>
        <v>136.5</v>
      </c>
      <c r="P401" s="2">
        <v>0.2</v>
      </c>
      <c r="Q401" s="1">
        <f>Table1[[#This Row],[Revenue]]*Table1[[#This Row],[VAT Rate]]</f>
        <v>27.3</v>
      </c>
      <c r="R401" s="1">
        <f>Table1[[#This Row],[Revenue]]+Table1[[#This Row],[VAT Charged]]</f>
        <v>163.80000000000001</v>
      </c>
      <c r="S401" s="1" cm="1">
        <f t="array" ref="S401">_xlfn.SWITCH(Table1[[#This Row],[Product ID]],"P001",140,"P002",80,"P003",72,"P004",30,"P005",110,"P006",24,"P007",14,"P008",12,"P009",115,"P010",360)</f>
        <v>14</v>
      </c>
      <c r="T401" s="1" cm="1">
        <f t="array" ref="T401">(_xlfn.SWITCH(Table1[[#This Row],[Product ID]],"P001",140,"P002",80,"P003",72,"P004",30,"P005",110,"P006",24,"P007",14,"P008",12,"P009",115,"P010",360))*Table1[[#This Row],[Quantity]]</f>
        <v>84</v>
      </c>
      <c r="U401" s="1" cm="1">
        <f t="array" ref="U401">_xlfn.SWITCH(Table1[[#This Row],[Product ID]],"P001",15,"P002",0,"P003",8,"P004",8,"P005",0,"P006",7,"P007",7,"P008",6,"P009",45,"P010",60)</f>
        <v>7</v>
      </c>
      <c r="V401" s="1">
        <f>Table1[[#This Row],[Shipping per Unit]]*Table1[[#This Row],[Quantity]]</f>
        <v>42</v>
      </c>
      <c r="W401" s="2">
        <f>IF(Table1[[#This Row],[Total Shipping]]&gt;0.1,0.2,0)</f>
        <v>0.2</v>
      </c>
      <c r="X401" s="4">
        <f>Table1[[#This Row],[Total Shipping]]*Table1[[#This Row],[VAT on Shipping]]</f>
        <v>8.4</v>
      </c>
      <c r="Y401" s="1">
        <f>Table1[[#This Row],[Revenue]]-Table1[[#This Row],[COGS]]</f>
        <v>52.5</v>
      </c>
      <c r="Z401" s="3">
        <f>(Table1[[#This Row],[Profit]]/Table1[[#This Row],[Revenue]])</f>
        <v>0.38461538461538464</v>
      </c>
      <c r="AA401" s="1">
        <f>Table1[[#This Row],[Profit]]-Table1[[#This Row],[Total Shipping]]</f>
        <v>10.5</v>
      </c>
      <c r="AB401" s="3">
        <f>Table1[[#This Row],[Operating Profit]]/Table1[[#This Row],[Revenue]]</f>
        <v>7.6923076923076927E-2</v>
      </c>
    </row>
    <row r="402" spans="1:28" x14ac:dyDescent="0.25">
      <c r="A402" t="s">
        <v>226</v>
      </c>
      <c r="B402">
        <v>658</v>
      </c>
      <c r="C402" t="s">
        <v>62</v>
      </c>
      <c r="D402" t="s">
        <v>53</v>
      </c>
      <c r="E402" t="s">
        <v>31</v>
      </c>
      <c r="F402" t="s">
        <v>119</v>
      </c>
      <c r="G402" t="str" cm="1">
        <f t="array" ref="G402">_xlfn.SWITCH(F402,"Acme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402" t="s">
        <v>58</v>
      </c>
      <c r="I402" t="s">
        <v>46</v>
      </c>
      <c r="J402" t="str" cm="1">
        <f t="array" ref="J402">_xlfn.SWITCH(I402,"P001","Laptop","P002","Server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02" s="1" cm="1">
        <f t="array" ref="K402">_xlfn.SWITCH(Table1[[#This Row],[Product ID]],"P001",220,"P002",150,"P003",130,"P004",70,"P005",200,"P006",40,"P007",25,"P008",20,"P009",190,"P010",530)</f>
        <v>530</v>
      </c>
      <c r="L402">
        <v>14</v>
      </c>
      <c r="M402" s="1">
        <f>Table1[[#This Row],[Unit Price]]*Table1[[#This Row],[Quantity]]</f>
        <v>7420</v>
      </c>
      <c r="N402" s="2">
        <v>0.1</v>
      </c>
      <c r="O402" s="1">
        <f>Table1[[#This Row],[Gross Value]]*(1-Table1[[#This Row],[Discount]])</f>
        <v>6678</v>
      </c>
      <c r="P402" s="2">
        <v>0.2</v>
      </c>
      <c r="Q402" s="1">
        <f>Table1[[#This Row],[Revenue]]*Table1[[#This Row],[VAT Rate]]</f>
        <v>1335.6000000000001</v>
      </c>
      <c r="R402" s="1">
        <f>Table1[[#This Row],[Revenue]]+Table1[[#This Row],[VAT Charged]]</f>
        <v>8013.6</v>
      </c>
      <c r="S402" s="1" cm="1">
        <f t="array" ref="S402">_xlfn.SWITCH(Table1[[#This Row],[Product ID]],"P001",140,"P002",80,"P003",72,"P004",30,"P005",110,"P006",24,"P007",14,"P008",12,"P009",115,"P010",360)</f>
        <v>360</v>
      </c>
      <c r="T402" s="1" cm="1">
        <f t="array" ref="T402">(_xlfn.SWITCH(Table1[[#This Row],[Product ID]],"P001",140,"P002",80,"P003",72,"P004",30,"P005",110,"P006",24,"P007",14,"P008",12,"P009",115,"P010",360))*Table1[[#This Row],[Quantity]]</f>
        <v>5040</v>
      </c>
      <c r="U402" s="1" cm="1">
        <f t="array" ref="U402">_xlfn.SWITCH(Table1[[#This Row],[Product ID]],"P001",15,"P002",0,"P003",8,"P004",8,"P005",0,"P006",7,"P007",7,"P008",6,"P009",45,"P010",60)</f>
        <v>60</v>
      </c>
      <c r="V402" s="1">
        <f>Table1[[#This Row],[Shipping per Unit]]*Table1[[#This Row],[Quantity]]</f>
        <v>840</v>
      </c>
      <c r="W402" s="2">
        <f>IF(Table1[[#This Row],[Total Shipping]]&gt;0.1,0.2,0)</f>
        <v>0.2</v>
      </c>
      <c r="X402" s="4">
        <f>Table1[[#This Row],[Total Shipping]]*Table1[[#This Row],[VAT on Shipping]]</f>
        <v>168</v>
      </c>
      <c r="Y402" s="1">
        <f>Table1[[#This Row],[Revenue]]-Table1[[#This Row],[COGS]]</f>
        <v>1638</v>
      </c>
      <c r="Z402" s="3">
        <f>(Table1[[#This Row],[Profit]]/Table1[[#This Row],[Revenue]])</f>
        <v>0.24528301886792453</v>
      </c>
      <c r="AA402" s="1">
        <f>Table1[[#This Row],[Profit]]-Table1[[#This Row],[Total Shipping]]</f>
        <v>798</v>
      </c>
      <c r="AB402" s="3">
        <f>Table1[[#This Row],[Operating Profit]]/Table1[[#This Row],[Revenue]]</f>
        <v>0.11949685534591195</v>
      </c>
    </row>
    <row r="403" spans="1:28" x14ac:dyDescent="0.25">
      <c r="A403" t="s">
        <v>226</v>
      </c>
      <c r="B403">
        <v>927</v>
      </c>
      <c r="C403" t="s">
        <v>71</v>
      </c>
      <c r="D403" t="s">
        <v>48</v>
      </c>
      <c r="E403" t="s">
        <v>40</v>
      </c>
      <c r="F403" t="s">
        <v>79</v>
      </c>
      <c r="G403" t="str" cm="1">
        <f t="array" ref="G403">_xlfn.SWITCH(F403,"Acme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403" t="s">
        <v>45</v>
      </c>
      <c r="I403" t="s">
        <v>42</v>
      </c>
      <c r="J403" t="str" cm="1">
        <f t="array" ref="J403">_xlfn.SWITCH(I403,"P001","Laptop","P002","Server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03" s="1" cm="1">
        <f t="array" ref="K403">_xlfn.SWITCH(Table1[[#This Row],[Product ID]],"P001",220,"P002",150,"P003",130,"P004",70,"P005",200,"P006",40,"P007",25,"P008",20,"P009",190,"P010",530)</f>
        <v>40</v>
      </c>
      <c r="L403">
        <v>6</v>
      </c>
      <c r="M403" s="1">
        <f>Table1[[#This Row],[Unit Price]]*Table1[[#This Row],[Quantity]]</f>
        <v>240</v>
      </c>
      <c r="N403" s="2">
        <v>0.05</v>
      </c>
      <c r="O403" s="1">
        <f>Table1[[#This Row],[Gross Value]]*(1-Table1[[#This Row],[Discount]])</f>
        <v>228</v>
      </c>
      <c r="P403" s="2">
        <v>0.2</v>
      </c>
      <c r="Q403" s="1">
        <f>Table1[[#This Row],[Revenue]]*Table1[[#This Row],[VAT Rate]]</f>
        <v>45.6</v>
      </c>
      <c r="R403" s="1">
        <f>Table1[[#This Row],[Revenue]]+Table1[[#This Row],[VAT Charged]]</f>
        <v>273.60000000000002</v>
      </c>
      <c r="S403" s="1" cm="1">
        <f t="array" ref="S403">_xlfn.SWITCH(Table1[[#This Row],[Product ID]],"P001",140,"P002",80,"P003",72,"P004",30,"P005",110,"P006",24,"P007",14,"P008",12,"P009",115,"P010",360)</f>
        <v>24</v>
      </c>
      <c r="T403" s="1" cm="1">
        <f t="array" ref="T403">(_xlfn.SWITCH(Table1[[#This Row],[Product ID]],"P001",140,"P002",80,"P003",72,"P004",30,"P005",110,"P006",24,"P007",14,"P008",12,"P009",115,"P010",360))*Table1[[#This Row],[Quantity]]</f>
        <v>144</v>
      </c>
      <c r="U403" s="1" cm="1">
        <f t="array" ref="U403">_xlfn.SWITCH(Table1[[#This Row],[Product ID]],"P001",15,"P002",0,"P003",8,"P004",8,"P005",0,"P006",7,"P007",7,"P008",6,"P009",45,"P010",60)</f>
        <v>7</v>
      </c>
      <c r="V403" s="1">
        <f>Table1[[#This Row],[Shipping per Unit]]*Table1[[#This Row],[Quantity]]</f>
        <v>42</v>
      </c>
      <c r="W403" s="2">
        <f>IF(Table1[[#This Row],[Total Shipping]]&gt;0.1,0.2,0)</f>
        <v>0.2</v>
      </c>
      <c r="X403" s="4">
        <f>Table1[[#This Row],[Total Shipping]]*Table1[[#This Row],[VAT on Shipping]]</f>
        <v>8.4</v>
      </c>
      <c r="Y403" s="1">
        <f>Table1[[#This Row],[Revenue]]-Table1[[#This Row],[COGS]]</f>
        <v>84</v>
      </c>
      <c r="Z403" s="3">
        <f>(Table1[[#This Row],[Profit]]/Table1[[#This Row],[Revenue]])</f>
        <v>0.36842105263157893</v>
      </c>
      <c r="AA403" s="1">
        <f>Table1[[#This Row],[Profit]]-Table1[[#This Row],[Total Shipping]]</f>
        <v>42</v>
      </c>
      <c r="AB403" s="3">
        <f>Table1[[#This Row],[Operating Profit]]/Table1[[#This Row],[Revenue]]</f>
        <v>0.18421052631578946</v>
      </c>
    </row>
    <row r="404" spans="1:28" x14ac:dyDescent="0.25">
      <c r="A404" t="s">
        <v>227</v>
      </c>
      <c r="B404">
        <v>262</v>
      </c>
      <c r="C404" t="s">
        <v>65</v>
      </c>
      <c r="D404" t="s">
        <v>57</v>
      </c>
      <c r="E404" t="s">
        <v>31</v>
      </c>
      <c r="F404" t="s">
        <v>79</v>
      </c>
      <c r="G404" t="str" cm="1">
        <f t="array" ref="G404">_xlfn.SWITCH(F404,"Acme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404" t="s">
        <v>33</v>
      </c>
      <c r="I404" t="s">
        <v>70</v>
      </c>
      <c r="J404" t="str" cm="1">
        <f t="array" ref="J404">_xlfn.SWITCH(I404,"P001","Laptop","P002","Server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04" s="1" cm="1">
        <f t="array" ref="K404">_xlfn.SWITCH(Table1[[#This Row],[Product ID]],"P001",220,"P002",150,"P003",130,"P004",70,"P005",200,"P006",40,"P007",25,"P008",20,"P009",190,"P010",530)</f>
        <v>150</v>
      </c>
      <c r="L404">
        <v>8</v>
      </c>
      <c r="M404" s="1">
        <f>Table1[[#This Row],[Unit Price]]*Table1[[#This Row],[Quantity]]</f>
        <v>1200</v>
      </c>
      <c r="N404" s="2">
        <v>0.05</v>
      </c>
      <c r="O404" s="1">
        <f>Table1[[#This Row],[Gross Value]]*(1-Table1[[#This Row],[Discount]])</f>
        <v>1140</v>
      </c>
      <c r="P404" s="2">
        <v>0.2</v>
      </c>
      <c r="Q404" s="1">
        <f>Table1[[#This Row],[Revenue]]*Table1[[#This Row],[VAT Rate]]</f>
        <v>228</v>
      </c>
      <c r="R404" s="1">
        <f>Table1[[#This Row],[Revenue]]+Table1[[#This Row],[VAT Charged]]</f>
        <v>1368</v>
      </c>
      <c r="S404" s="1" cm="1">
        <f t="array" ref="S404">_xlfn.SWITCH(Table1[[#This Row],[Product ID]],"P001",140,"P002",80,"P003",72,"P004",30,"P005",110,"P006",24,"P007",14,"P008",12,"P009",115,"P010",360)</f>
        <v>80</v>
      </c>
      <c r="T404" s="1" cm="1">
        <f t="array" ref="T404">(_xlfn.SWITCH(Table1[[#This Row],[Product ID]],"P001",140,"P002",80,"P003",72,"P004",30,"P005",110,"P006",24,"P007",14,"P008",12,"P009",115,"P010",360))*Table1[[#This Row],[Quantity]]</f>
        <v>640</v>
      </c>
      <c r="U404" s="1" cm="1">
        <f t="array" ref="U404">_xlfn.SWITCH(Table1[[#This Row],[Product ID]],"P001",15,"P002",0,"P003",8,"P004",8,"P005",0,"P006",7,"P007",7,"P008",6,"P009",45,"P010",60)</f>
        <v>0</v>
      </c>
      <c r="V404" s="1">
        <f>Table1[[#This Row],[Shipping per Unit]]*Table1[[#This Row],[Quantity]]</f>
        <v>0</v>
      </c>
      <c r="W404" s="2">
        <f>IF(Table1[[#This Row],[Total Shipping]]&gt;0.1,0.2,0)</f>
        <v>0</v>
      </c>
      <c r="X404" s="4">
        <f>Table1[[#This Row],[Total Shipping]]*Table1[[#This Row],[VAT on Shipping]]</f>
        <v>0</v>
      </c>
      <c r="Y404" s="1">
        <f>Table1[[#This Row],[Revenue]]-Table1[[#This Row],[COGS]]</f>
        <v>500</v>
      </c>
      <c r="Z404" s="3">
        <f>(Table1[[#This Row],[Profit]]/Table1[[#This Row],[Revenue]])</f>
        <v>0.43859649122807015</v>
      </c>
      <c r="AA404" s="1">
        <f>Table1[[#This Row],[Profit]]-Table1[[#This Row],[Total Shipping]]</f>
        <v>500</v>
      </c>
      <c r="AB404" s="3">
        <f>Table1[[#This Row],[Operating Profit]]/Table1[[#This Row],[Revenue]]</f>
        <v>0.43859649122807015</v>
      </c>
    </row>
    <row r="405" spans="1:28" x14ac:dyDescent="0.25">
      <c r="A405" t="s">
        <v>227</v>
      </c>
      <c r="B405">
        <v>547</v>
      </c>
      <c r="C405" t="s">
        <v>71</v>
      </c>
      <c r="D405" t="s">
        <v>30</v>
      </c>
      <c r="E405" t="s">
        <v>31</v>
      </c>
      <c r="F405" t="s">
        <v>54</v>
      </c>
      <c r="G405" t="str" cm="1">
        <f t="array" ref="G405">_xlfn.SWITCH(F405,"Acme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405" t="s">
        <v>45</v>
      </c>
      <c r="I405" t="s">
        <v>68</v>
      </c>
      <c r="J405" t="str" cm="1">
        <f t="array" ref="J405">_xlfn.SWITCH(I405,"P001","Laptop","P002","Server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405" s="1" cm="1">
        <f t="array" ref="K405">_xlfn.SWITCH(Table1[[#This Row],[Product ID]],"P001",220,"P002",150,"P003",130,"P004",70,"P005",200,"P006",40,"P007",25,"P008",20,"P009",190,"P010",530)</f>
        <v>220</v>
      </c>
      <c r="L405">
        <v>8</v>
      </c>
      <c r="M405" s="1">
        <f>Table1[[#This Row],[Unit Price]]*Table1[[#This Row],[Quantity]]</f>
        <v>1760</v>
      </c>
      <c r="N405" s="2">
        <v>0.05</v>
      </c>
      <c r="O405" s="1">
        <f>Table1[[#This Row],[Gross Value]]*(1-Table1[[#This Row],[Discount]])</f>
        <v>1672</v>
      </c>
      <c r="P405" s="2">
        <v>0.2</v>
      </c>
      <c r="Q405" s="1">
        <f>Table1[[#This Row],[Revenue]]*Table1[[#This Row],[VAT Rate]]</f>
        <v>334.40000000000003</v>
      </c>
      <c r="R405" s="1">
        <f>Table1[[#This Row],[Revenue]]+Table1[[#This Row],[VAT Charged]]</f>
        <v>2006.4</v>
      </c>
      <c r="S405" s="1" cm="1">
        <f t="array" ref="S405">_xlfn.SWITCH(Table1[[#This Row],[Product ID]],"P001",140,"P002",80,"P003",72,"P004",30,"P005",110,"P006",24,"P007",14,"P008",12,"P009",115,"P010",360)</f>
        <v>140</v>
      </c>
      <c r="T405" s="1" cm="1">
        <f t="array" ref="T405">(_xlfn.SWITCH(Table1[[#This Row],[Product ID]],"P001",140,"P002",80,"P003",72,"P004",30,"P005",110,"P006",24,"P007",14,"P008",12,"P009",115,"P010",360))*Table1[[#This Row],[Quantity]]</f>
        <v>1120</v>
      </c>
      <c r="U405" s="1" cm="1">
        <f t="array" ref="U405">_xlfn.SWITCH(Table1[[#This Row],[Product ID]],"P001",15,"P002",0,"P003",8,"P004",8,"P005",0,"P006",7,"P007",7,"P008",6,"P009",45,"P010",60)</f>
        <v>15</v>
      </c>
      <c r="V405" s="1">
        <f>Table1[[#This Row],[Shipping per Unit]]*Table1[[#This Row],[Quantity]]</f>
        <v>120</v>
      </c>
      <c r="W405" s="2">
        <f>IF(Table1[[#This Row],[Total Shipping]]&gt;0.1,0.2,0)</f>
        <v>0.2</v>
      </c>
      <c r="X405" s="4">
        <f>Table1[[#This Row],[Total Shipping]]*Table1[[#This Row],[VAT on Shipping]]</f>
        <v>24</v>
      </c>
      <c r="Y405" s="1">
        <f>Table1[[#This Row],[Revenue]]-Table1[[#This Row],[COGS]]</f>
        <v>552</v>
      </c>
      <c r="Z405" s="3">
        <f>(Table1[[#This Row],[Profit]]/Table1[[#This Row],[Revenue]])</f>
        <v>0.33014354066985646</v>
      </c>
      <c r="AA405" s="1">
        <f>Table1[[#This Row],[Profit]]-Table1[[#This Row],[Total Shipping]]</f>
        <v>432</v>
      </c>
      <c r="AB405" s="3">
        <f>Table1[[#This Row],[Operating Profit]]/Table1[[#This Row],[Revenue]]</f>
        <v>0.25837320574162681</v>
      </c>
    </row>
    <row r="406" spans="1:28" x14ac:dyDescent="0.25">
      <c r="A406" t="s">
        <v>227</v>
      </c>
      <c r="B406">
        <v>804</v>
      </c>
      <c r="C406" t="s">
        <v>29</v>
      </c>
      <c r="D406" t="s">
        <v>53</v>
      </c>
      <c r="E406" t="s">
        <v>40</v>
      </c>
      <c r="F406" t="s">
        <v>113</v>
      </c>
      <c r="G406" t="str" cm="1">
        <f t="array" ref="G406">_xlfn.SWITCH(F406,"Acme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406" t="s">
        <v>69</v>
      </c>
      <c r="I406" t="s">
        <v>68</v>
      </c>
      <c r="J406" t="str" cm="1">
        <f t="array" ref="J406">_xlfn.SWITCH(I406,"P001","Laptop","P002","Server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406" s="1" cm="1">
        <f t="array" ref="K406">_xlfn.SWITCH(Table1[[#This Row],[Product ID]],"P001",220,"P002",150,"P003",130,"P004",70,"P005",200,"P006",40,"P007",25,"P008",20,"P009",190,"P010",530)</f>
        <v>220</v>
      </c>
      <c r="L406">
        <v>11</v>
      </c>
      <c r="M406" s="1">
        <f>Table1[[#This Row],[Unit Price]]*Table1[[#This Row],[Quantity]]</f>
        <v>2420</v>
      </c>
      <c r="N406" s="2">
        <v>0.06</v>
      </c>
      <c r="O406" s="1">
        <f>Table1[[#This Row],[Gross Value]]*(1-Table1[[#This Row],[Discount]])</f>
        <v>2274.7999999999997</v>
      </c>
      <c r="P406" s="2">
        <v>0.2</v>
      </c>
      <c r="Q406" s="1">
        <f>Table1[[#This Row],[Revenue]]*Table1[[#This Row],[VAT Rate]]</f>
        <v>454.96</v>
      </c>
      <c r="R406" s="1">
        <f>Table1[[#This Row],[Revenue]]+Table1[[#This Row],[VAT Charged]]</f>
        <v>2729.7599999999998</v>
      </c>
      <c r="S406" s="1" cm="1">
        <f t="array" ref="S406">_xlfn.SWITCH(Table1[[#This Row],[Product ID]],"P001",140,"P002",80,"P003",72,"P004",30,"P005",110,"P006",24,"P007",14,"P008",12,"P009",115,"P010",360)</f>
        <v>140</v>
      </c>
      <c r="T406" s="1" cm="1">
        <f t="array" ref="T406">(_xlfn.SWITCH(Table1[[#This Row],[Product ID]],"P001",140,"P002",80,"P003",72,"P004",30,"P005",110,"P006",24,"P007",14,"P008",12,"P009",115,"P010",360))*Table1[[#This Row],[Quantity]]</f>
        <v>1540</v>
      </c>
      <c r="U406" s="1" cm="1">
        <f t="array" ref="U406">_xlfn.SWITCH(Table1[[#This Row],[Product ID]],"P001",15,"P002",0,"P003",8,"P004",8,"P005",0,"P006",7,"P007",7,"P008",6,"P009",45,"P010",60)</f>
        <v>15</v>
      </c>
      <c r="V406" s="1">
        <f>Table1[[#This Row],[Shipping per Unit]]*Table1[[#This Row],[Quantity]]</f>
        <v>165</v>
      </c>
      <c r="W406" s="2">
        <f>IF(Table1[[#This Row],[Total Shipping]]&gt;0.1,0.2,0)</f>
        <v>0.2</v>
      </c>
      <c r="X406" s="4">
        <f>Table1[[#This Row],[Total Shipping]]*Table1[[#This Row],[VAT on Shipping]]</f>
        <v>33</v>
      </c>
      <c r="Y406" s="1">
        <f>Table1[[#This Row],[Revenue]]-Table1[[#This Row],[COGS]]</f>
        <v>734.79999999999973</v>
      </c>
      <c r="Z406" s="3">
        <f>(Table1[[#This Row],[Profit]]/Table1[[#This Row],[Revenue]])</f>
        <v>0.32301740812379104</v>
      </c>
      <c r="AA406" s="1">
        <f>Table1[[#This Row],[Profit]]-Table1[[#This Row],[Total Shipping]]</f>
        <v>569.79999999999973</v>
      </c>
      <c r="AB406" s="3">
        <f>Table1[[#This Row],[Operating Profit]]/Table1[[#This Row],[Revenue]]</f>
        <v>0.25048355899419722</v>
      </c>
    </row>
    <row r="407" spans="1:28" x14ac:dyDescent="0.25">
      <c r="A407" t="s">
        <v>228</v>
      </c>
      <c r="B407">
        <v>118</v>
      </c>
      <c r="C407" t="s">
        <v>56</v>
      </c>
      <c r="D407" t="s">
        <v>53</v>
      </c>
      <c r="E407" t="s">
        <v>31</v>
      </c>
      <c r="F407" t="s">
        <v>113</v>
      </c>
      <c r="G407" t="str" cm="1">
        <f t="array" ref="G407">_xlfn.SWITCH(F407,"Acme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407" t="s">
        <v>58</v>
      </c>
      <c r="I407" t="s">
        <v>52</v>
      </c>
      <c r="J407" t="str" cm="1">
        <f t="array" ref="J407">_xlfn.SWITCH(I407,"P001","Laptop","P002","Server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07" s="1" cm="1">
        <f t="array" ref="K407">_xlfn.SWITCH(Table1[[#This Row],[Product ID]],"P001",220,"P002",150,"P003",130,"P004",70,"P005",200,"P006",40,"P007",25,"P008",20,"P009",190,"P010",530)</f>
        <v>130</v>
      </c>
      <c r="L407">
        <v>14</v>
      </c>
      <c r="M407" s="1">
        <f>Table1[[#This Row],[Unit Price]]*Table1[[#This Row],[Quantity]]</f>
        <v>1820</v>
      </c>
      <c r="N407" s="2">
        <v>0.1</v>
      </c>
      <c r="O407" s="1">
        <f>Table1[[#This Row],[Gross Value]]*(1-Table1[[#This Row],[Discount]])</f>
        <v>1638</v>
      </c>
      <c r="P407" s="2">
        <v>0.2</v>
      </c>
      <c r="Q407" s="1">
        <f>Table1[[#This Row],[Revenue]]*Table1[[#This Row],[VAT Rate]]</f>
        <v>327.60000000000002</v>
      </c>
      <c r="R407" s="1">
        <f>Table1[[#This Row],[Revenue]]+Table1[[#This Row],[VAT Charged]]</f>
        <v>1965.6</v>
      </c>
      <c r="S407" s="1" cm="1">
        <f t="array" ref="S407">_xlfn.SWITCH(Table1[[#This Row],[Product ID]],"P001",140,"P002",80,"P003",72,"P004",30,"P005",110,"P006",24,"P007",14,"P008",12,"P009",115,"P010",360)</f>
        <v>72</v>
      </c>
      <c r="T407" s="1" cm="1">
        <f t="array" ref="T407">(_xlfn.SWITCH(Table1[[#This Row],[Product ID]],"P001",140,"P002",80,"P003",72,"P004",30,"P005",110,"P006",24,"P007",14,"P008",12,"P009",115,"P010",360))*Table1[[#This Row],[Quantity]]</f>
        <v>1008</v>
      </c>
      <c r="U407" s="1" cm="1">
        <f t="array" ref="U407">_xlfn.SWITCH(Table1[[#This Row],[Product ID]],"P001",15,"P002",0,"P003",8,"P004",8,"P005",0,"P006",7,"P007",7,"P008",6,"P009",45,"P010",60)</f>
        <v>8</v>
      </c>
      <c r="V407" s="1">
        <f>Table1[[#This Row],[Shipping per Unit]]*Table1[[#This Row],[Quantity]]</f>
        <v>112</v>
      </c>
      <c r="W407" s="2">
        <f>IF(Table1[[#This Row],[Total Shipping]]&gt;0.1,0.2,0)</f>
        <v>0.2</v>
      </c>
      <c r="X407" s="4">
        <f>Table1[[#This Row],[Total Shipping]]*Table1[[#This Row],[VAT on Shipping]]</f>
        <v>22.400000000000002</v>
      </c>
      <c r="Y407" s="1">
        <f>Table1[[#This Row],[Revenue]]-Table1[[#This Row],[COGS]]</f>
        <v>630</v>
      </c>
      <c r="Z407" s="3">
        <f>(Table1[[#This Row],[Profit]]/Table1[[#This Row],[Revenue]])</f>
        <v>0.38461538461538464</v>
      </c>
      <c r="AA407" s="1">
        <f>Table1[[#This Row],[Profit]]-Table1[[#This Row],[Total Shipping]]</f>
        <v>518</v>
      </c>
      <c r="AB407" s="3">
        <f>Table1[[#This Row],[Operating Profit]]/Table1[[#This Row],[Revenue]]</f>
        <v>0.31623931623931623</v>
      </c>
    </row>
    <row r="408" spans="1:28" x14ac:dyDescent="0.25">
      <c r="A408" t="s">
        <v>228</v>
      </c>
      <c r="B408">
        <v>202</v>
      </c>
      <c r="C408" t="s">
        <v>65</v>
      </c>
      <c r="D408" t="s">
        <v>57</v>
      </c>
      <c r="E408" t="s">
        <v>40</v>
      </c>
      <c r="F408" t="s">
        <v>59</v>
      </c>
      <c r="G408" t="str" cm="1">
        <f t="array" ref="G408">_xlfn.SWITCH(F408,"Acme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408" t="s">
        <v>33</v>
      </c>
      <c r="I408" t="s">
        <v>52</v>
      </c>
      <c r="J408" t="str" cm="1">
        <f t="array" ref="J408">_xlfn.SWITCH(I408,"P001","Laptop","P002","Server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08" s="1" cm="1">
        <f t="array" ref="K408">_xlfn.SWITCH(Table1[[#This Row],[Product ID]],"P001",220,"P002",150,"P003",130,"P004",70,"P005",200,"P006",40,"P007",25,"P008",20,"P009",190,"P010",530)</f>
        <v>130</v>
      </c>
      <c r="L408">
        <v>6</v>
      </c>
      <c r="M408" s="1">
        <f>Table1[[#This Row],[Unit Price]]*Table1[[#This Row],[Quantity]]</f>
        <v>780</v>
      </c>
      <c r="N408" s="2">
        <v>0.08</v>
      </c>
      <c r="O408" s="1">
        <f>Table1[[#This Row],[Gross Value]]*(1-Table1[[#This Row],[Discount]])</f>
        <v>717.6</v>
      </c>
      <c r="P408" s="2">
        <v>0.2</v>
      </c>
      <c r="Q408" s="1">
        <f>Table1[[#This Row],[Revenue]]*Table1[[#This Row],[VAT Rate]]</f>
        <v>143.52000000000001</v>
      </c>
      <c r="R408" s="1">
        <f>Table1[[#This Row],[Revenue]]+Table1[[#This Row],[VAT Charged]]</f>
        <v>861.12</v>
      </c>
      <c r="S408" s="1" cm="1">
        <f t="array" ref="S408">_xlfn.SWITCH(Table1[[#This Row],[Product ID]],"P001",140,"P002",80,"P003",72,"P004",30,"P005",110,"P006",24,"P007",14,"P008",12,"P009",115,"P010",360)</f>
        <v>72</v>
      </c>
      <c r="T408" s="1" cm="1">
        <f t="array" ref="T408">(_xlfn.SWITCH(Table1[[#This Row],[Product ID]],"P001",140,"P002",80,"P003",72,"P004",30,"P005",110,"P006",24,"P007",14,"P008",12,"P009",115,"P010",360))*Table1[[#This Row],[Quantity]]</f>
        <v>432</v>
      </c>
      <c r="U408" s="1" cm="1">
        <f t="array" ref="U408">_xlfn.SWITCH(Table1[[#This Row],[Product ID]],"P001",15,"P002",0,"P003",8,"P004",8,"P005",0,"P006",7,"P007",7,"P008",6,"P009",45,"P010",60)</f>
        <v>8</v>
      </c>
      <c r="V408" s="1">
        <f>Table1[[#This Row],[Shipping per Unit]]*Table1[[#This Row],[Quantity]]</f>
        <v>48</v>
      </c>
      <c r="W408" s="2">
        <f>IF(Table1[[#This Row],[Total Shipping]]&gt;0.1,0.2,0)</f>
        <v>0.2</v>
      </c>
      <c r="X408" s="4">
        <f>Table1[[#This Row],[Total Shipping]]*Table1[[#This Row],[VAT on Shipping]]</f>
        <v>9.6000000000000014</v>
      </c>
      <c r="Y408" s="1">
        <f>Table1[[#This Row],[Revenue]]-Table1[[#This Row],[COGS]]</f>
        <v>285.60000000000002</v>
      </c>
      <c r="Z408" s="3">
        <f>(Table1[[#This Row],[Profit]]/Table1[[#This Row],[Revenue]])</f>
        <v>0.39799331103678931</v>
      </c>
      <c r="AA408" s="1">
        <f>Table1[[#This Row],[Profit]]-Table1[[#This Row],[Total Shipping]]</f>
        <v>237.60000000000002</v>
      </c>
      <c r="AB408" s="3">
        <f>Table1[[#This Row],[Operating Profit]]/Table1[[#This Row],[Revenue]]</f>
        <v>0.33110367892976589</v>
      </c>
    </row>
    <row r="409" spans="1:28" x14ac:dyDescent="0.25">
      <c r="A409" t="s">
        <v>228</v>
      </c>
      <c r="B409">
        <v>346</v>
      </c>
      <c r="C409" t="s">
        <v>83</v>
      </c>
      <c r="D409" t="s">
        <v>67</v>
      </c>
      <c r="E409" t="s">
        <v>40</v>
      </c>
      <c r="F409" t="s">
        <v>37</v>
      </c>
      <c r="G409" t="str" cm="1">
        <f t="array" ref="G409">_xlfn.SWITCH(F409,"Acme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409" t="s">
        <v>51</v>
      </c>
      <c r="I409" t="s">
        <v>91</v>
      </c>
      <c r="J409" t="str" cm="1">
        <f t="array" ref="J409">_xlfn.SWITCH(I409,"P001","Laptop","P002","Server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09" s="1" cm="1">
        <f t="array" ref="K409">_xlfn.SWITCH(Table1[[#This Row],[Product ID]],"P001",220,"P002",150,"P003",130,"P004",70,"P005",200,"P006",40,"P007",25,"P008",20,"P009",190,"P010",530)</f>
        <v>190</v>
      </c>
      <c r="L409">
        <v>4</v>
      </c>
      <c r="M409" s="1">
        <f>Table1[[#This Row],[Unit Price]]*Table1[[#This Row],[Quantity]]</f>
        <v>760</v>
      </c>
      <c r="N409" s="2">
        <v>0.12</v>
      </c>
      <c r="O409" s="1">
        <f>Table1[[#This Row],[Gross Value]]*(1-Table1[[#This Row],[Discount]])</f>
        <v>668.8</v>
      </c>
      <c r="P409" s="2">
        <v>0.2</v>
      </c>
      <c r="Q409" s="1">
        <f>Table1[[#This Row],[Revenue]]*Table1[[#This Row],[VAT Rate]]</f>
        <v>133.76</v>
      </c>
      <c r="R409" s="1">
        <f>Table1[[#This Row],[Revenue]]+Table1[[#This Row],[VAT Charged]]</f>
        <v>802.56</v>
      </c>
      <c r="S409" s="1" cm="1">
        <f t="array" ref="S409">_xlfn.SWITCH(Table1[[#This Row],[Product ID]],"P001",140,"P002",80,"P003",72,"P004",30,"P005",110,"P006",24,"P007",14,"P008",12,"P009",115,"P010",360)</f>
        <v>115</v>
      </c>
      <c r="T409" s="1" cm="1">
        <f t="array" ref="T409">(_xlfn.SWITCH(Table1[[#This Row],[Product ID]],"P001",140,"P002",80,"P003",72,"P004",30,"P005",110,"P006",24,"P007",14,"P008",12,"P009",115,"P010",360))*Table1[[#This Row],[Quantity]]</f>
        <v>460</v>
      </c>
      <c r="U409" s="1" cm="1">
        <f t="array" ref="U409">_xlfn.SWITCH(Table1[[#This Row],[Product ID]],"P001",15,"P002",0,"P003",8,"P004",8,"P005",0,"P006",7,"P007",7,"P008",6,"P009",45,"P010",60)</f>
        <v>45</v>
      </c>
      <c r="V409" s="1">
        <f>Table1[[#This Row],[Shipping per Unit]]*Table1[[#This Row],[Quantity]]</f>
        <v>180</v>
      </c>
      <c r="W409" s="2">
        <f>IF(Table1[[#This Row],[Total Shipping]]&gt;0.1,0.2,0)</f>
        <v>0.2</v>
      </c>
      <c r="X409" s="4">
        <f>Table1[[#This Row],[Total Shipping]]*Table1[[#This Row],[VAT on Shipping]]</f>
        <v>36</v>
      </c>
      <c r="Y409" s="1">
        <f>Table1[[#This Row],[Revenue]]-Table1[[#This Row],[COGS]]</f>
        <v>208.79999999999995</v>
      </c>
      <c r="Z409" s="3">
        <f>(Table1[[#This Row],[Profit]]/Table1[[#This Row],[Revenue]])</f>
        <v>0.31220095693779898</v>
      </c>
      <c r="AA409" s="1">
        <f>Table1[[#This Row],[Profit]]-Table1[[#This Row],[Total Shipping]]</f>
        <v>28.799999999999955</v>
      </c>
      <c r="AB409" s="3">
        <f>Table1[[#This Row],[Operating Profit]]/Table1[[#This Row],[Revenue]]</f>
        <v>4.3062200956937732E-2</v>
      </c>
    </row>
    <row r="410" spans="1:28" x14ac:dyDescent="0.25">
      <c r="A410" t="s">
        <v>228</v>
      </c>
      <c r="B410">
        <v>973</v>
      </c>
      <c r="C410" t="s">
        <v>29</v>
      </c>
      <c r="D410" t="s">
        <v>57</v>
      </c>
      <c r="E410" t="s">
        <v>31</v>
      </c>
      <c r="F410" t="s">
        <v>76</v>
      </c>
      <c r="G410" t="str" cm="1">
        <f t="array" ref="G410">_xlfn.SWITCH(F410,"Acme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410" t="s">
        <v>45</v>
      </c>
      <c r="I410" t="s">
        <v>42</v>
      </c>
      <c r="J410" t="str" cm="1">
        <f t="array" ref="J410">_xlfn.SWITCH(I410,"P001","Laptop","P002","Server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10" s="1" cm="1">
        <f t="array" ref="K410">_xlfn.SWITCH(Table1[[#This Row],[Product ID]],"P001",220,"P002",150,"P003",130,"P004",70,"P005",200,"P006",40,"P007",25,"P008",20,"P009",190,"P010",530)</f>
        <v>40</v>
      </c>
      <c r="L410">
        <v>10</v>
      </c>
      <c r="M410" s="1">
        <f>Table1[[#This Row],[Unit Price]]*Table1[[#This Row],[Quantity]]</f>
        <v>400</v>
      </c>
      <c r="N410" s="2">
        <v>0.01</v>
      </c>
      <c r="O410" s="1">
        <f>Table1[[#This Row],[Gross Value]]*(1-Table1[[#This Row],[Discount]])</f>
        <v>396</v>
      </c>
      <c r="P410" s="2">
        <v>0.2</v>
      </c>
      <c r="Q410" s="1">
        <f>Table1[[#This Row],[Revenue]]*Table1[[#This Row],[VAT Rate]]</f>
        <v>79.2</v>
      </c>
      <c r="R410" s="1">
        <f>Table1[[#This Row],[Revenue]]+Table1[[#This Row],[VAT Charged]]</f>
        <v>475.2</v>
      </c>
      <c r="S410" s="1" cm="1">
        <f t="array" ref="S410">_xlfn.SWITCH(Table1[[#This Row],[Product ID]],"P001",140,"P002",80,"P003",72,"P004",30,"P005",110,"P006",24,"P007",14,"P008",12,"P009",115,"P010",360)</f>
        <v>24</v>
      </c>
      <c r="T410" s="1" cm="1">
        <f t="array" ref="T410">(_xlfn.SWITCH(Table1[[#This Row],[Product ID]],"P001",140,"P002",80,"P003",72,"P004",30,"P005",110,"P006",24,"P007",14,"P008",12,"P009",115,"P010",360))*Table1[[#This Row],[Quantity]]</f>
        <v>240</v>
      </c>
      <c r="U410" s="1" cm="1">
        <f t="array" ref="U410">_xlfn.SWITCH(Table1[[#This Row],[Product ID]],"P001",15,"P002",0,"P003",8,"P004",8,"P005",0,"P006",7,"P007",7,"P008",6,"P009",45,"P010",60)</f>
        <v>7</v>
      </c>
      <c r="V410" s="1">
        <f>Table1[[#This Row],[Shipping per Unit]]*Table1[[#This Row],[Quantity]]</f>
        <v>70</v>
      </c>
      <c r="W410" s="2">
        <f>IF(Table1[[#This Row],[Total Shipping]]&gt;0.1,0.2,0)</f>
        <v>0.2</v>
      </c>
      <c r="X410" s="4">
        <f>Table1[[#This Row],[Total Shipping]]*Table1[[#This Row],[VAT on Shipping]]</f>
        <v>14</v>
      </c>
      <c r="Y410" s="1">
        <f>Table1[[#This Row],[Revenue]]-Table1[[#This Row],[COGS]]</f>
        <v>156</v>
      </c>
      <c r="Z410" s="3">
        <f>(Table1[[#This Row],[Profit]]/Table1[[#This Row],[Revenue]])</f>
        <v>0.39393939393939392</v>
      </c>
      <c r="AA410" s="1">
        <f>Table1[[#This Row],[Profit]]-Table1[[#This Row],[Total Shipping]]</f>
        <v>86</v>
      </c>
      <c r="AB410" s="3">
        <f>Table1[[#This Row],[Operating Profit]]/Table1[[#This Row],[Revenue]]</f>
        <v>0.21717171717171718</v>
      </c>
    </row>
    <row r="411" spans="1:28" x14ac:dyDescent="0.25">
      <c r="A411" t="s">
        <v>229</v>
      </c>
      <c r="B411">
        <v>805</v>
      </c>
      <c r="C411" t="s">
        <v>56</v>
      </c>
      <c r="D411" t="s">
        <v>57</v>
      </c>
      <c r="E411" t="s">
        <v>31</v>
      </c>
      <c r="F411" t="s">
        <v>92</v>
      </c>
      <c r="G411" t="str" cm="1">
        <f t="array" ref="G411">_xlfn.SWITCH(F411,"Acme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411" t="s">
        <v>45</v>
      </c>
      <c r="I411" t="s">
        <v>91</v>
      </c>
      <c r="J411" t="str" cm="1">
        <f t="array" ref="J411">_xlfn.SWITCH(I411,"P001","Laptop","P002","Server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11" s="1" cm="1">
        <f t="array" ref="K411">_xlfn.SWITCH(Table1[[#This Row],[Product ID]],"P001",220,"P002",150,"P003",130,"P004",70,"P005",200,"P006",40,"P007",25,"P008",20,"P009",190,"P010",530)</f>
        <v>190</v>
      </c>
      <c r="L411">
        <v>12</v>
      </c>
      <c r="M411" s="1">
        <f>Table1[[#This Row],[Unit Price]]*Table1[[#This Row],[Quantity]]</f>
        <v>2280</v>
      </c>
      <c r="N411" s="2">
        <v>0.06</v>
      </c>
      <c r="O411" s="1">
        <f>Table1[[#This Row],[Gross Value]]*(1-Table1[[#This Row],[Discount]])</f>
        <v>2143.1999999999998</v>
      </c>
      <c r="P411" s="2">
        <v>0.2</v>
      </c>
      <c r="Q411" s="1">
        <f>Table1[[#This Row],[Revenue]]*Table1[[#This Row],[VAT Rate]]</f>
        <v>428.64</v>
      </c>
      <c r="R411" s="1">
        <f>Table1[[#This Row],[Revenue]]+Table1[[#This Row],[VAT Charged]]</f>
        <v>2571.8399999999997</v>
      </c>
      <c r="S411" s="1" cm="1">
        <f t="array" ref="S411">_xlfn.SWITCH(Table1[[#This Row],[Product ID]],"P001",140,"P002",80,"P003",72,"P004",30,"P005",110,"P006",24,"P007",14,"P008",12,"P009",115,"P010",360)</f>
        <v>115</v>
      </c>
      <c r="T411" s="1" cm="1">
        <f t="array" ref="T411">(_xlfn.SWITCH(Table1[[#This Row],[Product ID]],"P001",140,"P002",80,"P003",72,"P004",30,"P005",110,"P006",24,"P007",14,"P008",12,"P009",115,"P010",360))*Table1[[#This Row],[Quantity]]</f>
        <v>1380</v>
      </c>
      <c r="U411" s="1" cm="1">
        <f t="array" ref="U411">_xlfn.SWITCH(Table1[[#This Row],[Product ID]],"P001",15,"P002",0,"P003",8,"P004",8,"P005",0,"P006",7,"P007",7,"P008",6,"P009",45,"P010",60)</f>
        <v>45</v>
      </c>
      <c r="V411" s="1">
        <f>Table1[[#This Row],[Shipping per Unit]]*Table1[[#This Row],[Quantity]]</f>
        <v>540</v>
      </c>
      <c r="W411" s="2">
        <f>IF(Table1[[#This Row],[Total Shipping]]&gt;0.1,0.2,0)</f>
        <v>0.2</v>
      </c>
      <c r="X411" s="4">
        <f>Table1[[#This Row],[Total Shipping]]*Table1[[#This Row],[VAT on Shipping]]</f>
        <v>108</v>
      </c>
      <c r="Y411" s="1">
        <f>Table1[[#This Row],[Revenue]]-Table1[[#This Row],[COGS]]</f>
        <v>763.19999999999982</v>
      </c>
      <c r="Z411" s="3">
        <f>(Table1[[#This Row],[Profit]]/Table1[[#This Row],[Revenue]])</f>
        <v>0.35610302351623735</v>
      </c>
      <c r="AA411" s="1">
        <f>Table1[[#This Row],[Profit]]-Table1[[#This Row],[Total Shipping]]</f>
        <v>223.19999999999982</v>
      </c>
      <c r="AB411" s="3">
        <f>Table1[[#This Row],[Operating Profit]]/Table1[[#This Row],[Revenue]]</f>
        <v>0.10414333706606935</v>
      </c>
    </row>
    <row r="412" spans="1:28" x14ac:dyDescent="0.25">
      <c r="A412" t="s">
        <v>230</v>
      </c>
      <c r="B412">
        <v>46</v>
      </c>
      <c r="C412" t="s">
        <v>65</v>
      </c>
      <c r="D412" t="s">
        <v>48</v>
      </c>
      <c r="E412" t="s">
        <v>31</v>
      </c>
      <c r="F412" t="s">
        <v>86</v>
      </c>
      <c r="G412" t="str" cm="1">
        <f t="array" ref="G412">_xlfn.SWITCH(F412,"Acme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412" t="s">
        <v>45</v>
      </c>
      <c r="I412" t="s">
        <v>42</v>
      </c>
      <c r="J412" t="str" cm="1">
        <f t="array" ref="J412">_xlfn.SWITCH(I412,"P001","Laptop","P002","Server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12" s="1" cm="1">
        <f t="array" ref="K412">_xlfn.SWITCH(Table1[[#This Row],[Product ID]],"P001",220,"P002",150,"P003",130,"P004",70,"P005",200,"P006",40,"P007",25,"P008",20,"P009",190,"P010",530)</f>
        <v>40</v>
      </c>
      <c r="L412">
        <v>5</v>
      </c>
      <c r="M412" s="1">
        <f>Table1[[#This Row],[Unit Price]]*Table1[[#This Row],[Quantity]]</f>
        <v>200</v>
      </c>
      <c r="N412" s="2">
        <v>7.0000000000000007E-2</v>
      </c>
      <c r="O412" s="1">
        <f>Table1[[#This Row],[Gross Value]]*(1-Table1[[#This Row],[Discount]])</f>
        <v>186</v>
      </c>
      <c r="P412" s="2">
        <v>0.2</v>
      </c>
      <c r="Q412" s="1">
        <f>Table1[[#This Row],[Revenue]]*Table1[[#This Row],[VAT Rate]]</f>
        <v>37.200000000000003</v>
      </c>
      <c r="R412" s="1">
        <f>Table1[[#This Row],[Revenue]]+Table1[[#This Row],[VAT Charged]]</f>
        <v>223.2</v>
      </c>
      <c r="S412" s="1" cm="1">
        <f t="array" ref="S412">_xlfn.SWITCH(Table1[[#This Row],[Product ID]],"P001",140,"P002",80,"P003",72,"P004",30,"P005",110,"P006",24,"P007",14,"P008",12,"P009",115,"P010",360)</f>
        <v>24</v>
      </c>
      <c r="T412" s="1" cm="1">
        <f t="array" ref="T412">(_xlfn.SWITCH(Table1[[#This Row],[Product ID]],"P001",140,"P002",80,"P003",72,"P004",30,"P005",110,"P006",24,"P007",14,"P008",12,"P009",115,"P010",360))*Table1[[#This Row],[Quantity]]</f>
        <v>120</v>
      </c>
      <c r="U412" s="1" cm="1">
        <f t="array" ref="U412">_xlfn.SWITCH(Table1[[#This Row],[Product ID]],"P001",15,"P002",0,"P003",8,"P004",8,"P005",0,"P006",7,"P007",7,"P008",6,"P009",45,"P010",60)</f>
        <v>7</v>
      </c>
      <c r="V412" s="1">
        <f>Table1[[#This Row],[Shipping per Unit]]*Table1[[#This Row],[Quantity]]</f>
        <v>35</v>
      </c>
      <c r="W412" s="2">
        <f>IF(Table1[[#This Row],[Total Shipping]]&gt;0.1,0.2,0)</f>
        <v>0.2</v>
      </c>
      <c r="X412" s="4">
        <f>Table1[[#This Row],[Total Shipping]]*Table1[[#This Row],[VAT on Shipping]]</f>
        <v>7</v>
      </c>
      <c r="Y412" s="1">
        <f>Table1[[#This Row],[Revenue]]-Table1[[#This Row],[COGS]]</f>
        <v>66</v>
      </c>
      <c r="Z412" s="3">
        <f>(Table1[[#This Row],[Profit]]/Table1[[#This Row],[Revenue]])</f>
        <v>0.35483870967741937</v>
      </c>
      <c r="AA412" s="1">
        <f>Table1[[#This Row],[Profit]]-Table1[[#This Row],[Total Shipping]]</f>
        <v>31</v>
      </c>
      <c r="AB412" s="3">
        <f>Table1[[#This Row],[Operating Profit]]/Table1[[#This Row],[Revenue]]</f>
        <v>0.16666666666666666</v>
      </c>
    </row>
    <row r="413" spans="1:28" x14ac:dyDescent="0.25">
      <c r="A413" t="s">
        <v>230</v>
      </c>
      <c r="B413">
        <v>640</v>
      </c>
      <c r="C413" t="s">
        <v>29</v>
      </c>
      <c r="D413" t="s">
        <v>67</v>
      </c>
      <c r="E413" t="s">
        <v>40</v>
      </c>
      <c r="F413" t="s">
        <v>44</v>
      </c>
      <c r="G413" t="str" cm="1">
        <f t="array" ref="G413">_xlfn.SWITCH(F413,"Acme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413" t="s">
        <v>104</v>
      </c>
      <c r="I413" t="s">
        <v>42</v>
      </c>
      <c r="J413" t="str" cm="1">
        <f t="array" ref="J413">_xlfn.SWITCH(I413,"P001","Laptop","P002","Server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13" s="1" cm="1">
        <f t="array" ref="K413">_xlfn.SWITCH(Table1[[#This Row],[Product ID]],"P001",220,"P002",150,"P003",130,"P004",70,"P005",200,"P006",40,"P007",25,"P008",20,"P009",190,"P010",530)</f>
        <v>40</v>
      </c>
      <c r="L413">
        <v>6</v>
      </c>
      <c r="M413" s="1">
        <f>Table1[[#This Row],[Unit Price]]*Table1[[#This Row],[Quantity]]</f>
        <v>240</v>
      </c>
      <c r="N413" s="2">
        <v>0.05</v>
      </c>
      <c r="O413" s="1">
        <f>Table1[[#This Row],[Gross Value]]*(1-Table1[[#This Row],[Discount]])</f>
        <v>228</v>
      </c>
      <c r="P413" s="2">
        <v>0.2</v>
      </c>
      <c r="Q413" s="1">
        <f>Table1[[#This Row],[Revenue]]*Table1[[#This Row],[VAT Rate]]</f>
        <v>45.6</v>
      </c>
      <c r="R413" s="1">
        <f>Table1[[#This Row],[Revenue]]+Table1[[#This Row],[VAT Charged]]</f>
        <v>273.60000000000002</v>
      </c>
      <c r="S413" s="1" cm="1">
        <f t="array" ref="S413">_xlfn.SWITCH(Table1[[#This Row],[Product ID]],"P001",140,"P002",80,"P003",72,"P004",30,"P005",110,"P006",24,"P007",14,"P008",12,"P009",115,"P010",360)</f>
        <v>24</v>
      </c>
      <c r="T413" s="1" cm="1">
        <f t="array" ref="T413">(_xlfn.SWITCH(Table1[[#This Row],[Product ID]],"P001",140,"P002",80,"P003",72,"P004",30,"P005",110,"P006",24,"P007",14,"P008",12,"P009",115,"P010",360))*Table1[[#This Row],[Quantity]]</f>
        <v>144</v>
      </c>
      <c r="U413" s="1" cm="1">
        <f t="array" ref="U413">_xlfn.SWITCH(Table1[[#This Row],[Product ID]],"P001",15,"P002",0,"P003",8,"P004",8,"P005",0,"P006",7,"P007",7,"P008",6,"P009",45,"P010",60)</f>
        <v>7</v>
      </c>
      <c r="V413" s="1">
        <f>Table1[[#This Row],[Shipping per Unit]]*Table1[[#This Row],[Quantity]]</f>
        <v>42</v>
      </c>
      <c r="W413" s="2">
        <f>IF(Table1[[#This Row],[Total Shipping]]&gt;0.1,0.2,0)</f>
        <v>0.2</v>
      </c>
      <c r="X413" s="4">
        <f>Table1[[#This Row],[Total Shipping]]*Table1[[#This Row],[VAT on Shipping]]</f>
        <v>8.4</v>
      </c>
      <c r="Y413" s="1">
        <f>Table1[[#This Row],[Revenue]]-Table1[[#This Row],[COGS]]</f>
        <v>84</v>
      </c>
      <c r="Z413" s="3">
        <f>(Table1[[#This Row],[Profit]]/Table1[[#This Row],[Revenue]])</f>
        <v>0.36842105263157893</v>
      </c>
      <c r="AA413" s="1">
        <f>Table1[[#This Row],[Profit]]-Table1[[#This Row],[Total Shipping]]</f>
        <v>42</v>
      </c>
      <c r="AB413" s="3">
        <f>Table1[[#This Row],[Operating Profit]]/Table1[[#This Row],[Revenue]]</f>
        <v>0.18421052631578946</v>
      </c>
    </row>
    <row r="414" spans="1:28" x14ac:dyDescent="0.25">
      <c r="A414" t="s">
        <v>230</v>
      </c>
      <c r="B414">
        <v>906</v>
      </c>
      <c r="C414" t="s">
        <v>65</v>
      </c>
      <c r="D414" t="s">
        <v>48</v>
      </c>
      <c r="E414" t="s">
        <v>40</v>
      </c>
      <c r="F414" t="s">
        <v>76</v>
      </c>
      <c r="G414" t="str" cm="1">
        <f t="array" ref="G414">_xlfn.SWITCH(F414,"Acme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414" t="s">
        <v>45</v>
      </c>
      <c r="I414" t="s">
        <v>91</v>
      </c>
      <c r="J414" t="str" cm="1">
        <f t="array" ref="J414">_xlfn.SWITCH(I414,"P001","Laptop","P002","Server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14" s="1" cm="1">
        <f t="array" ref="K414">_xlfn.SWITCH(Table1[[#This Row],[Product ID]],"P001",220,"P002",150,"P003",130,"P004",70,"P005",200,"P006",40,"P007",25,"P008",20,"P009",190,"P010",530)</f>
        <v>190</v>
      </c>
      <c r="L414">
        <v>6</v>
      </c>
      <c r="M414" s="1">
        <f>Table1[[#This Row],[Unit Price]]*Table1[[#This Row],[Quantity]]</f>
        <v>1140</v>
      </c>
      <c r="N414" s="2">
        <v>0.1</v>
      </c>
      <c r="O414" s="1">
        <f>Table1[[#This Row],[Gross Value]]*(1-Table1[[#This Row],[Discount]])</f>
        <v>1026</v>
      </c>
      <c r="P414" s="2">
        <v>0.2</v>
      </c>
      <c r="Q414" s="1">
        <f>Table1[[#This Row],[Revenue]]*Table1[[#This Row],[VAT Rate]]</f>
        <v>205.20000000000002</v>
      </c>
      <c r="R414" s="1">
        <f>Table1[[#This Row],[Revenue]]+Table1[[#This Row],[VAT Charged]]</f>
        <v>1231.2</v>
      </c>
      <c r="S414" s="1" cm="1">
        <f t="array" ref="S414">_xlfn.SWITCH(Table1[[#This Row],[Product ID]],"P001",140,"P002",80,"P003",72,"P004",30,"P005",110,"P006",24,"P007",14,"P008",12,"P009",115,"P010",360)</f>
        <v>115</v>
      </c>
      <c r="T414" s="1" cm="1">
        <f t="array" ref="T414">(_xlfn.SWITCH(Table1[[#This Row],[Product ID]],"P001",140,"P002",80,"P003",72,"P004",30,"P005",110,"P006",24,"P007",14,"P008",12,"P009",115,"P010",360))*Table1[[#This Row],[Quantity]]</f>
        <v>690</v>
      </c>
      <c r="U414" s="1" cm="1">
        <f t="array" ref="U414">_xlfn.SWITCH(Table1[[#This Row],[Product ID]],"P001",15,"P002",0,"P003",8,"P004",8,"P005",0,"P006",7,"P007",7,"P008",6,"P009",45,"P010",60)</f>
        <v>45</v>
      </c>
      <c r="V414" s="1">
        <f>Table1[[#This Row],[Shipping per Unit]]*Table1[[#This Row],[Quantity]]</f>
        <v>270</v>
      </c>
      <c r="W414" s="2">
        <f>IF(Table1[[#This Row],[Total Shipping]]&gt;0.1,0.2,0)</f>
        <v>0.2</v>
      </c>
      <c r="X414" s="4">
        <f>Table1[[#This Row],[Total Shipping]]*Table1[[#This Row],[VAT on Shipping]]</f>
        <v>54</v>
      </c>
      <c r="Y414" s="1">
        <f>Table1[[#This Row],[Revenue]]-Table1[[#This Row],[COGS]]</f>
        <v>336</v>
      </c>
      <c r="Z414" s="3">
        <f>(Table1[[#This Row],[Profit]]/Table1[[#This Row],[Revenue]])</f>
        <v>0.32748538011695905</v>
      </c>
      <c r="AA414" s="1">
        <f>Table1[[#This Row],[Profit]]-Table1[[#This Row],[Total Shipping]]</f>
        <v>66</v>
      </c>
      <c r="AB414" s="3">
        <f>Table1[[#This Row],[Operating Profit]]/Table1[[#This Row],[Revenue]]</f>
        <v>6.4327485380116955E-2</v>
      </c>
    </row>
    <row r="415" spans="1:28" x14ac:dyDescent="0.25">
      <c r="A415" t="s">
        <v>231</v>
      </c>
      <c r="B415">
        <v>55</v>
      </c>
      <c r="C415" t="s">
        <v>62</v>
      </c>
      <c r="D415" t="s">
        <v>95</v>
      </c>
      <c r="E415" t="s">
        <v>49</v>
      </c>
      <c r="F415" t="s">
        <v>98</v>
      </c>
      <c r="G415" t="str" cm="1">
        <f t="array" ref="G415">_xlfn.SWITCH(F415,"Acme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415" t="s">
        <v>33</v>
      </c>
      <c r="I415" t="s">
        <v>52</v>
      </c>
      <c r="J415" t="str" cm="1">
        <f t="array" ref="J415">_xlfn.SWITCH(I415,"P001","Laptop","P002","Server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15" s="1" cm="1">
        <f t="array" ref="K415">_xlfn.SWITCH(Table1[[#This Row],[Product ID]],"P001",220,"P002",150,"P003",130,"P004",70,"P005",200,"P006",40,"P007",25,"P008",20,"P009",190,"P010",530)</f>
        <v>130</v>
      </c>
      <c r="L415">
        <v>10</v>
      </c>
      <c r="M415" s="1">
        <f>Table1[[#This Row],[Unit Price]]*Table1[[#This Row],[Quantity]]</f>
        <v>1300</v>
      </c>
      <c r="N415" s="2">
        <v>0.02</v>
      </c>
      <c r="O415" s="1">
        <f>Table1[[#This Row],[Gross Value]]*(1-Table1[[#This Row],[Discount]])</f>
        <v>1274</v>
      </c>
      <c r="P415" s="2">
        <v>0.2</v>
      </c>
      <c r="Q415" s="1">
        <f>Table1[[#This Row],[Revenue]]*Table1[[#This Row],[VAT Rate]]</f>
        <v>254.8</v>
      </c>
      <c r="R415" s="1">
        <f>Table1[[#This Row],[Revenue]]+Table1[[#This Row],[VAT Charged]]</f>
        <v>1528.8</v>
      </c>
      <c r="S415" s="1" cm="1">
        <f t="array" ref="S415">_xlfn.SWITCH(Table1[[#This Row],[Product ID]],"P001",140,"P002",80,"P003",72,"P004",30,"P005",110,"P006",24,"P007",14,"P008",12,"P009",115,"P010",360)</f>
        <v>72</v>
      </c>
      <c r="T415" s="1" cm="1">
        <f t="array" ref="T415">(_xlfn.SWITCH(Table1[[#This Row],[Product ID]],"P001",140,"P002",80,"P003",72,"P004",30,"P005",110,"P006",24,"P007",14,"P008",12,"P009",115,"P010",360))*Table1[[#This Row],[Quantity]]</f>
        <v>720</v>
      </c>
      <c r="U415" s="1" cm="1">
        <f t="array" ref="U415">_xlfn.SWITCH(Table1[[#This Row],[Product ID]],"P001",15,"P002",0,"P003",8,"P004",8,"P005",0,"P006",7,"P007",7,"P008",6,"P009",45,"P010",60)</f>
        <v>8</v>
      </c>
      <c r="V415" s="1">
        <f>Table1[[#This Row],[Shipping per Unit]]*Table1[[#This Row],[Quantity]]</f>
        <v>80</v>
      </c>
      <c r="W415" s="2">
        <f>IF(Table1[[#This Row],[Total Shipping]]&gt;0.1,0.2,0)</f>
        <v>0.2</v>
      </c>
      <c r="X415" s="4">
        <f>Table1[[#This Row],[Total Shipping]]*Table1[[#This Row],[VAT on Shipping]]</f>
        <v>16</v>
      </c>
      <c r="Y415" s="1">
        <f>Table1[[#This Row],[Revenue]]-Table1[[#This Row],[COGS]]</f>
        <v>554</v>
      </c>
      <c r="Z415" s="3">
        <f>(Table1[[#This Row],[Profit]]/Table1[[#This Row],[Revenue]])</f>
        <v>0.43485086342229201</v>
      </c>
      <c r="AA415" s="1">
        <f>Table1[[#This Row],[Profit]]-Table1[[#This Row],[Total Shipping]]</f>
        <v>474</v>
      </c>
      <c r="AB415" s="3">
        <f>Table1[[#This Row],[Operating Profit]]/Table1[[#This Row],[Revenue]]</f>
        <v>0.37205651491365777</v>
      </c>
    </row>
    <row r="416" spans="1:28" x14ac:dyDescent="0.25">
      <c r="A416" t="s">
        <v>231</v>
      </c>
      <c r="B416">
        <v>126</v>
      </c>
      <c r="C416" t="s">
        <v>38</v>
      </c>
      <c r="D416" t="s">
        <v>48</v>
      </c>
      <c r="E416" t="s">
        <v>31</v>
      </c>
      <c r="F416" t="s">
        <v>44</v>
      </c>
      <c r="G416" t="str" cm="1">
        <f t="array" ref="G416">_xlfn.SWITCH(F416,"Acme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416" t="s">
        <v>45</v>
      </c>
      <c r="I416" t="s">
        <v>42</v>
      </c>
      <c r="J416" t="str" cm="1">
        <f t="array" ref="J416">_xlfn.SWITCH(I416,"P001","Laptop","P002","Server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16" s="1" cm="1">
        <f t="array" ref="K416">_xlfn.SWITCH(Table1[[#This Row],[Product ID]],"P001",220,"P002",150,"P003",130,"P004",70,"P005",200,"P006",40,"P007",25,"P008",20,"P009",190,"P010",530)</f>
        <v>40</v>
      </c>
      <c r="L416">
        <v>12</v>
      </c>
      <c r="M416" s="1">
        <f>Table1[[#This Row],[Unit Price]]*Table1[[#This Row],[Quantity]]</f>
        <v>480</v>
      </c>
      <c r="N416" s="2">
        <v>0.03</v>
      </c>
      <c r="O416" s="1">
        <f>Table1[[#This Row],[Gross Value]]*(1-Table1[[#This Row],[Discount]])</f>
        <v>465.59999999999997</v>
      </c>
      <c r="P416" s="2">
        <v>0.2</v>
      </c>
      <c r="Q416" s="1">
        <f>Table1[[#This Row],[Revenue]]*Table1[[#This Row],[VAT Rate]]</f>
        <v>93.12</v>
      </c>
      <c r="R416" s="1">
        <f>Table1[[#This Row],[Revenue]]+Table1[[#This Row],[VAT Charged]]</f>
        <v>558.72</v>
      </c>
      <c r="S416" s="1" cm="1">
        <f t="array" ref="S416">_xlfn.SWITCH(Table1[[#This Row],[Product ID]],"P001",140,"P002",80,"P003",72,"P004",30,"P005",110,"P006",24,"P007",14,"P008",12,"P009",115,"P010",360)</f>
        <v>24</v>
      </c>
      <c r="T416" s="1" cm="1">
        <f t="array" ref="T416">(_xlfn.SWITCH(Table1[[#This Row],[Product ID]],"P001",140,"P002",80,"P003",72,"P004",30,"P005",110,"P006",24,"P007",14,"P008",12,"P009",115,"P010",360))*Table1[[#This Row],[Quantity]]</f>
        <v>288</v>
      </c>
      <c r="U416" s="1" cm="1">
        <f t="array" ref="U416">_xlfn.SWITCH(Table1[[#This Row],[Product ID]],"P001",15,"P002",0,"P003",8,"P004",8,"P005",0,"P006",7,"P007",7,"P008",6,"P009",45,"P010",60)</f>
        <v>7</v>
      </c>
      <c r="V416" s="1">
        <f>Table1[[#This Row],[Shipping per Unit]]*Table1[[#This Row],[Quantity]]</f>
        <v>84</v>
      </c>
      <c r="W416" s="2">
        <f>IF(Table1[[#This Row],[Total Shipping]]&gt;0.1,0.2,0)</f>
        <v>0.2</v>
      </c>
      <c r="X416" s="4">
        <f>Table1[[#This Row],[Total Shipping]]*Table1[[#This Row],[VAT on Shipping]]</f>
        <v>16.8</v>
      </c>
      <c r="Y416" s="1">
        <f>Table1[[#This Row],[Revenue]]-Table1[[#This Row],[COGS]]</f>
        <v>177.59999999999997</v>
      </c>
      <c r="Z416" s="3">
        <f>(Table1[[#This Row],[Profit]]/Table1[[#This Row],[Revenue]])</f>
        <v>0.38144329896907214</v>
      </c>
      <c r="AA416" s="1">
        <f>Table1[[#This Row],[Profit]]-Table1[[#This Row],[Total Shipping]]</f>
        <v>93.599999999999966</v>
      </c>
      <c r="AB416" s="3">
        <f>Table1[[#This Row],[Operating Profit]]/Table1[[#This Row],[Revenue]]</f>
        <v>0.2010309278350515</v>
      </c>
    </row>
    <row r="417" spans="1:28" x14ac:dyDescent="0.25">
      <c r="A417" t="s">
        <v>231</v>
      </c>
      <c r="B417">
        <v>370</v>
      </c>
      <c r="C417" t="s">
        <v>65</v>
      </c>
      <c r="D417" t="s">
        <v>36</v>
      </c>
      <c r="E417" t="s">
        <v>40</v>
      </c>
      <c r="F417" t="s">
        <v>41</v>
      </c>
      <c r="G417" t="str" cm="1">
        <f t="array" ref="G417">_xlfn.SWITCH(F417,"Acme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417" t="s">
        <v>45</v>
      </c>
      <c r="I417" t="s">
        <v>34</v>
      </c>
      <c r="J417" t="str" cm="1">
        <f t="array" ref="J417">_xlfn.SWITCH(I417,"P001","Laptop","P002","Server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417" s="1" cm="1">
        <f t="array" ref="K417">_xlfn.SWITCH(Table1[[#This Row],[Product ID]],"P001",220,"P002",150,"P003",130,"P004",70,"P005",200,"P006",40,"P007",25,"P008",20,"P009",190,"P010",530)</f>
        <v>20</v>
      </c>
      <c r="L417">
        <v>3</v>
      </c>
      <c r="M417" s="1">
        <f>Table1[[#This Row],[Unit Price]]*Table1[[#This Row],[Quantity]]</f>
        <v>60</v>
      </c>
      <c r="N417" s="2">
        <v>0.06</v>
      </c>
      <c r="O417" s="1">
        <f>Table1[[#This Row],[Gross Value]]*(1-Table1[[#This Row],[Discount]])</f>
        <v>56.4</v>
      </c>
      <c r="P417" s="2">
        <v>0.2</v>
      </c>
      <c r="Q417" s="1">
        <f>Table1[[#This Row],[Revenue]]*Table1[[#This Row],[VAT Rate]]</f>
        <v>11.280000000000001</v>
      </c>
      <c r="R417" s="1">
        <f>Table1[[#This Row],[Revenue]]+Table1[[#This Row],[VAT Charged]]</f>
        <v>67.680000000000007</v>
      </c>
      <c r="S417" s="1" cm="1">
        <f t="array" ref="S417">_xlfn.SWITCH(Table1[[#This Row],[Product ID]],"P001",140,"P002",80,"P003",72,"P004",30,"P005",110,"P006",24,"P007",14,"P008",12,"P009",115,"P010",360)</f>
        <v>12</v>
      </c>
      <c r="T417" s="1" cm="1">
        <f t="array" ref="T417">(_xlfn.SWITCH(Table1[[#This Row],[Product ID]],"P001",140,"P002",80,"P003",72,"P004",30,"P005",110,"P006",24,"P007",14,"P008",12,"P009",115,"P010",360))*Table1[[#This Row],[Quantity]]</f>
        <v>36</v>
      </c>
      <c r="U417" s="1" cm="1">
        <f t="array" ref="U417">_xlfn.SWITCH(Table1[[#This Row],[Product ID]],"P001",15,"P002",0,"P003",8,"P004",8,"P005",0,"P006",7,"P007",7,"P008",6,"P009",45,"P010",60)</f>
        <v>6</v>
      </c>
      <c r="V417" s="1">
        <f>Table1[[#This Row],[Shipping per Unit]]*Table1[[#This Row],[Quantity]]</f>
        <v>18</v>
      </c>
      <c r="W417" s="2">
        <f>IF(Table1[[#This Row],[Total Shipping]]&gt;0.1,0.2,0)</f>
        <v>0.2</v>
      </c>
      <c r="X417" s="4">
        <f>Table1[[#This Row],[Total Shipping]]*Table1[[#This Row],[VAT on Shipping]]</f>
        <v>3.6</v>
      </c>
      <c r="Y417" s="1">
        <f>Table1[[#This Row],[Revenue]]-Table1[[#This Row],[COGS]]</f>
        <v>20.399999999999999</v>
      </c>
      <c r="Z417" s="3">
        <f>(Table1[[#This Row],[Profit]]/Table1[[#This Row],[Revenue]])</f>
        <v>0.36170212765957444</v>
      </c>
      <c r="AA417" s="1">
        <f>Table1[[#This Row],[Profit]]-Table1[[#This Row],[Total Shipping]]</f>
        <v>2.3999999999999986</v>
      </c>
      <c r="AB417" s="3">
        <f>Table1[[#This Row],[Operating Profit]]/Table1[[#This Row],[Revenue]]</f>
        <v>4.255319148936168E-2</v>
      </c>
    </row>
    <row r="418" spans="1:28" x14ac:dyDescent="0.25">
      <c r="A418" t="s">
        <v>231</v>
      </c>
      <c r="B418">
        <v>749</v>
      </c>
      <c r="C418" t="s">
        <v>83</v>
      </c>
      <c r="D418" t="s">
        <v>95</v>
      </c>
      <c r="E418" t="s">
        <v>40</v>
      </c>
      <c r="F418" t="s">
        <v>76</v>
      </c>
      <c r="G418" t="str" cm="1">
        <f t="array" ref="G418">_xlfn.SWITCH(F418,"Acme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418" t="s">
        <v>58</v>
      </c>
      <c r="I418" t="s">
        <v>42</v>
      </c>
      <c r="J418" t="str" cm="1">
        <f t="array" ref="J418">_xlfn.SWITCH(I418,"P001","Laptop","P002","Server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18" s="1" cm="1">
        <f t="array" ref="K418">_xlfn.SWITCH(Table1[[#This Row],[Product ID]],"P001",220,"P002",150,"P003",130,"P004",70,"P005",200,"P006",40,"P007",25,"P008",20,"P009",190,"P010",530)</f>
        <v>40</v>
      </c>
      <c r="L418">
        <v>9</v>
      </c>
      <c r="M418" s="1">
        <f>Table1[[#This Row],[Unit Price]]*Table1[[#This Row],[Quantity]]</f>
        <v>360</v>
      </c>
      <c r="N418" s="2">
        <v>0.12</v>
      </c>
      <c r="O418" s="1">
        <f>Table1[[#This Row],[Gross Value]]*(1-Table1[[#This Row],[Discount]])</f>
        <v>316.8</v>
      </c>
      <c r="P418" s="2">
        <v>0.2</v>
      </c>
      <c r="Q418" s="1">
        <f>Table1[[#This Row],[Revenue]]*Table1[[#This Row],[VAT Rate]]</f>
        <v>63.360000000000007</v>
      </c>
      <c r="R418" s="1">
        <f>Table1[[#This Row],[Revenue]]+Table1[[#This Row],[VAT Charged]]</f>
        <v>380.16</v>
      </c>
      <c r="S418" s="1" cm="1">
        <f t="array" ref="S418">_xlfn.SWITCH(Table1[[#This Row],[Product ID]],"P001",140,"P002",80,"P003",72,"P004",30,"P005",110,"P006",24,"P007",14,"P008",12,"P009",115,"P010",360)</f>
        <v>24</v>
      </c>
      <c r="T418" s="1" cm="1">
        <f t="array" ref="T418">(_xlfn.SWITCH(Table1[[#This Row],[Product ID]],"P001",140,"P002",80,"P003",72,"P004",30,"P005",110,"P006",24,"P007",14,"P008",12,"P009",115,"P010",360))*Table1[[#This Row],[Quantity]]</f>
        <v>216</v>
      </c>
      <c r="U418" s="1" cm="1">
        <f t="array" ref="U418">_xlfn.SWITCH(Table1[[#This Row],[Product ID]],"P001",15,"P002",0,"P003",8,"P004",8,"P005",0,"P006",7,"P007",7,"P008",6,"P009",45,"P010",60)</f>
        <v>7</v>
      </c>
      <c r="V418" s="1">
        <f>Table1[[#This Row],[Shipping per Unit]]*Table1[[#This Row],[Quantity]]</f>
        <v>63</v>
      </c>
      <c r="W418" s="2">
        <f>IF(Table1[[#This Row],[Total Shipping]]&gt;0.1,0.2,0)</f>
        <v>0.2</v>
      </c>
      <c r="X418" s="4">
        <f>Table1[[#This Row],[Total Shipping]]*Table1[[#This Row],[VAT on Shipping]]</f>
        <v>12.600000000000001</v>
      </c>
      <c r="Y418" s="1">
        <f>Table1[[#This Row],[Revenue]]-Table1[[#This Row],[COGS]]</f>
        <v>100.80000000000001</v>
      </c>
      <c r="Z418" s="3">
        <f>(Table1[[#This Row],[Profit]]/Table1[[#This Row],[Revenue]])</f>
        <v>0.31818181818181823</v>
      </c>
      <c r="AA418" s="1">
        <f>Table1[[#This Row],[Profit]]-Table1[[#This Row],[Total Shipping]]</f>
        <v>37.800000000000011</v>
      </c>
      <c r="AB418" s="3">
        <f>Table1[[#This Row],[Operating Profit]]/Table1[[#This Row],[Revenue]]</f>
        <v>0.11931818181818185</v>
      </c>
    </row>
    <row r="419" spans="1:28" x14ac:dyDescent="0.25">
      <c r="A419" t="s">
        <v>232</v>
      </c>
      <c r="B419">
        <v>131</v>
      </c>
      <c r="C419" t="s">
        <v>71</v>
      </c>
      <c r="D419" t="s">
        <v>57</v>
      </c>
      <c r="E419" t="s">
        <v>40</v>
      </c>
      <c r="F419" t="s">
        <v>76</v>
      </c>
      <c r="G419" t="str" cm="1">
        <f t="array" ref="G419">_xlfn.SWITCH(F419,"Acme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419" t="s">
        <v>104</v>
      </c>
      <c r="I419" t="s">
        <v>75</v>
      </c>
      <c r="J419" t="str" cm="1">
        <f t="array" ref="J419">_xlfn.SWITCH(I419,"P001","Laptop","P002","Server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19" s="1" cm="1">
        <f t="array" ref="K419">_xlfn.SWITCH(Table1[[#This Row],[Product ID]],"P001",220,"P002",150,"P003",130,"P004",70,"P005",200,"P006",40,"P007",25,"P008",20,"P009",190,"P010",530)</f>
        <v>200</v>
      </c>
      <c r="L419">
        <v>6</v>
      </c>
      <c r="M419" s="1">
        <f>Table1[[#This Row],[Unit Price]]*Table1[[#This Row],[Quantity]]</f>
        <v>1200</v>
      </c>
      <c r="N419" s="2">
        <v>0.1</v>
      </c>
      <c r="O419" s="1">
        <f>Table1[[#This Row],[Gross Value]]*(1-Table1[[#This Row],[Discount]])</f>
        <v>1080</v>
      </c>
      <c r="P419" s="2">
        <v>0.2</v>
      </c>
      <c r="Q419" s="1">
        <f>Table1[[#This Row],[Revenue]]*Table1[[#This Row],[VAT Rate]]</f>
        <v>216</v>
      </c>
      <c r="R419" s="1">
        <f>Table1[[#This Row],[Revenue]]+Table1[[#This Row],[VAT Charged]]</f>
        <v>1296</v>
      </c>
      <c r="S419" s="1" cm="1">
        <f t="array" ref="S419">_xlfn.SWITCH(Table1[[#This Row],[Product ID]],"P001",140,"P002",80,"P003",72,"P004",30,"P005",110,"P006",24,"P007",14,"P008",12,"P009",115,"P010",360)</f>
        <v>110</v>
      </c>
      <c r="T419" s="1" cm="1">
        <f t="array" ref="T419">(_xlfn.SWITCH(Table1[[#This Row],[Product ID]],"P001",140,"P002",80,"P003",72,"P004",30,"P005",110,"P006",24,"P007",14,"P008",12,"P009",115,"P010",360))*Table1[[#This Row],[Quantity]]</f>
        <v>660</v>
      </c>
      <c r="U419" s="1" cm="1">
        <f t="array" ref="U419">_xlfn.SWITCH(Table1[[#This Row],[Product ID]],"P001",15,"P002",0,"P003",8,"P004",8,"P005",0,"P006",7,"P007",7,"P008",6,"P009",45,"P010",60)</f>
        <v>0</v>
      </c>
      <c r="V419" s="1">
        <f>Table1[[#This Row],[Shipping per Unit]]*Table1[[#This Row],[Quantity]]</f>
        <v>0</v>
      </c>
      <c r="W419" s="2">
        <f>IF(Table1[[#This Row],[Total Shipping]]&gt;0.1,0.2,0)</f>
        <v>0</v>
      </c>
      <c r="X419" s="4">
        <f>Table1[[#This Row],[Total Shipping]]*Table1[[#This Row],[VAT on Shipping]]</f>
        <v>0</v>
      </c>
      <c r="Y419" s="1">
        <f>Table1[[#This Row],[Revenue]]-Table1[[#This Row],[COGS]]</f>
        <v>420</v>
      </c>
      <c r="Z419" s="3">
        <f>(Table1[[#This Row],[Profit]]/Table1[[#This Row],[Revenue]])</f>
        <v>0.3888888888888889</v>
      </c>
      <c r="AA419" s="1">
        <f>Table1[[#This Row],[Profit]]-Table1[[#This Row],[Total Shipping]]</f>
        <v>420</v>
      </c>
      <c r="AB419" s="3">
        <f>Table1[[#This Row],[Operating Profit]]/Table1[[#This Row],[Revenue]]</f>
        <v>0.3888888888888889</v>
      </c>
    </row>
    <row r="420" spans="1:28" x14ac:dyDescent="0.25">
      <c r="A420" t="s">
        <v>232</v>
      </c>
      <c r="B420">
        <v>379</v>
      </c>
      <c r="C420" t="s">
        <v>71</v>
      </c>
      <c r="D420" t="s">
        <v>67</v>
      </c>
      <c r="E420" t="s">
        <v>40</v>
      </c>
      <c r="F420" t="s">
        <v>66</v>
      </c>
      <c r="G420" t="str" cm="1">
        <f t="array" ref="G420">_xlfn.SWITCH(F420,"Acme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420" t="s">
        <v>33</v>
      </c>
      <c r="I420" t="s">
        <v>60</v>
      </c>
      <c r="J420" t="str" cm="1">
        <f t="array" ref="J420">_xlfn.SWITCH(I420,"P001","Laptop","P002","Server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20" s="1" cm="1">
        <f t="array" ref="K420">_xlfn.SWITCH(Table1[[#This Row],[Product ID]],"P001",220,"P002",150,"P003",130,"P004",70,"P005",200,"P006",40,"P007",25,"P008",20,"P009",190,"P010",530)</f>
        <v>25</v>
      </c>
      <c r="L420">
        <v>7</v>
      </c>
      <c r="M420" s="1">
        <f>Table1[[#This Row],[Unit Price]]*Table1[[#This Row],[Quantity]]</f>
        <v>175</v>
      </c>
      <c r="N420" s="2">
        <v>0.1</v>
      </c>
      <c r="O420" s="1">
        <f>Table1[[#This Row],[Gross Value]]*(1-Table1[[#This Row],[Discount]])</f>
        <v>157.5</v>
      </c>
      <c r="P420" s="2">
        <v>0.2</v>
      </c>
      <c r="Q420" s="1">
        <f>Table1[[#This Row],[Revenue]]*Table1[[#This Row],[VAT Rate]]</f>
        <v>31.5</v>
      </c>
      <c r="R420" s="1">
        <f>Table1[[#This Row],[Revenue]]+Table1[[#This Row],[VAT Charged]]</f>
        <v>189</v>
      </c>
      <c r="S420" s="1" cm="1">
        <f t="array" ref="S420">_xlfn.SWITCH(Table1[[#This Row],[Product ID]],"P001",140,"P002",80,"P003",72,"P004",30,"P005",110,"P006",24,"P007",14,"P008",12,"P009",115,"P010",360)</f>
        <v>14</v>
      </c>
      <c r="T420" s="1" cm="1">
        <f t="array" ref="T420">(_xlfn.SWITCH(Table1[[#This Row],[Product ID]],"P001",140,"P002",80,"P003",72,"P004",30,"P005",110,"P006",24,"P007",14,"P008",12,"P009",115,"P010",360))*Table1[[#This Row],[Quantity]]</f>
        <v>98</v>
      </c>
      <c r="U420" s="1" cm="1">
        <f t="array" ref="U420">_xlfn.SWITCH(Table1[[#This Row],[Product ID]],"P001",15,"P002",0,"P003",8,"P004",8,"P005",0,"P006",7,"P007",7,"P008",6,"P009",45,"P010",60)</f>
        <v>7</v>
      </c>
      <c r="V420" s="1">
        <f>Table1[[#This Row],[Shipping per Unit]]*Table1[[#This Row],[Quantity]]</f>
        <v>49</v>
      </c>
      <c r="W420" s="2">
        <f>IF(Table1[[#This Row],[Total Shipping]]&gt;0.1,0.2,0)</f>
        <v>0.2</v>
      </c>
      <c r="X420" s="4">
        <f>Table1[[#This Row],[Total Shipping]]*Table1[[#This Row],[VAT on Shipping]]</f>
        <v>9.8000000000000007</v>
      </c>
      <c r="Y420" s="1">
        <f>Table1[[#This Row],[Revenue]]-Table1[[#This Row],[COGS]]</f>
        <v>59.5</v>
      </c>
      <c r="Z420" s="3">
        <f>(Table1[[#This Row],[Profit]]/Table1[[#This Row],[Revenue]])</f>
        <v>0.37777777777777777</v>
      </c>
      <c r="AA420" s="1">
        <f>Table1[[#This Row],[Profit]]-Table1[[#This Row],[Total Shipping]]</f>
        <v>10.5</v>
      </c>
      <c r="AB420" s="3">
        <f>Table1[[#This Row],[Operating Profit]]/Table1[[#This Row],[Revenue]]</f>
        <v>6.6666666666666666E-2</v>
      </c>
    </row>
    <row r="421" spans="1:28" x14ac:dyDescent="0.25">
      <c r="A421" t="s">
        <v>232</v>
      </c>
      <c r="B421">
        <v>395</v>
      </c>
      <c r="C421" t="s">
        <v>38</v>
      </c>
      <c r="D421" t="s">
        <v>63</v>
      </c>
      <c r="E421" t="s">
        <v>40</v>
      </c>
      <c r="F421" t="s">
        <v>103</v>
      </c>
      <c r="G421" t="str" cm="1">
        <f t="array" ref="G421">_xlfn.SWITCH(F421,"Acme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421" t="s">
        <v>45</v>
      </c>
      <c r="I421" t="s">
        <v>70</v>
      </c>
      <c r="J421" t="str" cm="1">
        <f t="array" ref="J421">_xlfn.SWITCH(I421,"P001","Laptop","P002","Server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21" s="1" cm="1">
        <f t="array" ref="K421">_xlfn.SWITCH(Table1[[#This Row],[Product ID]],"P001",220,"P002",150,"P003",130,"P004",70,"P005",200,"P006",40,"P007",25,"P008",20,"P009",190,"P010",530)</f>
        <v>150</v>
      </c>
      <c r="L421">
        <v>8</v>
      </c>
      <c r="M421" s="1">
        <f>Table1[[#This Row],[Unit Price]]*Table1[[#This Row],[Quantity]]</f>
        <v>1200</v>
      </c>
      <c r="N421" s="2">
        <v>0.09</v>
      </c>
      <c r="O421" s="1">
        <f>Table1[[#This Row],[Gross Value]]*(1-Table1[[#This Row],[Discount]])</f>
        <v>1092</v>
      </c>
      <c r="P421" s="2">
        <v>0.2</v>
      </c>
      <c r="Q421" s="1">
        <f>Table1[[#This Row],[Revenue]]*Table1[[#This Row],[VAT Rate]]</f>
        <v>218.4</v>
      </c>
      <c r="R421" s="1">
        <f>Table1[[#This Row],[Revenue]]+Table1[[#This Row],[VAT Charged]]</f>
        <v>1310.4000000000001</v>
      </c>
      <c r="S421" s="1" cm="1">
        <f t="array" ref="S421">_xlfn.SWITCH(Table1[[#This Row],[Product ID]],"P001",140,"P002",80,"P003",72,"P004",30,"P005",110,"P006",24,"P007",14,"P008",12,"P009",115,"P010",360)</f>
        <v>80</v>
      </c>
      <c r="T421" s="1" cm="1">
        <f t="array" ref="T421">(_xlfn.SWITCH(Table1[[#This Row],[Product ID]],"P001",140,"P002",80,"P003",72,"P004",30,"P005",110,"P006",24,"P007",14,"P008",12,"P009",115,"P010",360))*Table1[[#This Row],[Quantity]]</f>
        <v>640</v>
      </c>
      <c r="U421" s="1" cm="1">
        <f t="array" ref="U421">_xlfn.SWITCH(Table1[[#This Row],[Product ID]],"P001",15,"P002",0,"P003",8,"P004",8,"P005",0,"P006",7,"P007",7,"P008",6,"P009",45,"P010",60)</f>
        <v>0</v>
      </c>
      <c r="V421" s="1">
        <f>Table1[[#This Row],[Shipping per Unit]]*Table1[[#This Row],[Quantity]]</f>
        <v>0</v>
      </c>
      <c r="W421" s="2">
        <f>IF(Table1[[#This Row],[Total Shipping]]&gt;0.1,0.2,0)</f>
        <v>0</v>
      </c>
      <c r="X421" s="4">
        <f>Table1[[#This Row],[Total Shipping]]*Table1[[#This Row],[VAT on Shipping]]</f>
        <v>0</v>
      </c>
      <c r="Y421" s="1">
        <f>Table1[[#This Row],[Revenue]]-Table1[[#This Row],[COGS]]</f>
        <v>452</v>
      </c>
      <c r="Z421" s="3">
        <f>(Table1[[#This Row],[Profit]]/Table1[[#This Row],[Revenue]])</f>
        <v>0.41391941391941389</v>
      </c>
      <c r="AA421" s="1">
        <f>Table1[[#This Row],[Profit]]-Table1[[#This Row],[Total Shipping]]</f>
        <v>452</v>
      </c>
      <c r="AB421" s="3">
        <f>Table1[[#This Row],[Operating Profit]]/Table1[[#This Row],[Revenue]]</f>
        <v>0.41391941391941389</v>
      </c>
    </row>
    <row r="422" spans="1:28" x14ac:dyDescent="0.25">
      <c r="A422" t="s">
        <v>232</v>
      </c>
      <c r="B422">
        <v>577</v>
      </c>
      <c r="C422" t="s">
        <v>29</v>
      </c>
      <c r="D422" t="s">
        <v>36</v>
      </c>
      <c r="E422" t="s">
        <v>49</v>
      </c>
      <c r="F422" t="s">
        <v>79</v>
      </c>
      <c r="G422" t="str" cm="1">
        <f t="array" ref="G422">_xlfn.SWITCH(F422,"Acme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422" t="s">
        <v>58</v>
      </c>
      <c r="I422" t="s">
        <v>68</v>
      </c>
      <c r="J422" t="str" cm="1">
        <f t="array" ref="J422">_xlfn.SWITCH(I422,"P001","Laptop","P002","Server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422" s="1" cm="1">
        <f t="array" ref="K422">_xlfn.SWITCH(Table1[[#This Row],[Product ID]],"P001",220,"P002",150,"P003",130,"P004",70,"P005",200,"P006",40,"P007",25,"P008",20,"P009",190,"P010",530)</f>
        <v>220</v>
      </c>
      <c r="L422">
        <v>5</v>
      </c>
      <c r="M422" s="1">
        <f>Table1[[#This Row],[Unit Price]]*Table1[[#This Row],[Quantity]]</f>
        <v>1100</v>
      </c>
      <c r="N422" s="2">
        <v>0.06</v>
      </c>
      <c r="O422" s="1">
        <f>Table1[[#This Row],[Gross Value]]*(1-Table1[[#This Row],[Discount]])</f>
        <v>1034</v>
      </c>
      <c r="P422" s="2">
        <v>0.2</v>
      </c>
      <c r="Q422" s="1">
        <f>Table1[[#This Row],[Revenue]]*Table1[[#This Row],[VAT Rate]]</f>
        <v>206.8</v>
      </c>
      <c r="R422" s="1">
        <f>Table1[[#This Row],[Revenue]]+Table1[[#This Row],[VAT Charged]]</f>
        <v>1240.8</v>
      </c>
      <c r="S422" s="1" cm="1">
        <f t="array" ref="S422">_xlfn.SWITCH(Table1[[#This Row],[Product ID]],"P001",140,"P002",80,"P003",72,"P004",30,"P005",110,"P006",24,"P007",14,"P008",12,"P009",115,"P010",360)</f>
        <v>140</v>
      </c>
      <c r="T422" s="1" cm="1">
        <f t="array" ref="T422">(_xlfn.SWITCH(Table1[[#This Row],[Product ID]],"P001",140,"P002",80,"P003",72,"P004",30,"P005",110,"P006",24,"P007",14,"P008",12,"P009",115,"P010",360))*Table1[[#This Row],[Quantity]]</f>
        <v>700</v>
      </c>
      <c r="U422" s="1" cm="1">
        <f t="array" ref="U422">_xlfn.SWITCH(Table1[[#This Row],[Product ID]],"P001",15,"P002",0,"P003",8,"P004",8,"P005",0,"P006",7,"P007",7,"P008",6,"P009",45,"P010",60)</f>
        <v>15</v>
      </c>
      <c r="V422" s="1">
        <f>Table1[[#This Row],[Shipping per Unit]]*Table1[[#This Row],[Quantity]]</f>
        <v>75</v>
      </c>
      <c r="W422" s="2">
        <f>IF(Table1[[#This Row],[Total Shipping]]&gt;0.1,0.2,0)</f>
        <v>0.2</v>
      </c>
      <c r="X422" s="4">
        <f>Table1[[#This Row],[Total Shipping]]*Table1[[#This Row],[VAT on Shipping]]</f>
        <v>15</v>
      </c>
      <c r="Y422" s="1">
        <f>Table1[[#This Row],[Revenue]]-Table1[[#This Row],[COGS]]</f>
        <v>334</v>
      </c>
      <c r="Z422" s="3">
        <f>(Table1[[#This Row],[Profit]]/Table1[[#This Row],[Revenue]])</f>
        <v>0.32301740812379109</v>
      </c>
      <c r="AA422" s="1">
        <f>Table1[[#This Row],[Profit]]-Table1[[#This Row],[Total Shipping]]</f>
        <v>259</v>
      </c>
      <c r="AB422" s="3">
        <f>Table1[[#This Row],[Operating Profit]]/Table1[[#This Row],[Revenue]]</f>
        <v>0.25048355899419728</v>
      </c>
    </row>
    <row r="423" spans="1:28" x14ac:dyDescent="0.25">
      <c r="A423" t="s">
        <v>233</v>
      </c>
      <c r="B423">
        <v>847</v>
      </c>
      <c r="C423" t="s">
        <v>35</v>
      </c>
      <c r="D423" t="s">
        <v>72</v>
      </c>
      <c r="E423" t="s">
        <v>49</v>
      </c>
      <c r="F423" t="s">
        <v>76</v>
      </c>
      <c r="G423" t="str" cm="1">
        <f t="array" ref="G423">_xlfn.SWITCH(F423,"Acme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423" t="s">
        <v>33</v>
      </c>
      <c r="I423" t="s">
        <v>42</v>
      </c>
      <c r="J423" t="str" cm="1">
        <f t="array" ref="J423">_xlfn.SWITCH(I423,"P001","Laptop","P002","Server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23" s="1" cm="1">
        <f t="array" ref="K423">_xlfn.SWITCH(Table1[[#This Row],[Product ID]],"P001",220,"P002",150,"P003",130,"P004",70,"P005",200,"P006",40,"P007",25,"P008",20,"P009",190,"P010",530)</f>
        <v>40</v>
      </c>
      <c r="L423">
        <v>2</v>
      </c>
      <c r="M423" s="1">
        <f>Table1[[#This Row],[Unit Price]]*Table1[[#This Row],[Quantity]]</f>
        <v>80</v>
      </c>
      <c r="N423" s="2">
        <v>0.03</v>
      </c>
      <c r="O423" s="1">
        <f>Table1[[#This Row],[Gross Value]]*(1-Table1[[#This Row],[Discount]])</f>
        <v>77.599999999999994</v>
      </c>
      <c r="P423" s="2">
        <v>0.2</v>
      </c>
      <c r="Q423" s="1">
        <f>Table1[[#This Row],[Revenue]]*Table1[[#This Row],[VAT Rate]]</f>
        <v>15.52</v>
      </c>
      <c r="R423" s="1">
        <f>Table1[[#This Row],[Revenue]]+Table1[[#This Row],[VAT Charged]]</f>
        <v>93.11999999999999</v>
      </c>
      <c r="S423" s="1" cm="1">
        <f t="array" ref="S423">_xlfn.SWITCH(Table1[[#This Row],[Product ID]],"P001",140,"P002",80,"P003",72,"P004",30,"P005",110,"P006",24,"P007",14,"P008",12,"P009",115,"P010",360)</f>
        <v>24</v>
      </c>
      <c r="T423" s="1" cm="1">
        <f t="array" ref="T423">(_xlfn.SWITCH(Table1[[#This Row],[Product ID]],"P001",140,"P002",80,"P003",72,"P004",30,"P005",110,"P006",24,"P007",14,"P008",12,"P009",115,"P010",360))*Table1[[#This Row],[Quantity]]</f>
        <v>48</v>
      </c>
      <c r="U423" s="1" cm="1">
        <f t="array" ref="U423">_xlfn.SWITCH(Table1[[#This Row],[Product ID]],"P001",15,"P002",0,"P003",8,"P004",8,"P005",0,"P006",7,"P007",7,"P008",6,"P009",45,"P010",60)</f>
        <v>7</v>
      </c>
      <c r="V423" s="1">
        <f>Table1[[#This Row],[Shipping per Unit]]*Table1[[#This Row],[Quantity]]</f>
        <v>14</v>
      </c>
      <c r="W423" s="2">
        <f>IF(Table1[[#This Row],[Total Shipping]]&gt;0.1,0.2,0)</f>
        <v>0.2</v>
      </c>
      <c r="X423" s="4">
        <f>Table1[[#This Row],[Total Shipping]]*Table1[[#This Row],[VAT on Shipping]]</f>
        <v>2.8000000000000003</v>
      </c>
      <c r="Y423" s="1">
        <f>Table1[[#This Row],[Revenue]]-Table1[[#This Row],[COGS]]</f>
        <v>29.599999999999994</v>
      </c>
      <c r="Z423" s="3">
        <f>(Table1[[#This Row],[Profit]]/Table1[[#This Row],[Revenue]])</f>
        <v>0.38144329896907214</v>
      </c>
      <c r="AA423" s="1">
        <f>Table1[[#This Row],[Profit]]-Table1[[#This Row],[Total Shipping]]</f>
        <v>15.599999999999994</v>
      </c>
      <c r="AB423" s="3">
        <f>Table1[[#This Row],[Operating Profit]]/Table1[[#This Row],[Revenue]]</f>
        <v>0.2010309278350515</v>
      </c>
    </row>
    <row r="424" spans="1:28" x14ac:dyDescent="0.25">
      <c r="A424" t="s">
        <v>234</v>
      </c>
      <c r="B424">
        <v>121</v>
      </c>
      <c r="C424" t="s">
        <v>65</v>
      </c>
      <c r="D424" t="s">
        <v>63</v>
      </c>
      <c r="E424" t="s">
        <v>49</v>
      </c>
      <c r="F424" t="s">
        <v>41</v>
      </c>
      <c r="G424" t="str" cm="1">
        <f t="array" ref="G424">_xlfn.SWITCH(F424,"Acme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424" t="s">
        <v>33</v>
      </c>
      <c r="I424" t="s">
        <v>52</v>
      </c>
      <c r="J424" t="str" cm="1">
        <f t="array" ref="J424">_xlfn.SWITCH(I424,"P001","Laptop","P002","Server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24" s="1" cm="1">
        <f t="array" ref="K424">_xlfn.SWITCH(Table1[[#This Row],[Product ID]],"P001",220,"P002",150,"P003",130,"P004",70,"P005",200,"P006",40,"P007",25,"P008",20,"P009",190,"P010",530)</f>
        <v>130</v>
      </c>
      <c r="L424">
        <v>18</v>
      </c>
      <c r="M424" s="1">
        <f>Table1[[#This Row],[Unit Price]]*Table1[[#This Row],[Quantity]]</f>
        <v>2340</v>
      </c>
      <c r="N424" s="2">
        <v>0.05</v>
      </c>
      <c r="O424" s="1">
        <f>Table1[[#This Row],[Gross Value]]*(1-Table1[[#This Row],[Discount]])</f>
        <v>2223</v>
      </c>
      <c r="P424" s="2">
        <v>0.2</v>
      </c>
      <c r="Q424" s="1">
        <f>Table1[[#This Row],[Revenue]]*Table1[[#This Row],[VAT Rate]]</f>
        <v>444.6</v>
      </c>
      <c r="R424" s="1">
        <f>Table1[[#This Row],[Revenue]]+Table1[[#This Row],[VAT Charged]]</f>
        <v>2667.6</v>
      </c>
      <c r="S424" s="1" cm="1">
        <f t="array" ref="S424">_xlfn.SWITCH(Table1[[#This Row],[Product ID]],"P001",140,"P002",80,"P003",72,"P004",30,"P005",110,"P006",24,"P007",14,"P008",12,"P009",115,"P010",360)</f>
        <v>72</v>
      </c>
      <c r="T424" s="1" cm="1">
        <f t="array" ref="T424">(_xlfn.SWITCH(Table1[[#This Row],[Product ID]],"P001",140,"P002",80,"P003",72,"P004",30,"P005",110,"P006",24,"P007",14,"P008",12,"P009",115,"P010",360))*Table1[[#This Row],[Quantity]]</f>
        <v>1296</v>
      </c>
      <c r="U424" s="1" cm="1">
        <f t="array" ref="U424">_xlfn.SWITCH(Table1[[#This Row],[Product ID]],"P001",15,"P002",0,"P003",8,"P004",8,"P005",0,"P006",7,"P007",7,"P008",6,"P009",45,"P010",60)</f>
        <v>8</v>
      </c>
      <c r="V424" s="1">
        <f>Table1[[#This Row],[Shipping per Unit]]*Table1[[#This Row],[Quantity]]</f>
        <v>144</v>
      </c>
      <c r="W424" s="2">
        <f>IF(Table1[[#This Row],[Total Shipping]]&gt;0.1,0.2,0)</f>
        <v>0.2</v>
      </c>
      <c r="X424" s="4">
        <f>Table1[[#This Row],[Total Shipping]]*Table1[[#This Row],[VAT on Shipping]]</f>
        <v>28.8</v>
      </c>
      <c r="Y424" s="1">
        <f>Table1[[#This Row],[Revenue]]-Table1[[#This Row],[COGS]]</f>
        <v>927</v>
      </c>
      <c r="Z424" s="3">
        <f>(Table1[[#This Row],[Profit]]/Table1[[#This Row],[Revenue]])</f>
        <v>0.41700404858299595</v>
      </c>
      <c r="AA424" s="1">
        <f>Table1[[#This Row],[Profit]]-Table1[[#This Row],[Total Shipping]]</f>
        <v>783</v>
      </c>
      <c r="AB424" s="3">
        <f>Table1[[#This Row],[Operating Profit]]/Table1[[#This Row],[Revenue]]</f>
        <v>0.35222672064777327</v>
      </c>
    </row>
    <row r="425" spans="1:28" x14ac:dyDescent="0.25">
      <c r="A425" t="s">
        <v>235</v>
      </c>
      <c r="B425">
        <v>342</v>
      </c>
      <c r="C425" t="s">
        <v>65</v>
      </c>
      <c r="D425" t="s">
        <v>57</v>
      </c>
      <c r="E425" t="s">
        <v>49</v>
      </c>
      <c r="F425" t="s">
        <v>64</v>
      </c>
      <c r="G425" t="str" cm="1">
        <f t="array" ref="G425">_xlfn.SWITCH(F425,"Acme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425" t="s">
        <v>33</v>
      </c>
      <c r="I425" t="s">
        <v>42</v>
      </c>
      <c r="J425" t="str" cm="1">
        <f t="array" ref="J425">_xlfn.SWITCH(I425,"P001","Laptop","P002","Server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25" s="1" cm="1">
        <f t="array" ref="K425">_xlfn.SWITCH(Table1[[#This Row],[Product ID]],"P001",220,"P002",150,"P003",130,"P004",70,"P005",200,"P006",40,"P007",25,"P008",20,"P009",190,"P010",530)</f>
        <v>40</v>
      </c>
      <c r="L425">
        <v>13</v>
      </c>
      <c r="M425" s="1">
        <f>Table1[[#This Row],[Unit Price]]*Table1[[#This Row],[Quantity]]</f>
        <v>520</v>
      </c>
      <c r="N425" s="2">
        <v>0.02</v>
      </c>
      <c r="O425" s="1">
        <f>Table1[[#This Row],[Gross Value]]*(1-Table1[[#This Row],[Discount]])</f>
        <v>509.59999999999997</v>
      </c>
      <c r="P425" s="2">
        <v>0.2</v>
      </c>
      <c r="Q425" s="1">
        <f>Table1[[#This Row],[Revenue]]*Table1[[#This Row],[VAT Rate]]</f>
        <v>101.92</v>
      </c>
      <c r="R425" s="1">
        <f>Table1[[#This Row],[Revenue]]+Table1[[#This Row],[VAT Charged]]</f>
        <v>611.52</v>
      </c>
      <c r="S425" s="1" cm="1">
        <f t="array" ref="S425">_xlfn.SWITCH(Table1[[#This Row],[Product ID]],"P001",140,"P002",80,"P003",72,"P004",30,"P005",110,"P006",24,"P007",14,"P008",12,"P009",115,"P010",360)</f>
        <v>24</v>
      </c>
      <c r="T425" s="1" cm="1">
        <f t="array" ref="T425">(_xlfn.SWITCH(Table1[[#This Row],[Product ID]],"P001",140,"P002",80,"P003",72,"P004",30,"P005",110,"P006",24,"P007",14,"P008",12,"P009",115,"P010",360))*Table1[[#This Row],[Quantity]]</f>
        <v>312</v>
      </c>
      <c r="U425" s="1" cm="1">
        <f t="array" ref="U425">_xlfn.SWITCH(Table1[[#This Row],[Product ID]],"P001",15,"P002",0,"P003",8,"P004",8,"P005",0,"P006",7,"P007",7,"P008",6,"P009",45,"P010",60)</f>
        <v>7</v>
      </c>
      <c r="V425" s="1">
        <f>Table1[[#This Row],[Shipping per Unit]]*Table1[[#This Row],[Quantity]]</f>
        <v>91</v>
      </c>
      <c r="W425" s="2">
        <f>IF(Table1[[#This Row],[Total Shipping]]&gt;0.1,0.2,0)</f>
        <v>0.2</v>
      </c>
      <c r="X425" s="4">
        <f>Table1[[#This Row],[Total Shipping]]*Table1[[#This Row],[VAT on Shipping]]</f>
        <v>18.2</v>
      </c>
      <c r="Y425" s="1">
        <f>Table1[[#This Row],[Revenue]]-Table1[[#This Row],[COGS]]</f>
        <v>197.59999999999997</v>
      </c>
      <c r="Z425" s="3">
        <f>(Table1[[#This Row],[Profit]]/Table1[[#This Row],[Revenue]])</f>
        <v>0.38775510204081631</v>
      </c>
      <c r="AA425" s="1">
        <f>Table1[[#This Row],[Profit]]-Table1[[#This Row],[Total Shipping]]</f>
        <v>106.59999999999997</v>
      </c>
      <c r="AB425" s="3">
        <f>Table1[[#This Row],[Operating Profit]]/Table1[[#This Row],[Revenue]]</f>
        <v>0.20918367346938771</v>
      </c>
    </row>
    <row r="426" spans="1:28" x14ac:dyDescent="0.25">
      <c r="A426" t="s">
        <v>235</v>
      </c>
      <c r="B426">
        <v>464</v>
      </c>
      <c r="C426" t="s">
        <v>83</v>
      </c>
      <c r="D426" t="s">
        <v>57</v>
      </c>
      <c r="E426" t="s">
        <v>40</v>
      </c>
      <c r="F426" t="s">
        <v>50</v>
      </c>
      <c r="G426" t="str" cm="1">
        <f t="array" ref="G426">_xlfn.SWITCH(F426,"Acme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426" t="s">
        <v>33</v>
      </c>
      <c r="I426" t="s">
        <v>55</v>
      </c>
      <c r="J426" t="str" cm="1">
        <f t="array" ref="J426">_xlfn.SWITCH(I426,"P001","Laptop","P002","Server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26" s="1" cm="1">
        <f t="array" ref="K426">_xlfn.SWITCH(Table1[[#This Row],[Product ID]],"P001",220,"P002",150,"P003",130,"P004",70,"P005",200,"P006",40,"P007",25,"P008",20,"P009",190,"P010",530)</f>
        <v>70</v>
      </c>
      <c r="L426">
        <v>12</v>
      </c>
      <c r="M426" s="1">
        <f>Table1[[#This Row],[Unit Price]]*Table1[[#This Row],[Quantity]]</f>
        <v>840</v>
      </c>
      <c r="N426" s="2">
        <v>0.06</v>
      </c>
      <c r="O426" s="1">
        <f>Table1[[#This Row],[Gross Value]]*(1-Table1[[#This Row],[Discount]])</f>
        <v>789.59999999999991</v>
      </c>
      <c r="P426" s="2">
        <v>0.2</v>
      </c>
      <c r="Q426" s="1">
        <f>Table1[[#This Row],[Revenue]]*Table1[[#This Row],[VAT Rate]]</f>
        <v>157.91999999999999</v>
      </c>
      <c r="R426" s="1">
        <f>Table1[[#This Row],[Revenue]]+Table1[[#This Row],[VAT Charged]]</f>
        <v>947.51999999999987</v>
      </c>
      <c r="S426" s="1" cm="1">
        <f t="array" ref="S426">_xlfn.SWITCH(Table1[[#This Row],[Product ID]],"P001",140,"P002",80,"P003",72,"P004",30,"P005",110,"P006",24,"P007",14,"P008",12,"P009",115,"P010",360)</f>
        <v>30</v>
      </c>
      <c r="T426" s="1" cm="1">
        <f t="array" ref="T426">(_xlfn.SWITCH(Table1[[#This Row],[Product ID]],"P001",140,"P002",80,"P003",72,"P004",30,"P005",110,"P006",24,"P007",14,"P008",12,"P009",115,"P010",360))*Table1[[#This Row],[Quantity]]</f>
        <v>360</v>
      </c>
      <c r="U426" s="1" cm="1">
        <f t="array" ref="U426">_xlfn.SWITCH(Table1[[#This Row],[Product ID]],"P001",15,"P002",0,"P003",8,"P004",8,"P005",0,"P006",7,"P007",7,"P008",6,"P009",45,"P010",60)</f>
        <v>8</v>
      </c>
      <c r="V426" s="1">
        <f>Table1[[#This Row],[Shipping per Unit]]*Table1[[#This Row],[Quantity]]</f>
        <v>96</v>
      </c>
      <c r="W426" s="2">
        <f>IF(Table1[[#This Row],[Total Shipping]]&gt;0.1,0.2,0)</f>
        <v>0.2</v>
      </c>
      <c r="X426" s="4">
        <f>Table1[[#This Row],[Total Shipping]]*Table1[[#This Row],[VAT on Shipping]]</f>
        <v>19.200000000000003</v>
      </c>
      <c r="Y426" s="1">
        <f>Table1[[#This Row],[Revenue]]-Table1[[#This Row],[COGS]]</f>
        <v>429.59999999999991</v>
      </c>
      <c r="Z426" s="3">
        <f>(Table1[[#This Row],[Profit]]/Table1[[#This Row],[Revenue]])</f>
        <v>0.54407294832826747</v>
      </c>
      <c r="AA426" s="1">
        <f>Table1[[#This Row],[Profit]]-Table1[[#This Row],[Total Shipping]]</f>
        <v>333.59999999999991</v>
      </c>
      <c r="AB426" s="3">
        <f>Table1[[#This Row],[Operating Profit]]/Table1[[#This Row],[Revenue]]</f>
        <v>0.42249240121580539</v>
      </c>
    </row>
    <row r="427" spans="1:28" x14ac:dyDescent="0.25">
      <c r="A427" t="s">
        <v>235</v>
      </c>
      <c r="B427">
        <v>526</v>
      </c>
      <c r="C427" t="s">
        <v>29</v>
      </c>
      <c r="D427" t="s">
        <v>36</v>
      </c>
      <c r="E427" t="s">
        <v>40</v>
      </c>
      <c r="F427" t="s">
        <v>74</v>
      </c>
      <c r="G427" t="str" cm="1">
        <f t="array" ref="G427">_xlfn.SWITCH(F427,"Acme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427" t="s">
        <v>51</v>
      </c>
      <c r="I427" t="s">
        <v>42</v>
      </c>
      <c r="J427" t="str" cm="1">
        <f t="array" ref="J427">_xlfn.SWITCH(I427,"P001","Laptop","P002","Server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27" s="1" cm="1">
        <f t="array" ref="K427">_xlfn.SWITCH(Table1[[#This Row],[Product ID]],"P001",220,"P002",150,"P003",130,"P004",70,"P005",200,"P006",40,"P007",25,"P008",20,"P009",190,"P010",530)</f>
        <v>40</v>
      </c>
      <c r="L427">
        <v>8</v>
      </c>
      <c r="M427" s="1">
        <f>Table1[[#This Row],[Unit Price]]*Table1[[#This Row],[Quantity]]</f>
        <v>320</v>
      </c>
      <c r="N427" s="2">
        <v>0.06</v>
      </c>
      <c r="O427" s="1">
        <f>Table1[[#This Row],[Gross Value]]*(1-Table1[[#This Row],[Discount]])</f>
        <v>300.79999999999995</v>
      </c>
      <c r="P427" s="2">
        <v>0.2</v>
      </c>
      <c r="Q427" s="1">
        <f>Table1[[#This Row],[Revenue]]*Table1[[#This Row],[VAT Rate]]</f>
        <v>60.16</v>
      </c>
      <c r="R427" s="1">
        <f>Table1[[#This Row],[Revenue]]+Table1[[#This Row],[VAT Charged]]</f>
        <v>360.95999999999992</v>
      </c>
      <c r="S427" s="1" cm="1">
        <f t="array" ref="S427">_xlfn.SWITCH(Table1[[#This Row],[Product ID]],"P001",140,"P002",80,"P003",72,"P004",30,"P005",110,"P006",24,"P007",14,"P008",12,"P009",115,"P010",360)</f>
        <v>24</v>
      </c>
      <c r="T427" s="1" cm="1">
        <f t="array" ref="T427">(_xlfn.SWITCH(Table1[[#This Row],[Product ID]],"P001",140,"P002",80,"P003",72,"P004",30,"P005",110,"P006",24,"P007",14,"P008",12,"P009",115,"P010",360))*Table1[[#This Row],[Quantity]]</f>
        <v>192</v>
      </c>
      <c r="U427" s="1" cm="1">
        <f t="array" ref="U427">_xlfn.SWITCH(Table1[[#This Row],[Product ID]],"P001",15,"P002",0,"P003",8,"P004",8,"P005",0,"P006",7,"P007",7,"P008",6,"P009",45,"P010",60)</f>
        <v>7</v>
      </c>
      <c r="V427" s="1">
        <f>Table1[[#This Row],[Shipping per Unit]]*Table1[[#This Row],[Quantity]]</f>
        <v>56</v>
      </c>
      <c r="W427" s="2">
        <f>IF(Table1[[#This Row],[Total Shipping]]&gt;0.1,0.2,0)</f>
        <v>0.2</v>
      </c>
      <c r="X427" s="4">
        <f>Table1[[#This Row],[Total Shipping]]*Table1[[#This Row],[VAT on Shipping]]</f>
        <v>11.200000000000001</v>
      </c>
      <c r="Y427" s="1">
        <f>Table1[[#This Row],[Revenue]]-Table1[[#This Row],[COGS]]</f>
        <v>108.79999999999995</v>
      </c>
      <c r="Z427" s="3">
        <f>(Table1[[#This Row],[Profit]]/Table1[[#This Row],[Revenue]])</f>
        <v>0.36170212765957438</v>
      </c>
      <c r="AA427" s="1">
        <f>Table1[[#This Row],[Profit]]-Table1[[#This Row],[Total Shipping]]</f>
        <v>52.799999999999955</v>
      </c>
      <c r="AB427" s="3">
        <f>Table1[[#This Row],[Operating Profit]]/Table1[[#This Row],[Revenue]]</f>
        <v>0.17553191489361689</v>
      </c>
    </row>
    <row r="428" spans="1:28" x14ac:dyDescent="0.25">
      <c r="A428" t="s">
        <v>235</v>
      </c>
      <c r="B428">
        <v>621</v>
      </c>
      <c r="C428" t="s">
        <v>71</v>
      </c>
      <c r="D428" t="s">
        <v>72</v>
      </c>
      <c r="E428" t="s">
        <v>40</v>
      </c>
      <c r="F428" t="s">
        <v>66</v>
      </c>
      <c r="G428" t="str" cm="1">
        <f t="array" ref="G428">_xlfn.SWITCH(F428,"Acme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428" t="s">
        <v>33</v>
      </c>
      <c r="I428" t="s">
        <v>60</v>
      </c>
      <c r="J428" t="str" cm="1">
        <f t="array" ref="J428">_xlfn.SWITCH(I428,"P001","Laptop","P002","Server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28" s="1" cm="1">
        <f t="array" ref="K428">_xlfn.SWITCH(Table1[[#This Row],[Product ID]],"P001",220,"P002",150,"P003",130,"P004",70,"P005",200,"P006",40,"P007",25,"P008",20,"P009",190,"P010",530)</f>
        <v>25</v>
      </c>
      <c r="L428">
        <v>1</v>
      </c>
      <c r="M428" s="1">
        <f>Table1[[#This Row],[Unit Price]]*Table1[[#This Row],[Quantity]]</f>
        <v>25</v>
      </c>
      <c r="N428" s="2">
        <v>0.02</v>
      </c>
      <c r="O428" s="1">
        <f>Table1[[#This Row],[Gross Value]]*(1-Table1[[#This Row],[Discount]])</f>
        <v>24.5</v>
      </c>
      <c r="P428" s="2">
        <v>0.2</v>
      </c>
      <c r="Q428" s="1">
        <f>Table1[[#This Row],[Revenue]]*Table1[[#This Row],[VAT Rate]]</f>
        <v>4.9000000000000004</v>
      </c>
      <c r="R428" s="1">
        <f>Table1[[#This Row],[Revenue]]+Table1[[#This Row],[VAT Charged]]</f>
        <v>29.4</v>
      </c>
      <c r="S428" s="1" cm="1">
        <f t="array" ref="S428">_xlfn.SWITCH(Table1[[#This Row],[Product ID]],"P001",140,"P002",80,"P003",72,"P004",30,"P005",110,"P006",24,"P007",14,"P008",12,"P009",115,"P010",360)</f>
        <v>14</v>
      </c>
      <c r="T428" s="1" cm="1">
        <f t="array" ref="T428">(_xlfn.SWITCH(Table1[[#This Row],[Product ID]],"P001",140,"P002",80,"P003",72,"P004",30,"P005",110,"P006",24,"P007",14,"P008",12,"P009",115,"P010",360))*Table1[[#This Row],[Quantity]]</f>
        <v>14</v>
      </c>
      <c r="U428" s="1" cm="1">
        <f t="array" ref="U428">_xlfn.SWITCH(Table1[[#This Row],[Product ID]],"P001",15,"P002",0,"P003",8,"P004",8,"P005",0,"P006",7,"P007",7,"P008",6,"P009",45,"P010",60)</f>
        <v>7</v>
      </c>
      <c r="V428" s="1">
        <f>Table1[[#This Row],[Shipping per Unit]]*Table1[[#This Row],[Quantity]]</f>
        <v>7</v>
      </c>
      <c r="W428" s="2">
        <f>IF(Table1[[#This Row],[Total Shipping]]&gt;0.1,0.2,0)</f>
        <v>0.2</v>
      </c>
      <c r="X428" s="4">
        <f>Table1[[#This Row],[Total Shipping]]*Table1[[#This Row],[VAT on Shipping]]</f>
        <v>1.4000000000000001</v>
      </c>
      <c r="Y428" s="1">
        <f>Table1[[#This Row],[Revenue]]-Table1[[#This Row],[COGS]]</f>
        <v>10.5</v>
      </c>
      <c r="Z428" s="3">
        <f>(Table1[[#This Row],[Profit]]/Table1[[#This Row],[Revenue]])</f>
        <v>0.42857142857142855</v>
      </c>
      <c r="AA428" s="1">
        <f>Table1[[#This Row],[Profit]]-Table1[[#This Row],[Total Shipping]]</f>
        <v>3.5</v>
      </c>
      <c r="AB428" s="3">
        <f>Table1[[#This Row],[Operating Profit]]/Table1[[#This Row],[Revenue]]</f>
        <v>0.14285714285714285</v>
      </c>
    </row>
    <row r="429" spans="1:28" x14ac:dyDescent="0.25">
      <c r="A429" t="s">
        <v>236</v>
      </c>
      <c r="B429">
        <v>368</v>
      </c>
      <c r="C429" t="s">
        <v>71</v>
      </c>
      <c r="D429" t="s">
        <v>72</v>
      </c>
      <c r="E429" t="s">
        <v>31</v>
      </c>
      <c r="F429" t="s">
        <v>90</v>
      </c>
      <c r="G429" t="str" cm="1">
        <f t="array" ref="G429">_xlfn.SWITCH(F429,"Acme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429" t="s">
        <v>51</v>
      </c>
      <c r="I429" t="s">
        <v>75</v>
      </c>
      <c r="J429" t="str" cm="1">
        <f t="array" ref="J429">_xlfn.SWITCH(I429,"P001","Laptop","P002","Server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29" s="1" cm="1">
        <f t="array" ref="K429">_xlfn.SWITCH(Table1[[#This Row],[Product ID]],"P001",220,"P002",150,"P003",130,"P004",70,"P005",200,"P006",40,"P007",25,"P008",20,"P009",190,"P010",530)</f>
        <v>200</v>
      </c>
      <c r="L429">
        <v>9</v>
      </c>
      <c r="M429" s="1">
        <f>Table1[[#This Row],[Unit Price]]*Table1[[#This Row],[Quantity]]</f>
        <v>1800</v>
      </c>
      <c r="N429" s="2">
        <v>0.03</v>
      </c>
      <c r="O429" s="1">
        <f>Table1[[#This Row],[Gross Value]]*(1-Table1[[#This Row],[Discount]])</f>
        <v>1746</v>
      </c>
      <c r="P429" s="2">
        <v>0.2</v>
      </c>
      <c r="Q429" s="1">
        <f>Table1[[#This Row],[Revenue]]*Table1[[#This Row],[VAT Rate]]</f>
        <v>349.20000000000005</v>
      </c>
      <c r="R429" s="1">
        <f>Table1[[#This Row],[Revenue]]+Table1[[#This Row],[VAT Charged]]</f>
        <v>2095.1999999999998</v>
      </c>
      <c r="S429" s="1" cm="1">
        <f t="array" ref="S429">_xlfn.SWITCH(Table1[[#This Row],[Product ID]],"P001",140,"P002",80,"P003",72,"P004",30,"P005",110,"P006",24,"P007",14,"P008",12,"P009",115,"P010",360)</f>
        <v>110</v>
      </c>
      <c r="T429" s="1" cm="1">
        <f t="array" ref="T429">(_xlfn.SWITCH(Table1[[#This Row],[Product ID]],"P001",140,"P002",80,"P003",72,"P004",30,"P005",110,"P006",24,"P007",14,"P008",12,"P009",115,"P010",360))*Table1[[#This Row],[Quantity]]</f>
        <v>990</v>
      </c>
      <c r="U429" s="1" cm="1">
        <f t="array" ref="U429">_xlfn.SWITCH(Table1[[#This Row],[Product ID]],"P001",15,"P002",0,"P003",8,"P004",8,"P005",0,"P006",7,"P007",7,"P008",6,"P009",45,"P010",60)</f>
        <v>0</v>
      </c>
      <c r="V429" s="1">
        <f>Table1[[#This Row],[Shipping per Unit]]*Table1[[#This Row],[Quantity]]</f>
        <v>0</v>
      </c>
      <c r="W429" s="2">
        <f>IF(Table1[[#This Row],[Total Shipping]]&gt;0.1,0.2,0)</f>
        <v>0</v>
      </c>
      <c r="X429" s="4">
        <f>Table1[[#This Row],[Total Shipping]]*Table1[[#This Row],[VAT on Shipping]]</f>
        <v>0</v>
      </c>
      <c r="Y429" s="1">
        <f>Table1[[#This Row],[Revenue]]-Table1[[#This Row],[COGS]]</f>
        <v>756</v>
      </c>
      <c r="Z429" s="3">
        <f>(Table1[[#This Row],[Profit]]/Table1[[#This Row],[Revenue]])</f>
        <v>0.4329896907216495</v>
      </c>
      <c r="AA429" s="1">
        <f>Table1[[#This Row],[Profit]]-Table1[[#This Row],[Total Shipping]]</f>
        <v>756</v>
      </c>
      <c r="AB429" s="3">
        <f>Table1[[#This Row],[Operating Profit]]/Table1[[#This Row],[Revenue]]</f>
        <v>0.4329896907216495</v>
      </c>
    </row>
    <row r="430" spans="1:28" x14ac:dyDescent="0.25">
      <c r="A430" t="s">
        <v>237</v>
      </c>
      <c r="B430">
        <v>763</v>
      </c>
      <c r="C430" t="s">
        <v>38</v>
      </c>
      <c r="D430" t="s">
        <v>48</v>
      </c>
      <c r="E430" t="s">
        <v>40</v>
      </c>
      <c r="F430" t="s">
        <v>64</v>
      </c>
      <c r="G430" t="str" cm="1">
        <f t="array" ref="G430">_xlfn.SWITCH(F430,"Acme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430" t="s">
        <v>104</v>
      </c>
      <c r="I430" t="s">
        <v>55</v>
      </c>
      <c r="J430" t="str" cm="1">
        <f t="array" ref="J430">_xlfn.SWITCH(I430,"P001","Laptop","P002","Server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30" s="1" cm="1">
        <f t="array" ref="K430">_xlfn.SWITCH(Table1[[#This Row],[Product ID]],"P001",220,"P002",150,"P003",130,"P004",70,"P005",200,"P006",40,"P007",25,"P008",20,"P009",190,"P010",530)</f>
        <v>70</v>
      </c>
      <c r="L430">
        <v>10</v>
      </c>
      <c r="M430" s="1">
        <f>Table1[[#This Row],[Unit Price]]*Table1[[#This Row],[Quantity]]</f>
        <v>700</v>
      </c>
      <c r="N430" s="2">
        <v>0.06</v>
      </c>
      <c r="O430" s="1">
        <f>Table1[[#This Row],[Gross Value]]*(1-Table1[[#This Row],[Discount]])</f>
        <v>658</v>
      </c>
      <c r="P430" s="2">
        <v>0.2</v>
      </c>
      <c r="Q430" s="1">
        <f>Table1[[#This Row],[Revenue]]*Table1[[#This Row],[VAT Rate]]</f>
        <v>131.6</v>
      </c>
      <c r="R430" s="1">
        <f>Table1[[#This Row],[Revenue]]+Table1[[#This Row],[VAT Charged]]</f>
        <v>789.6</v>
      </c>
      <c r="S430" s="1" cm="1">
        <f t="array" ref="S430">_xlfn.SWITCH(Table1[[#This Row],[Product ID]],"P001",140,"P002",80,"P003",72,"P004",30,"P005",110,"P006",24,"P007",14,"P008",12,"P009",115,"P010",360)</f>
        <v>30</v>
      </c>
      <c r="T430" s="1" cm="1">
        <f t="array" ref="T430">(_xlfn.SWITCH(Table1[[#This Row],[Product ID]],"P001",140,"P002",80,"P003",72,"P004",30,"P005",110,"P006",24,"P007",14,"P008",12,"P009",115,"P010",360))*Table1[[#This Row],[Quantity]]</f>
        <v>300</v>
      </c>
      <c r="U430" s="1" cm="1">
        <f t="array" ref="U430">_xlfn.SWITCH(Table1[[#This Row],[Product ID]],"P001",15,"P002",0,"P003",8,"P004",8,"P005",0,"P006",7,"P007",7,"P008",6,"P009",45,"P010",60)</f>
        <v>8</v>
      </c>
      <c r="V430" s="1">
        <f>Table1[[#This Row],[Shipping per Unit]]*Table1[[#This Row],[Quantity]]</f>
        <v>80</v>
      </c>
      <c r="W430" s="2">
        <f>IF(Table1[[#This Row],[Total Shipping]]&gt;0.1,0.2,0)</f>
        <v>0.2</v>
      </c>
      <c r="X430" s="4">
        <f>Table1[[#This Row],[Total Shipping]]*Table1[[#This Row],[VAT on Shipping]]</f>
        <v>16</v>
      </c>
      <c r="Y430" s="1">
        <f>Table1[[#This Row],[Revenue]]-Table1[[#This Row],[COGS]]</f>
        <v>358</v>
      </c>
      <c r="Z430" s="3">
        <f>(Table1[[#This Row],[Profit]]/Table1[[#This Row],[Revenue]])</f>
        <v>0.54407294832826747</v>
      </c>
      <c r="AA430" s="1">
        <f>Table1[[#This Row],[Profit]]-Table1[[#This Row],[Total Shipping]]</f>
        <v>278</v>
      </c>
      <c r="AB430" s="3">
        <f>Table1[[#This Row],[Operating Profit]]/Table1[[#This Row],[Revenue]]</f>
        <v>0.42249240121580545</v>
      </c>
    </row>
    <row r="431" spans="1:28" x14ac:dyDescent="0.25">
      <c r="A431" t="s">
        <v>237</v>
      </c>
      <c r="B431">
        <v>797</v>
      </c>
      <c r="C431" t="s">
        <v>65</v>
      </c>
      <c r="D431" t="s">
        <v>39</v>
      </c>
      <c r="E431" t="s">
        <v>40</v>
      </c>
      <c r="F431" t="s">
        <v>86</v>
      </c>
      <c r="G431" t="str" cm="1">
        <f t="array" ref="G431">_xlfn.SWITCH(F431,"Acme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431" t="s">
        <v>58</v>
      </c>
      <c r="I431" t="s">
        <v>70</v>
      </c>
      <c r="J431" t="str" cm="1">
        <f t="array" ref="J431">_xlfn.SWITCH(I431,"P001","Laptop","P002","Server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31" s="1" cm="1">
        <f t="array" ref="K431">_xlfn.SWITCH(Table1[[#This Row],[Product ID]],"P001",220,"P002",150,"P003",130,"P004",70,"P005",200,"P006",40,"P007",25,"P008",20,"P009",190,"P010",530)</f>
        <v>150</v>
      </c>
      <c r="L431">
        <v>17</v>
      </c>
      <c r="M431" s="1">
        <f>Table1[[#This Row],[Unit Price]]*Table1[[#This Row],[Quantity]]</f>
        <v>2550</v>
      </c>
      <c r="N431" s="2">
        <v>0.04</v>
      </c>
      <c r="O431" s="1">
        <f>Table1[[#This Row],[Gross Value]]*(1-Table1[[#This Row],[Discount]])</f>
        <v>2448</v>
      </c>
      <c r="P431" s="2">
        <v>0.2</v>
      </c>
      <c r="Q431" s="1">
        <f>Table1[[#This Row],[Revenue]]*Table1[[#This Row],[VAT Rate]]</f>
        <v>489.6</v>
      </c>
      <c r="R431" s="1">
        <f>Table1[[#This Row],[Revenue]]+Table1[[#This Row],[VAT Charged]]</f>
        <v>2937.6</v>
      </c>
      <c r="S431" s="1" cm="1">
        <f t="array" ref="S431">_xlfn.SWITCH(Table1[[#This Row],[Product ID]],"P001",140,"P002",80,"P003",72,"P004",30,"P005",110,"P006",24,"P007",14,"P008",12,"P009",115,"P010",360)</f>
        <v>80</v>
      </c>
      <c r="T431" s="1" cm="1">
        <f t="array" ref="T431">(_xlfn.SWITCH(Table1[[#This Row],[Product ID]],"P001",140,"P002",80,"P003",72,"P004",30,"P005",110,"P006",24,"P007",14,"P008",12,"P009",115,"P010",360))*Table1[[#This Row],[Quantity]]</f>
        <v>1360</v>
      </c>
      <c r="U431" s="1" cm="1">
        <f t="array" ref="U431">_xlfn.SWITCH(Table1[[#This Row],[Product ID]],"P001",15,"P002",0,"P003",8,"P004",8,"P005",0,"P006",7,"P007",7,"P008",6,"P009",45,"P010",60)</f>
        <v>0</v>
      </c>
      <c r="V431" s="1">
        <f>Table1[[#This Row],[Shipping per Unit]]*Table1[[#This Row],[Quantity]]</f>
        <v>0</v>
      </c>
      <c r="W431" s="2">
        <f>IF(Table1[[#This Row],[Total Shipping]]&gt;0.1,0.2,0)</f>
        <v>0</v>
      </c>
      <c r="X431" s="4">
        <f>Table1[[#This Row],[Total Shipping]]*Table1[[#This Row],[VAT on Shipping]]</f>
        <v>0</v>
      </c>
      <c r="Y431" s="1">
        <f>Table1[[#This Row],[Revenue]]-Table1[[#This Row],[COGS]]</f>
        <v>1088</v>
      </c>
      <c r="Z431" s="3">
        <f>(Table1[[#This Row],[Profit]]/Table1[[#This Row],[Revenue]])</f>
        <v>0.44444444444444442</v>
      </c>
      <c r="AA431" s="1">
        <f>Table1[[#This Row],[Profit]]-Table1[[#This Row],[Total Shipping]]</f>
        <v>1088</v>
      </c>
      <c r="AB431" s="3">
        <f>Table1[[#This Row],[Operating Profit]]/Table1[[#This Row],[Revenue]]</f>
        <v>0.44444444444444442</v>
      </c>
    </row>
    <row r="432" spans="1:28" x14ac:dyDescent="0.25">
      <c r="A432" t="s">
        <v>237</v>
      </c>
      <c r="B432">
        <v>814</v>
      </c>
      <c r="C432" t="s">
        <v>83</v>
      </c>
      <c r="D432" t="s">
        <v>48</v>
      </c>
      <c r="E432" t="s">
        <v>49</v>
      </c>
      <c r="F432" t="s">
        <v>41</v>
      </c>
      <c r="G432" t="str" cm="1">
        <f t="array" ref="G432">_xlfn.SWITCH(F432,"Acme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432" t="s">
        <v>45</v>
      </c>
      <c r="I432" t="s">
        <v>52</v>
      </c>
      <c r="J432" t="str" cm="1">
        <f t="array" ref="J432">_xlfn.SWITCH(I432,"P001","Laptop","P002","Server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32" s="1" cm="1">
        <f t="array" ref="K432">_xlfn.SWITCH(Table1[[#This Row],[Product ID]],"P001",220,"P002",150,"P003",130,"P004",70,"P005",200,"P006",40,"P007",25,"P008",20,"P009",190,"P010",530)</f>
        <v>130</v>
      </c>
      <c r="L432">
        <v>19</v>
      </c>
      <c r="M432" s="1">
        <f>Table1[[#This Row],[Unit Price]]*Table1[[#This Row],[Quantity]]</f>
        <v>2470</v>
      </c>
      <c r="N432" s="2">
        <v>0.05</v>
      </c>
      <c r="O432" s="1">
        <f>Table1[[#This Row],[Gross Value]]*(1-Table1[[#This Row],[Discount]])</f>
        <v>2346.5</v>
      </c>
      <c r="P432" s="2">
        <v>0.2</v>
      </c>
      <c r="Q432" s="1">
        <f>Table1[[#This Row],[Revenue]]*Table1[[#This Row],[VAT Rate]]</f>
        <v>469.3</v>
      </c>
      <c r="R432" s="1">
        <f>Table1[[#This Row],[Revenue]]+Table1[[#This Row],[VAT Charged]]</f>
        <v>2815.8</v>
      </c>
      <c r="S432" s="1" cm="1">
        <f t="array" ref="S432">_xlfn.SWITCH(Table1[[#This Row],[Product ID]],"P001",140,"P002",80,"P003",72,"P004",30,"P005",110,"P006",24,"P007",14,"P008",12,"P009",115,"P010",360)</f>
        <v>72</v>
      </c>
      <c r="T432" s="1" cm="1">
        <f t="array" ref="T432">(_xlfn.SWITCH(Table1[[#This Row],[Product ID]],"P001",140,"P002",80,"P003",72,"P004",30,"P005",110,"P006",24,"P007",14,"P008",12,"P009",115,"P010",360))*Table1[[#This Row],[Quantity]]</f>
        <v>1368</v>
      </c>
      <c r="U432" s="1" cm="1">
        <f t="array" ref="U432">_xlfn.SWITCH(Table1[[#This Row],[Product ID]],"P001",15,"P002",0,"P003",8,"P004",8,"P005",0,"P006",7,"P007",7,"P008",6,"P009",45,"P010",60)</f>
        <v>8</v>
      </c>
      <c r="V432" s="1">
        <f>Table1[[#This Row],[Shipping per Unit]]*Table1[[#This Row],[Quantity]]</f>
        <v>152</v>
      </c>
      <c r="W432" s="2">
        <f>IF(Table1[[#This Row],[Total Shipping]]&gt;0.1,0.2,0)</f>
        <v>0.2</v>
      </c>
      <c r="X432" s="4">
        <f>Table1[[#This Row],[Total Shipping]]*Table1[[#This Row],[VAT on Shipping]]</f>
        <v>30.400000000000002</v>
      </c>
      <c r="Y432" s="1">
        <f>Table1[[#This Row],[Revenue]]-Table1[[#This Row],[COGS]]</f>
        <v>978.5</v>
      </c>
      <c r="Z432" s="3">
        <f>(Table1[[#This Row],[Profit]]/Table1[[#This Row],[Revenue]])</f>
        <v>0.41700404858299595</v>
      </c>
      <c r="AA432" s="1">
        <f>Table1[[#This Row],[Profit]]-Table1[[#This Row],[Total Shipping]]</f>
        <v>826.5</v>
      </c>
      <c r="AB432" s="3">
        <f>Table1[[#This Row],[Operating Profit]]/Table1[[#This Row],[Revenue]]</f>
        <v>0.35222672064777327</v>
      </c>
    </row>
    <row r="433" spans="1:28" x14ac:dyDescent="0.25">
      <c r="A433" t="s">
        <v>237</v>
      </c>
      <c r="B433">
        <v>831</v>
      </c>
      <c r="C433" t="s">
        <v>29</v>
      </c>
      <c r="D433" t="s">
        <v>95</v>
      </c>
      <c r="E433" t="s">
        <v>31</v>
      </c>
      <c r="F433" t="s">
        <v>78</v>
      </c>
      <c r="G433" t="str" cm="1">
        <f t="array" ref="G433">_xlfn.SWITCH(F433,"Acme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433" t="s">
        <v>69</v>
      </c>
      <c r="I433" t="s">
        <v>68</v>
      </c>
      <c r="J433" t="str" cm="1">
        <f t="array" ref="J433">_xlfn.SWITCH(I433,"P001","Laptop","P002","Server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433" s="1" cm="1">
        <f t="array" ref="K433">_xlfn.SWITCH(Table1[[#This Row],[Product ID]],"P001",220,"P002",150,"P003",130,"P004",70,"P005",200,"P006",40,"P007",25,"P008",20,"P009",190,"P010",530)</f>
        <v>220</v>
      </c>
      <c r="L433">
        <v>2</v>
      </c>
      <c r="M433" s="1">
        <f>Table1[[#This Row],[Unit Price]]*Table1[[#This Row],[Quantity]]</f>
        <v>440</v>
      </c>
      <c r="N433" s="2">
        <v>0.1</v>
      </c>
      <c r="O433" s="1">
        <f>Table1[[#This Row],[Gross Value]]*(1-Table1[[#This Row],[Discount]])</f>
        <v>396</v>
      </c>
      <c r="P433" s="2">
        <v>0.2</v>
      </c>
      <c r="Q433" s="1">
        <f>Table1[[#This Row],[Revenue]]*Table1[[#This Row],[VAT Rate]]</f>
        <v>79.2</v>
      </c>
      <c r="R433" s="1">
        <f>Table1[[#This Row],[Revenue]]+Table1[[#This Row],[VAT Charged]]</f>
        <v>475.2</v>
      </c>
      <c r="S433" s="1" cm="1">
        <f t="array" ref="S433">_xlfn.SWITCH(Table1[[#This Row],[Product ID]],"P001",140,"P002",80,"P003",72,"P004",30,"P005",110,"P006",24,"P007",14,"P008",12,"P009",115,"P010",360)</f>
        <v>140</v>
      </c>
      <c r="T433" s="1" cm="1">
        <f t="array" ref="T433">(_xlfn.SWITCH(Table1[[#This Row],[Product ID]],"P001",140,"P002",80,"P003",72,"P004",30,"P005",110,"P006",24,"P007",14,"P008",12,"P009",115,"P010",360))*Table1[[#This Row],[Quantity]]</f>
        <v>280</v>
      </c>
      <c r="U433" s="1" cm="1">
        <f t="array" ref="U433">_xlfn.SWITCH(Table1[[#This Row],[Product ID]],"P001",15,"P002",0,"P003",8,"P004",8,"P005",0,"P006",7,"P007",7,"P008",6,"P009",45,"P010",60)</f>
        <v>15</v>
      </c>
      <c r="V433" s="1">
        <f>Table1[[#This Row],[Shipping per Unit]]*Table1[[#This Row],[Quantity]]</f>
        <v>30</v>
      </c>
      <c r="W433" s="2">
        <f>IF(Table1[[#This Row],[Total Shipping]]&gt;0.1,0.2,0)</f>
        <v>0.2</v>
      </c>
      <c r="X433" s="4">
        <f>Table1[[#This Row],[Total Shipping]]*Table1[[#This Row],[VAT on Shipping]]</f>
        <v>6</v>
      </c>
      <c r="Y433" s="1">
        <f>Table1[[#This Row],[Revenue]]-Table1[[#This Row],[COGS]]</f>
        <v>116</v>
      </c>
      <c r="Z433" s="3">
        <f>(Table1[[#This Row],[Profit]]/Table1[[#This Row],[Revenue]])</f>
        <v>0.29292929292929293</v>
      </c>
      <c r="AA433" s="1">
        <f>Table1[[#This Row],[Profit]]-Table1[[#This Row],[Total Shipping]]</f>
        <v>86</v>
      </c>
      <c r="AB433" s="3">
        <f>Table1[[#This Row],[Operating Profit]]/Table1[[#This Row],[Revenue]]</f>
        <v>0.21717171717171718</v>
      </c>
    </row>
    <row r="434" spans="1:28" x14ac:dyDescent="0.25">
      <c r="A434" t="s">
        <v>238</v>
      </c>
      <c r="B434">
        <v>143</v>
      </c>
      <c r="C434" t="s">
        <v>29</v>
      </c>
      <c r="D434" t="s">
        <v>72</v>
      </c>
      <c r="E434" t="s">
        <v>31</v>
      </c>
      <c r="F434" t="s">
        <v>84</v>
      </c>
      <c r="G434" t="str" cm="1">
        <f t="array" ref="G434">_xlfn.SWITCH(F434,"Acme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434" t="s">
        <v>33</v>
      </c>
      <c r="I434" t="s">
        <v>55</v>
      </c>
      <c r="J434" t="str" cm="1">
        <f t="array" ref="J434">_xlfn.SWITCH(I434,"P001","Laptop","P002","Server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34" s="1" cm="1">
        <f t="array" ref="K434">_xlfn.SWITCH(Table1[[#This Row],[Product ID]],"P001",220,"P002",150,"P003",130,"P004",70,"P005",200,"P006",40,"P007",25,"P008",20,"P009",190,"P010",530)</f>
        <v>70</v>
      </c>
      <c r="L434">
        <v>19</v>
      </c>
      <c r="M434" s="1">
        <f>Table1[[#This Row],[Unit Price]]*Table1[[#This Row],[Quantity]]</f>
        <v>1330</v>
      </c>
      <c r="N434" s="2">
        <v>0.06</v>
      </c>
      <c r="O434" s="1">
        <f>Table1[[#This Row],[Gross Value]]*(1-Table1[[#This Row],[Discount]])</f>
        <v>1250.1999999999998</v>
      </c>
      <c r="P434" s="2">
        <v>0.2</v>
      </c>
      <c r="Q434" s="1">
        <f>Table1[[#This Row],[Revenue]]*Table1[[#This Row],[VAT Rate]]</f>
        <v>250.03999999999996</v>
      </c>
      <c r="R434" s="1">
        <f>Table1[[#This Row],[Revenue]]+Table1[[#This Row],[VAT Charged]]</f>
        <v>1500.2399999999998</v>
      </c>
      <c r="S434" s="1" cm="1">
        <f t="array" ref="S434">_xlfn.SWITCH(Table1[[#This Row],[Product ID]],"P001",140,"P002",80,"P003",72,"P004",30,"P005",110,"P006",24,"P007",14,"P008",12,"P009",115,"P010",360)</f>
        <v>30</v>
      </c>
      <c r="T434" s="1" cm="1">
        <f t="array" ref="T434">(_xlfn.SWITCH(Table1[[#This Row],[Product ID]],"P001",140,"P002",80,"P003",72,"P004",30,"P005",110,"P006",24,"P007",14,"P008",12,"P009",115,"P010",360))*Table1[[#This Row],[Quantity]]</f>
        <v>570</v>
      </c>
      <c r="U434" s="1" cm="1">
        <f t="array" ref="U434">_xlfn.SWITCH(Table1[[#This Row],[Product ID]],"P001",15,"P002",0,"P003",8,"P004",8,"P005",0,"P006",7,"P007",7,"P008",6,"P009",45,"P010",60)</f>
        <v>8</v>
      </c>
      <c r="V434" s="1">
        <f>Table1[[#This Row],[Shipping per Unit]]*Table1[[#This Row],[Quantity]]</f>
        <v>152</v>
      </c>
      <c r="W434" s="2">
        <f>IF(Table1[[#This Row],[Total Shipping]]&gt;0.1,0.2,0)</f>
        <v>0.2</v>
      </c>
      <c r="X434" s="4">
        <f>Table1[[#This Row],[Total Shipping]]*Table1[[#This Row],[VAT on Shipping]]</f>
        <v>30.400000000000002</v>
      </c>
      <c r="Y434" s="1">
        <f>Table1[[#This Row],[Revenue]]-Table1[[#This Row],[COGS]]</f>
        <v>680.19999999999982</v>
      </c>
      <c r="Z434" s="3">
        <f>(Table1[[#This Row],[Profit]]/Table1[[#This Row],[Revenue]])</f>
        <v>0.54407294832826736</v>
      </c>
      <c r="AA434" s="1">
        <f>Table1[[#This Row],[Profit]]-Table1[[#This Row],[Total Shipping]]</f>
        <v>528.19999999999982</v>
      </c>
      <c r="AB434" s="3">
        <f>Table1[[#This Row],[Operating Profit]]/Table1[[#This Row],[Revenue]]</f>
        <v>0.42249240121580539</v>
      </c>
    </row>
    <row r="435" spans="1:28" x14ac:dyDescent="0.25">
      <c r="A435" t="s">
        <v>238</v>
      </c>
      <c r="B435">
        <v>612</v>
      </c>
      <c r="C435" t="s">
        <v>56</v>
      </c>
      <c r="D435" t="s">
        <v>95</v>
      </c>
      <c r="E435" t="s">
        <v>49</v>
      </c>
      <c r="F435" t="s">
        <v>44</v>
      </c>
      <c r="G435" t="str" cm="1">
        <f t="array" ref="G435">_xlfn.SWITCH(F435,"Acme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435" t="s">
        <v>69</v>
      </c>
      <c r="I435" t="s">
        <v>91</v>
      </c>
      <c r="J435" t="str" cm="1">
        <f t="array" ref="J435">_xlfn.SWITCH(I435,"P001","Laptop","P002","Server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35" s="1" cm="1">
        <f t="array" ref="K435">_xlfn.SWITCH(Table1[[#This Row],[Product ID]],"P001",220,"P002",150,"P003",130,"P004",70,"P005",200,"P006",40,"P007",25,"P008",20,"P009",190,"P010",530)</f>
        <v>190</v>
      </c>
      <c r="L435">
        <v>11</v>
      </c>
      <c r="M435" s="1">
        <f>Table1[[#This Row],[Unit Price]]*Table1[[#This Row],[Quantity]]</f>
        <v>2090</v>
      </c>
      <c r="N435" s="2">
        <v>0.09</v>
      </c>
      <c r="O435" s="1">
        <f>Table1[[#This Row],[Gross Value]]*(1-Table1[[#This Row],[Discount]])</f>
        <v>1901.9</v>
      </c>
      <c r="P435" s="2">
        <v>0.2</v>
      </c>
      <c r="Q435" s="1">
        <f>Table1[[#This Row],[Revenue]]*Table1[[#This Row],[VAT Rate]]</f>
        <v>380.38000000000005</v>
      </c>
      <c r="R435" s="1">
        <f>Table1[[#This Row],[Revenue]]+Table1[[#This Row],[VAT Charged]]</f>
        <v>2282.2800000000002</v>
      </c>
      <c r="S435" s="1" cm="1">
        <f t="array" ref="S435">_xlfn.SWITCH(Table1[[#This Row],[Product ID]],"P001",140,"P002",80,"P003",72,"P004",30,"P005",110,"P006",24,"P007",14,"P008",12,"P009",115,"P010",360)</f>
        <v>115</v>
      </c>
      <c r="T435" s="1" cm="1">
        <f t="array" ref="T435">(_xlfn.SWITCH(Table1[[#This Row],[Product ID]],"P001",140,"P002",80,"P003",72,"P004",30,"P005",110,"P006",24,"P007",14,"P008",12,"P009",115,"P010",360))*Table1[[#This Row],[Quantity]]</f>
        <v>1265</v>
      </c>
      <c r="U435" s="1" cm="1">
        <f t="array" ref="U435">_xlfn.SWITCH(Table1[[#This Row],[Product ID]],"P001",15,"P002",0,"P003",8,"P004",8,"P005",0,"P006",7,"P007",7,"P008",6,"P009",45,"P010",60)</f>
        <v>45</v>
      </c>
      <c r="V435" s="1">
        <f>Table1[[#This Row],[Shipping per Unit]]*Table1[[#This Row],[Quantity]]</f>
        <v>495</v>
      </c>
      <c r="W435" s="2">
        <f>IF(Table1[[#This Row],[Total Shipping]]&gt;0.1,0.2,0)</f>
        <v>0.2</v>
      </c>
      <c r="X435" s="4">
        <f>Table1[[#This Row],[Total Shipping]]*Table1[[#This Row],[VAT on Shipping]]</f>
        <v>99</v>
      </c>
      <c r="Y435" s="1">
        <f>Table1[[#This Row],[Revenue]]-Table1[[#This Row],[COGS]]</f>
        <v>636.90000000000009</v>
      </c>
      <c r="Z435" s="3">
        <f>(Table1[[#This Row],[Profit]]/Table1[[#This Row],[Revenue]])</f>
        <v>0.33487565066512437</v>
      </c>
      <c r="AA435" s="1">
        <f>Table1[[#This Row],[Profit]]-Table1[[#This Row],[Total Shipping]]</f>
        <v>141.90000000000009</v>
      </c>
      <c r="AB435" s="3">
        <f>Table1[[#This Row],[Operating Profit]]/Table1[[#This Row],[Revenue]]</f>
        <v>7.4609600925390443E-2</v>
      </c>
    </row>
    <row r="436" spans="1:28" x14ac:dyDescent="0.25">
      <c r="A436" t="s">
        <v>238</v>
      </c>
      <c r="B436">
        <v>997</v>
      </c>
      <c r="C436" t="s">
        <v>56</v>
      </c>
      <c r="D436" t="s">
        <v>36</v>
      </c>
      <c r="E436" t="s">
        <v>31</v>
      </c>
      <c r="F436" t="s">
        <v>32</v>
      </c>
      <c r="G436" t="str" cm="1">
        <f t="array" ref="G436">_xlfn.SWITCH(F436,"Acme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436" t="s">
        <v>33</v>
      </c>
      <c r="I436" t="s">
        <v>75</v>
      </c>
      <c r="J436" t="str" cm="1">
        <f t="array" ref="J436">_xlfn.SWITCH(I436,"P001","Laptop","P002","Server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36" s="1" cm="1">
        <f t="array" ref="K436">_xlfn.SWITCH(Table1[[#This Row],[Product ID]],"P001",220,"P002",150,"P003",130,"P004",70,"P005",200,"P006",40,"P007",25,"P008",20,"P009",190,"P010",530)</f>
        <v>200</v>
      </c>
      <c r="L436">
        <v>20</v>
      </c>
      <c r="M436" s="1">
        <f>Table1[[#This Row],[Unit Price]]*Table1[[#This Row],[Quantity]]</f>
        <v>4000</v>
      </c>
      <c r="N436" s="2">
        <v>0.12</v>
      </c>
      <c r="O436" s="1">
        <f>Table1[[#This Row],[Gross Value]]*(1-Table1[[#This Row],[Discount]])</f>
        <v>3520</v>
      </c>
      <c r="P436" s="2">
        <v>0.2</v>
      </c>
      <c r="Q436" s="1">
        <f>Table1[[#This Row],[Revenue]]*Table1[[#This Row],[VAT Rate]]</f>
        <v>704</v>
      </c>
      <c r="R436" s="1">
        <f>Table1[[#This Row],[Revenue]]+Table1[[#This Row],[VAT Charged]]</f>
        <v>4224</v>
      </c>
      <c r="S436" s="1" cm="1">
        <f t="array" ref="S436">_xlfn.SWITCH(Table1[[#This Row],[Product ID]],"P001",140,"P002",80,"P003",72,"P004",30,"P005",110,"P006",24,"P007",14,"P008",12,"P009",115,"P010",360)</f>
        <v>110</v>
      </c>
      <c r="T436" s="1" cm="1">
        <f t="array" ref="T436">(_xlfn.SWITCH(Table1[[#This Row],[Product ID]],"P001",140,"P002",80,"P003",72,"P004",30,"P005",110,"P006",24,"P007",14,"P008",12,"P009",115,"P010",360))*Table1[[#This Row],[Quantity]]</f>
        <v>2200</v>
      </c>
      <c r="U436" s="1" cm="1">
        <f t="array" ref="U436">_xlfn.SWITCH(Table1[[#This Row],[Product ID]],"P001",15,"P002",0,"P003",8,"P004",8,"P005",0,"P006",7,"P007",7,"P008",6,"P009",45,"P010",60)</f>
        <v>0</v>
      </c>
      <c r="V436" s="1">
        <f>Table1[[#This Row],[Shipping per Unit]]*Table1[[#This Row],[Quantity]]</f>
        <v>0</v>
      </c>
      <c r="W436" s="2">
        <f>IF(Table1[[#This Row],[Total Shipping]]&gt;0.1,0.2,0)</f>
        <v>0</v>
      </c>
      <c r="X436" s="4">
        <f>Table1[[#This Row],[Total Shipping]]*Table1[[#This Row],[VAT on Shipping]]</f>
        <v>0</v>
      </c>
      <c r="Y436" s="1">
        <f>Table1[[#This Row],[Revenue]]-Table1[[#This Row],[COGS]]</f>
        <v>1320</v>
      </c>
      <c r="Z436" s="3">
        <f>(Table1[[#This Row],[Profit]]/Table1[[#This Row],[Revenue]])</f>
        <v>0.375</v>
      </c>
      <c r="AA436" s="1">
        <f>Table1[[#This Row],[Profit]]-Table1[[#This Row],[Total Shipping]]</f>
        <v>1320</v>
      </c>
      <c r="AB436" s="3">
        <f>Table1[[#This Row],[Operating Profit]]/Table1[[#This Row],[Revenue]]</f>
        <v>0.375</v>
      </c>
    </row>
    <row r="437" spans="1:28" x14ac:dyDescent="0.25">
      <c r="A437" t="s">
        <v>239</v>
      </c>
      <c r="B437">
        <v>122</v>
      </c>
      <c r="C437" t="s">
        <v>35</v>
      </c>
      <c r="D437" t="s">
        <v>53</v>
      </c>
      <c r="E437" t="s">
        <v>40</v>
      </c>
      <c r="F437" t="s">
        <v>50</v>
      </c>
      <c r="G437" t="str" cm="1">
        <f t="array" ref="G437">_xlfn.SWITCH(F437,"Acme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437" t="s">
        <v>33</v>
      </c>
      <c r="I437" t="s">
        <v>55</v>
      </c>
      <c r="J437" t="str" cm="1">
        <f t="array" ref="J437">_xlfn.SWITCH(I437,"P001","Laptop","P002","Server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37" s="1" cm="1">
        <f t="array" ref="K437">_xlfn.SWITCH(Table1[[#This Row],[Product ID]],"P001",220,"P002",150,"P003",130,"P004",70,"P005",200,"P006",40,"P007",25,"P008",20,"P009",190,"P010",530)</f>
        <v>70</v>
      </c>
      <c r="L437">
        <v>20</v>
      </c>
      <c r="M437" s="1">
        <f>Table1[[#This Row],[Unit Price]]*Table1[[#This Row],[Quantity]]</f>
        <v>1400</v>
      </c>
      <c r="N437" s="2">
        <v>0.06</v>
      </c>
      <c r="O437" s="1">
        <f>Table1[[#This Row],[Gross Value]]*(1-Table1[[#This Row],[Discount]])</f>
        <v>1316</v>
      </c>
      <c r="P437" s="2">
        <v>0.2</v>
      </c>
      <c r="Q437" s="1">
        <f>Table1[[#This Row],[Revenue]]*Table1[[#This Row],[VAT Rate]]</f>
        <v>263.2</v>
      </c>
      <c r="R437" s="1">
        <f>Table1[[#This Row],[Revenue]]+Table1[[#This Row],[VAT Charged]]</f>
        <v>1579.2</v>
      </c>
      <c r="S437" s="1" cm="1">
        <f t="array" ref="S437">_xlfn.SWITCH(Table1[[#This Row],[Product ID]],"P001",140,"P002",80,"P003",72,"P004",30,"P005",110,"P006",24,"P007",14,"P008",12,"P009",115,"P010",360)</f>
        <v>30</v>
      </c>
      <c r="T437" s="1" cm="1">
        <f t="array" ref="T437">(_xlfn.SWITCH(Table1[[#This Row],[Product ID]],"P001",140,"P002",80,"P003",72,"P004",30,"P005",110,"P006",24,"P007",14,"P008",12,"P009",115,"P010",360))*Table1[[#This Row],[Quantity]]</f>
        <v>600</v>
      </c>
      <c r="U437" s="1" cm="1">
        <f t="array" ref="U437">_xlfn.SWITCH(Table1[[#This Row],[Product ID]],"P001",15,"P002",0,"P003",8,"P004",8,"P005",0,"P006",7,"P007",7,"P008",6,"P009",45,"P010",60)</f>
        <v>8</v>
      </c>
      <c r="V437" s="1">
        <f>Table1[[#This Row],[Shipping per Unit]]*Table1[[#This Row],[Quantity]]</f>
        <v>160</v>
      </c>
      <c r="W437" s="2">
        <f>IF(Table1[[#This Row],[Total Shipping]]&gt;0.1,0.2,0)</f>
        <v>0.2</v>
      </c>
      <c r="X437" s="4">
        <f>Table1[[#This Row],[Total Shipping]]*Table1[[#This Row],[VAT on Shipping]]</f>
        <v>32</v>
      </c>
      <c r="Y437" s="1">
        <f>Table1[[#This Row],[Revenue]]-Table1[[#This Row],[COGS]]</f>
        <v>716</v>
      </c>
      <c r="Z437" s="3">
        <f>(Table1[[#This Row],[Profit]]/Table1[[#This Row],[Revenue]])</f>
        <v>0.54407294832826747</v>
      </c>
      <c r="AA437" s="1">
        <f>Table1[[#This Row],[Profit]]-Table1[[#This Row],[Total Shipping]]</f>
        <v>556</v>
      </c>
      <c r="AB437" s="3">
        <f>Table1[[#This Row],[Operating Profit]]/Table1[[#This Row],[Revenue]]</f>
        <v>0.42249240121580545</v>
      </c>
    </row>
    <row r="438" spans="1:28" x14ac:dyDescent="0.25">
      <c r="A438" t="s">
        <v>239</v>
      </c>
      <c r="B438">
        <v>155</v>
      </c>
      <c r="C438" t="s">
        <v>56</v>
      </c>
      <c r="D438" t="s">
        <v>48</v>
      </c>
      <c r="E438" t="s">
        <v>31</v>
      </c>
      <c r="F438" t="s">
        <v>64</v>
      </c>
      <c r="G438" t="str" cm="1">
        <f t="array" ref="G438">_xlfn.SWITCH(F438,"Acme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438" t="s">
        <v>51</v>
      </c>
      <c r="I438" t="s">
        <v>91</v>
      </c>
      <c r="J438" t="str" cm="1">
        <f t="array" ref="J438">_xlfn.SWITCH(I438,"P001","Laptop","P002","Server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38" s="1" cm="1">
        <f t="array" ref="K438">_xlfn.SWITCH(Table1[[#This Row],[Product ID]],"P001",220,"P002",150,"P003",130,"P004",70,"P005",200,"P006",40,"P007",25,"P008",20,"P009",190,"P010",530)</f>
        <v>190</v>
      </c>
      <c r="L438">
        <v>4</v>
      </c>
      <c r="M438" s="1">
        <f>Table1[[#This Row],[Unit Price]]*Table1[[#This Row],[Quantity]]</f>
        <v>760</v>
      </c>
      <c r="N438" s="2">
        <v>7.0000000000000007E-2</v>
      </c>
      <c r="O438" s="1">
        <f>Table1[[#This Row],[Gross Value]]*(1-Table1[[#This Row],[Discount]])</f>
        <v>706.8</v>
      </c>
      <c r="P438" s="2">
        <v>0.2</v>
      </c>
      <c r="Q438" s="1">
        <f>Table1[[#This Row],[Revenue]]*Table1[[#This Row],[VAT Rate]]</f>
        <v>141.35999999999999</v>
      </c>
      <c r="R438" s="1">
        <f>Table1[[#This Row],[Revenue]]+Table1[[#This Row],[VAT Charged]]</f>
        <v>848.16</v>
      </c>
      <c r="S438" s="1" cm="1">
        <f t="array" ref="S438">_xlfn.SWITCH(Table1[[#This Row],[Product ID]],"P001",140,"P002",80,"P003",72,"P004",30,"P005",110,"P006",24,"P007",14,"P008",12,"P009",115,"P010",360)</f>
        <v>115</v>
      </c>
      <c r="T438" s="1" cm="1">
        <f t="array" ref="T438">(_xlfn.SWITCH(Table1[[#This Row],[Product ID]],"P001",140,"P002",80,"P003",72,"P004",30,"P005",110,"P006",24,"P007",14,"P008",12,"P009",115,"P010",360))*Table1[[#This Row],[Quantity]]</f>
        <v>460</v>
      </c>
      <c r="U438" s="1" cm="1">
        <f t="array" ref="U438">_xlfn.SWITCH(Table1[[#This Row],[Product ID]],"P001",15,"P002",0,"P003",8,"P004",8,"P005",0,"P006",7,"P007",7,"P008",6,"P009",45,"P010",60)</f>
        <v>45</v>
      </c>
      <c r="V438" s="1">
        <f>Table1[[#This Row],[Shipping per Unit]]*Table1[[#This Row],[Quantity]]</f>
        <v>180</v>
      </c>
      <c r="W438" s="2">
        <f>IF(Table1[[#This Row],[Total Shipping]]&gt;0.1,0.2,0)</f>
        <v>0.2</v>
      </c>
      <c r="X438" s="4">
        <f>Table1[[#This Row],[Total Shipping]]*Table1[[#This Row],[VAT on Shipping]]</f>
        <v>36</v>
      </c>
      <c r="Y438" s="1">
        <f>Table1[[#This Row],[Revenue]]-Table1[[#This Row],[COGS]]</f>
        <v>246.79999999999995</v>
      </c>
      <c r="Z438" s="3">
        <f>(Table1[[#This Row],[Profit]]/Table1[[#This Row],[Revenue]])</f>
        <v>0.34917940011318616</v>
      </c>
      <c r="AA438" s="1">
        <f>Table1[[#This Row],[Profit]]-Table1[[#This Row],[Total Shipping]]</f>
        <v>66.799999999999955</v>
      </c>
      <c r="AB438" s="3">
        <f>Table1[[#This Row],[Operating Profit]]/Table1[[#This Row],[Revenue]]</f>
        <v>9.451046972269378E-2</v>
      </c>
    </row>
    <row r="439" spans="1:28" x14ac:dyDescent="0.25">
      <c r="A439" t="s">
        <v>239</v>
      </c>
      <c r="B439">
        <v>229</v>
      </c>
      <c r="C439" t="s">
        <v>62</v>
      </c>
      <c r="D439" t="s">
        <v>63</v>
      </c>
      <c r="E439" t="s">
        <v>49</v>
      </c>
      <c r="F439" t="s">
        <v>41</v>
      </c>
      <c r="G439" t="str" cm="1">
        <f t="array" ref="G439">_xlfn.SWITCH(F439,"Acme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439" t="s">
        <v>33</v>
      </c>
      <c r="I439" t="s">
        <v>55</v>
      </c>
      <c r="J439" t="str" cm="1">
        <f t="array" ref="J439">_xlfn.SWITCH(I439,"P001","Laptop","P002","Server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39" s="1" cm="1">
        <f t="array" ref="K439">_xlfn.SWITCH(Table1[[#This Row],[Product ID]],"P001",220,"P002",150,"P003",130,"P004",70,"P005",200,"P006",40,"P007",25,"P008",20,"P009",190,"P010",530)</f>
        <v>70</v>
      </c>
      <c r="L439">
        <v>19</v>
      </c>
      <c r="M439" s="1">
        <f>Table1[[#This Row],[Unit Price]]*Table1[[#This Row],[Quantity]]</f>
        <v>1330</v>
      </c>
      <c r="N439" s="2">
        <v>0.01</v>
      </c>
      <c r="O439" s="1">
        <f>Table1[[#This Row],[Gross Value]]*(1-Table1[[#This Row],[Discount]])</f>
        <v>1316.7</v>
      </c>
      <c r="P439" s="2">
        <v>0.2</v>
      </c>
      <c r="Q439" s="1">
        <f>Table1[[#This Row],[Revenue]]*Table1[[#This Row],[VAT Rate]]</f>
        <v>263.34000000000003</v>
      </c>
      <c r="R439" s="1">
        <f>Table1[[#This Row],[Revenue]]+Table1[[#This Row],[VAT Charged]]</f>
        <v>1580.04</v>
      </c>
      <c r="S439" s="1" cm="1">
        <f t="array" ref="S439">_xlfn.SWITCH(Table1[[#This Row],[Product ID]],"P001",140,"P002",80,"P003",72,"P004",30,"P005",110,"P006",24,"P007",14,"P008",12,"P009",115,"P010",360)</f>
        <v>30</v>
      </c>
      <c r="T439" s="1" cm="1">
        <f t="array" ref="T439">(_xlfn.SWITCH(Table1[[#This Row],[Product ID]],"P001",140,"P002",80,"P003",72,"P004",30,"P005",110,"P006",24,"P007",14,"P008",12,"P009",115,"P010",360))*Table1[[#This Row],[Quantity]]</f>
        <v>570</v>
      </c>
      <c r="U439" s="1" cm="1">
        <f t="array" ref="U439">_xlfn.SWITCH(Table1[[#This Row],[Product ID]],"P001",15,"P002",0,"P003",8,"P004",8,"P005",0,"P006",7,"P007",7,"P008",6,"P009",45,"P010",60)</f>
        <v>8</v>
      </c>
      <c r="V439" s="1">
        <f>Table1[[#This Row],[Shipping per Unit]]*Table1[[#This Row],[Quantity]]</f>
        <v>152</v>
      </c>
      <c r="W439" s="2">
        <f>IF(Table1[[#This Row],[Total Shipping]]&gt;0.1,0.2,0)</f>
        <v>0.2</v>
      </c>
      <c r="X439" s="4">
        <f>Table1[[#This Row],[Total Shipping]]*Table1[[#This Row],[VAT on Shipping]]</f>
        <v>30.400000000000002</v>
      </c>
      <c r="Y439" s="1">
        <f>Table1[[#This Row],[Revenue]]-Table1[[#This Row],[COGS]]</f>
        <v>746.7</v>
      </c>
      <c r="Z439" s="3">
        <f>(Table1[[#This Row],[Profit]]/Table1[[#This Row],[Revenue]])</f>
        <v>0.5670995670995671</v>
      </c>
      <c r="AA439" s="1">
        <f>Table1[[#This Row],[Profit]]-Table1[[#This Row],[Total Shipping]]</f>
        <v>594.70000000000005</v>
      </c>
      <c r="AB439" s="3">
        <f>Table1[[#This Row],[Operating Profit]]/Table1[[#This Row],[Revenue]]</f>
        <v>0.45165945165945171</v>
      </c>
    </row>
    <row r="440" spans="1:28" x14ac:dyDescent="0.25">
      <c r="A440" t="s">
        <v>239</v>
      </c>
      <c r="B440">
        <v>306</v>
      </c>
      <c r="C440" t="s">
        <v>56</v>
      </c>
      <c r="D440" t="s">
        <v>57</v>
      </c>
      <c r="E440" t="s">
        <v>40</v>
      </c>
      <c r="F440" t="s">
        <v>113</v>
      </c>
      <c r="G440" t="str" cm="1">
        <f t="array" ref="G440">_xlfn.SWITCH(F440,"Acme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440" t="s">
        <v>69</v>
      </c>
      <c r="I440" t="s">
        <v>42</v>
      </c>
      <c r="J440" t="str" cm="1">
        <f t="array" ref="J440">_xlfn.SWITCH(I440,"P001","Laptop","P002","Server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40" s="1" cm="1">
        <f t="array" ref="K440">_xlfn.SWITCH(Table1[[#This Row],[Product ID]],"P001",220,"P002",150,"P003",130,"P004",70,"P005",200,"P006",40,"P007",25,"P008",20,"P009",190,"P010",530)</f>
        <v>40</v>
      </c>
      <c r="L440">
        <v>4</v>
      </c>
      <c r="M440" s="1">
        <f>Table1[[#This Row],[Unit Price]]*Table1[[#This Row],[Quantity]]</f>
        <v>160</v>
      </c>
      <c r="N440" s="2">
        <v>0.03</v>
      </c>
      <c r="O440" s="1">
        <f>Table1[[#This Row],[Gross Value]]*(1-Table1[[#This Row],[Discount]])</f>
        <v>155.19999999999999</v>
      </c>
      <c r="P440" s="2">
        <v>0.2</v>
      </c>
      <c r="Q440" s="1">
        <f>Table1[[#This Row],[Revenue]]*Table1[[#This Row],[VAT Rate]]</f>
        <v>31.04</v>
      </c>
      <c r="R440" s="1">
        <f>Table1[[#This Row],[Revenue]]+Table1[[#This Row],[VAT Charged]]</f>
        <v>186.23999999999998</v>
      </c>
      <c r="S440" s="1" cm="1">
        <f t="array" ref="S440">_xlfn.SWITCH(Table1[[#This Row],[Product ID]],"P001",140,"P002",80,"P003",72,"P004",30,"P005",110,"P006",24,"P007",14,"P008",12,"P009",115,"P010",360)</f>
        <v>24</v>
      </c>
      <c r="T440" s="1" cm="1">
        <f t="array" ref="T440">(_xlfn.SWITCH(Table1[[#This Row],[Product ID]],"P001",140,"P002",80,"P003",72,"P004",30,"P005",110,"P006",24,"P007",14,"P008",12,"P009",115,"P010",360))*Table1[[#This Row],[Quantity]]</f>
        <v>96</v>
      </c>
      <c r="U440" s="1" cm="1">
        <f t="array" ref="U440">_xlfn.SWITCH(Table1[[#This Row],[Product ID]],"P001",15,"P002",0,"P003",8,"P004",8,"P005",0,"P006",7,"P007",7,"P008",6,"P009",45,"P010",60)</f>
        <v>7</v>
      </c>
      <c r="V440" s="1">
        <f>Table1[[#This Row],[Shipping per Unit]]*Table1[[#This Row],[Quantity]]</f>
        <v>28</v>
      </c>
      <c r="W440" s="2">
        <f>IF(Table1[[#This Row],[Total Shipping]]&gt;0.1,0.2,0)</f>
        <v>0.2</v>
      </c>
      <c r="X440" s="4">
        <f>Table1[[#This Row],[Total Shipping]]*Table1[[#This Row],[VAT on Shipping]]</f>
        <v>5.6000000000000005</v>
      </c>
      <c r="Y440" s="1">
        <f>Table1[[#This Row],[Revenue]]-Table1[[#This Row],[COGS]]</f>
        <v>59.199999999999989</v>
      </c>
      <c r="Z440" s="3">
        <f>(Table1[[#This Row],[Profit]]/Table1[[#This Row],[Revenue]])</f>
        <v>0.38144329896907214</v>
      </c>
      <c r="AA440" s="1">
        <f>Table1[[#This Row],[Profit]]-Table1[[#This Row],[Total Shipping]]</f>
        <v>31.199999999999989</v>
      </c>
      <c r="AB440" s="3">
        <f>Table1[[#This Row],[Operating Profit]]/Table1[[#This Row],[Revenue]]</f>
        <v>0.2010309278350515</v>
      </c>
    </row>
    <row r="441" spans="1:28" x14ac:dyDescent="0.25">
      <c r="A441" t="s">
        <v>239</v>
      </c>
      <c r="B441">
        <v>360</v>
      </c>
      <c r="C441" t="s">
        <v>38</v>
      </c>
      <c r="D441" t="s">
        <v>48</v>
      </c>
      <c r="E441" t="s">
        <v>40</v>
      </c>
      <c r="F441" t="s">
        <v>113</v>
      </c>
      <c r="G441" t="str" cm="1">
        <f t="array" ref="G441">_xlfn.SWITCH(F441,"Acme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441" t="s">
        <v>69</v>
      </c>
      <c r="I441" t="s">
        <v>70</v>
      </c>
      <c r="J441" t="str" cm="1">
        <f t="array" ref="J441">_xlfn.SWITCH(I441,"P001","Laptop","P002","Server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41" s="1" cm="1">
        <f t="array" ref="K441">_xlfn.SWITCH(Table1[[#This Row],[Product ID]],"P001",220,"P002",150,"P003",130,"P004",70,"P005",200,"P006",40,"P007",25,"P008",20,"P009",190,"P010",530)</f>
        <v>150</v>
      </c>
      <c r="L441">
        <v>13</v>
      </c>
      <c r="M441" s="1">
        <f>Table1[[#This Row],[Unit Price]]*Table1[[#This Row],[Quantity]]</f>
        <v>1950</v>
      </c>
      <c r="N441" s="2">
        <v>0.06</v>
      </c>
      <c r="O441" s="1">
        <f>Table1[[#This Row],[Gross Value]]*(1-Table1[[#This Row],[Discount]])</f>
        <v>1833</v>
      </c>
      <c r="P441" s="2">
        <v>0.2</v>
      </c>
      <c r="Q441" s="1">
        <f>Table1[[#This Row],[Revenue]]*Table1[[#This Row],[VAT Rate]]</f>
        <v>366.6</v>
      </c>
      <c r="R441" s="1">
        <f>Table1[[#This Row],[Revenue]]+Table1[[#This Row],[VAT Charged]]</f>
        <v>2199.6</v>
      </c>
      <c r="S441" s="1" cm="1">
        <f t="array" ref="S441">_xlfn.SWITCH(Table1[[#This Row],[Product ID]],"P001",140,"P002",80,"P003",72,"P004",30,"P005",110,"P006",24,"P007",14,"P008",12,"P009",115,"P010",360)</f>
        <v>80</v>
      </c>
      <c r="T441" s="1" cm="1">
        <f t="array" ref="T441">(_xlfn.SWITCH(Table1[[#This Row],[Product ID]],"P001",140,"P002",80,"P003",72,"P004",30,"P005",110,"P006",24,"P007",14,"P008",12,"P009",115,"P010",360))*Table1[[#This Row],[Quantity]]</f>
        <v>1040</v>
      </c>
      <c r="U441" s="1" cm="1">
        <f t="array" ref="U441">_xlfn.SWITCH(Table1[[#This Row],[Product ID]],"P001",15,"P002",0,"P003",8,"P004",8,"P005",0,"P006",7,"P007",7,"P008",6,"P009",45,"P010",60)</f>
        <v>0</v>
      </c>
      <c r="V441" s="1">
        <f>Table1[[#This Row],[Shipping per Unit]]*Table1[[#This Row],[Quantity]]</f>
        <v>0</v>
      </c>
      <c r="W441" s="2">
        <f>IF(Table1[[#This Row],[Total Shipping]]&gt;0.1,0.2,0)</f>
        <v>0</v>
      </c>
      <c r="X441" s="4">
        <f>Table1[[#This Row],[Total Shipping]]*Table1[[#This Row],[VAT on Shipping]]</f>
        <v>0</v>
      </c>
      <c r="Y441" s="1">
        <f>Table1[[#This Row],[Revenue]]-Table1[[#This Row],[COGS]]</f>
        <v>793</v>
      </c>
      <c r="Z441" s="3">
        <f>(Table1[[#This Row],[Profit]]/Table1[[#This Row],[Revenue]])</f>
        <v>0.43262411347517732</v>
      </c>
      <c r="AA441" s="1">
        <f>Table1[[#This Row],[Profit]]-Table1[[#This Row],[Total Shipping]]</f>
        <v>793</v>
      </c>
      <c r="AB441" s="3">
        <f>Table1[[#This Row],[Operating Profit]]/Table1[[#This Row],[Revenue]]</f>
        <v>0.43262411347517732</v>
      </c>
    </row>
    <row r="442" spans="1:28" x14ac:dyDescent="0.25">
      <c r="A442" t="s">
        <v>239</v>
      </c>
      <c r="B442">
        <v>584</v>
      </c>
      <c r="C442" t="s">
        <v>71</v>
      </c>
      <c r="D442" t="s">
        <v>53</v>
      </c>
      <c r="E442" t="s">
        <v>31</v>
      </c>
      <c r="F442" t="s">
        <v>113</v>
      </c>
      <c r="G442" t="str" cm="1">
        <f t="array" ref="G442">_xlfn.SWITCH(F442,"Acme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442" t="s">
        <v>51</v>
      </c>
      <c r="I442" t="s">
        <v>46</v>
      </c>
      <c r="J442" t="str" cm="1">
        <f t="array" ref="J442">_xlfn.SWITCH(I442,"P001","Laptop","P002","Server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42" s="1" cm="1">
        <f t="array" ref="K442">_xlfn.SWITCH(Table1[[#This Row],[Product ID]],"P001",220,"P002",150,"P003",130,"P004",70,"P005",200,"P006",40,"P007",25,"P008",20,"P009",190,"P010",530)</f>
        <v>530</v>
      </c>
      <c r="L442">
        <v>8</v>
      </c>
      <c r="M442" s="1">
        <f>Table1[[#This Row],[Unit Price]]*Table1[[#This Row],[Quantity]]</f>
        <v>4240</v>
      </c>
      <c r="N442" s="2">
        <v>0.04</v>
      </c>
      <c r="O442" s="1">
        <f>Table1[[#This Row],[Gross Value]]*(1-Table1[[#This Row],[Discount]])</f>
        <v>4070.3999999999996</v>
      </c>
      <c r="P442" s="2">
        <v>0.2</v>
      </c>
      <c r="Q442" s="1">
        <f>Table1[[#This Row],[Revenue]]*Table1[[#This Row],[VAT Rate]]</f>
        <v>814.07999999999993</v>
      </c>
      <c r="R442" s="1">
        <f>Table1[[#This Row],[Revenue]]+Table1[[#This Row],[VAT Charged]]</f>
        <v>4884.4799999999996</v>
      </c>
      <c r="S442" s="1" cm="1">
        <f t="array" ref="S442">_xlfn.SWITCH(Table1[[#This Row],[Product ID]],"P001",140,"P002",80,"P003",72,"P004",30,"P005",110,"P006",24,"P007",14,"P008",12,"P009",115,"P010",360)</f>
        <v>360</v>
      </c>
      <c r="T442" s="1" cm="1">
        <f t="array" ref="T442">(_xlfn.SWITCH(Table1[[#This Row],[Product ID]],"P001",140,"P002",80,"P003",72,"P004",30,"P005",110,"P006",24,"P007",14,"P008",12,"P009",115,"P010",360))*Table1[[#This Row],[Quantity]]</f>
        <v>2880</v>
      </c>
      <c r="U442" s="1" cm="1">
        <f t="array" ref="U442">_xlfn.SWITCH(Table1[[#This Row],[Product ID]],"P001",15,"P002",0,"P003",8,"P004",8,"P005",0,"P006",7,"P007",7,"P008",6,"P009",45,"P010",60)</f>
        <v>60</v>
      </c>
      <c r="V442" s="1">
        <f>Table1[[#This Row],[Shipping per Unit]]*Table1[[#This Row],[Quantity]]</f>
        <v>480</v>
      </c>
      <c r="W442" s="2">
        <f>IF(Table1[[#This Row],[Total Shipping]]&gt;0.1,0.2,0)</f>
        <v>0.2</v>
      </c>
      <c r="X442" s="4">
        <f>Table1[[#This Row],[Total Shipping]]*Table1[[#This Row],[VAT on Shipping]]</f>
        <v>96</v>
      </c>
      <c r="Y442" s="1">
        <f>Table1[[#This Row],[Revenue]]-Table1[[#This Row],[COGS]]</f>
        <v>1190.3999999999996</v>
      </c>
      <c r="Z442" s="3">
        <f>(Table1[[#This Row],[Profit]]/Table1[[#This Row],[Revenue]])</f>
        <v>0.29245283018867918</v>
      </c>
      <c r="AA442" s="1">
        <f>Table1[[#This Row],[Profit]]-Table1[[#This Row],[Total Shipping]]</f>
        <v>710.39999999999964</v>
      </c>
      <c r="AB442" s="3">
        <f>Table1[[#This Row],[Operating Profit]]/Table1[[#This Row],[Revenue]]</f>
        <v>0.17452830188679239</v>
      </c>
    </row>
    <row r="443" spans="1:28" x14ac:dyDescent="0.25">
      <c r="A443" t="s">
        <v>239</v>
      </c>
      <c r="B443">
        <v>761</v>
      </c>
      <c r="C443" t="s">
        <v>65</v>
      </c>
      <c r="D443" t="s">
        <v>95</v>
      </c>
      <c r="E443" t="s">
        <v>40</v>
      </c>
      <c r="F443" t="s">
        <v>50</v>
      </c>
      <c r="G443" t="str" cm="1">
        <f t="array" ref="G443">_xlfn.SWITCH(F443,"Acme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443" t="s">
        <v>69</v>
      </c>
      <c r="I443" t="s">
        <v>70</v>
      </c>
      <c r="J443" t="str" cm="1">
        <f t="array" ref="J443">_xlfn.SWITCH(I443,"P001","Laptop","P002","Server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43" s="1" cm="1">
        <f t="array" ref="K443">_xlfn.SWITCH(Table1[[#This Row],[Product ID]],"P001",220,"P002",150,"P003",130,"P004",70,"P005",200,"P006",40,"P007",25,"P008",20,"P009",190,"P010",530)</f>
        <v>150</v>
      </c>
      <c r="L443">
        <v>6</v>
      </c>
      <c r="M443" s="1">
        <f>Table1[[#This Row],[Unit Price]]*Table1[[#This Row],[Quantity]]</f>
        <v>900</v>
      </c>
      <c r="N443" s="2">
        <v>7.0000000000000007E-2</v>
      </c>
      <c r="O443" s="1">
        <f>Table1[[#This Row],[Gross Value]]*(1-Table1[[#This Row],[Discount]])</f>
        <v>837</v>
      </c>
      <c r="P443" s="2">
        <v>0.2</v>
      </c>
      <c r="Q443" s="1">
        <f>Table1[[#This Row],[Revenue]]*Table1[[#This Row],[VAT Rate]]</f>
        <v>167.4</v>
      </c>
      <c r="R443" s="1">
        <f>Table1[[#This Row],[Revenue]]+Table1[[#This Row],[VAT Charged]]</f>
        <v>1004.4</v>
      </c>
      <c r="S443" s="1" cm="1">
        <f t="array" ref="S443">_xlfn.SWITCH(Table1[[#This Row],[Product ID]],"P001",140,"P002",80,"P003",72,"P004",30,"P005",110,"P006",24,"P007",14,"P008",12,"P009",115,"P010",360)</f>
        <v>80</v>
      </c>
      <c r="T443" s="1" cm="1">
        <f t="array" ref="T443">(_xlfn.SWITCH(Table1[[#This Row],[Product ID]],"P001",140,"P002",80,"P003",72,"P004",30,"P005",110,"P006",24,"P007",14,"P008",12,"P009",115,"P010",360))*Table1[[#This Row],[Quantity]]</f>
        <v>480</v>
      </c>
      <c r="U443" s="1" cm="1">
        <f t="array" ref="U443">_xlfn.SWITCH(Table1[[#This Row],[Product ID]],"P001",15,"P002",0,"P003",8,"P004",8,"P005",0,"P006",7,"P007",7,"P008",6,"P009",45,"P010",60)</f>
        <v>0</v>
      </c>
      <c r="V443" s="1">
        <f>Table1[[#This Row],[Shipping per Unit]]*Table1[[#This Row],[Quantity]]</f>
        <v>0</v>
      </c>
      <c r="W443" s="2">
        <f>IF(Table1[[#This Row],[Total Shipping]]&gt;0.1,0.2,0)</f>
        <v>0</v>
      </c>
      <c r="X443" s="4">
        <f>Table1[[#This Row],[Total Shipping]]*Table1[[#This Row],[VAT on Shipping]]</f>
        <v>0</v>
      </c>
      <c r="Y443" s="1">
        <f>Table1[[#This Row],[Revenue]]-Table1[[#This Row],[COGS]]</f>
        <v>357</v>
      </c>
      <c r="Z443" s="3">
        <f>(Table1[[#This Row],[Profit]]/Table1[[#This Row],[Revenue]])</f>
        <v>0.4265232974910394</v>
      </c>
      <c r="AA443" s="1">
        <f>Table1[[#This Row],[Profit]]-Table1[[#This Row],[Total Shipping]]</f>
        <v>357</v>
      </c>
      <c r="AB443" s="3">
        <f>Table1[[#This Row],[Operating Profit]]/Table1[[#This Row],[Revenue]]</f>
        <v>0.4265232974910394</v>
      </c>
    </row>
    <row r="444" spans="1:28" x14ac:dyDescent="0.25">
      <c r="A444" t="s">
        <v>240</v>
      </c>
      <c r="B444">
        <v>508</v>
      </c>
      <c r="C444" t="s">
        <v>83</v>
      </c>
      <c r="D444" t="s">
        <v>95</v>
      </c>
      <c r="E444" t="s">
        <v>31</v>
      </c>
      <c r="F444" t="s">
        <v>32</v>
      </c>
      <c r="G444" t="str" cm="1">
        <f t="array" ref="G444">_xlfn.SWITCH(F444,"Acme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444" t="s">
        <v>33</v>
      </c>
      <c r="I444" t="s">
        <v>70</v>
      </c>
      <c r="J444" t="str" cm="1">
        <f t="array" ref="J444">_xlfn.SWITCH(I444,"P001","Laptop","P002","Server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44" s="1" cm="1">
        <f t="array" ref="K444">_xlfn.SWITCH(Table1[[#This Row],[Product ID]],"P001",220,"P002",150,"P003",130,"P004",70,"P005",200,"P006",40,"P007",25,"P008",20,"P009",190,"P010",530)</f>
        <v>150</v>
      </c>
      <c r="L444">
        <v>1</v>
      </c>
      <c r="M444" s="1">
        <f>Table1[[#This Row],[Unit Price]]*Table1[[#This Row],[Quantity]]</f>
        <v>150</v>
      </c>
      <c r="N444" s="2">
        <v>0.01</v>
      </c>
      <c r="O444" s="1">
        <f>Table1[[#This Row],[Gross Value]]*(1-Table1[[#This Row],[Discount]])</f>
        <v>148.5</v>
      </c>
      <c r="P444" s="2">
        <v>0.2</v>
      </c>
      <c r="Q444" s="1">
        <f>Table1[[#This Row],[Revenue]]*Table1[[#This Row],[VAT Rate]]</f>
        <v>29.700000000000003</v>
      </c>
      <c r="R444" s="1">
        <f>Table1[[#This Row],[Revenue]]+Table1[[#This Row],[VAT Charged]]</f>
        <v>178.2</v>
      </c>
      <c r="S444" s="1" cm="1">
        <f t="array" ref="S444">_xlfn.SWITCH(Table1[[#This Row],[Product ID]],"P001",140,"P002",80,"P003",72,"P004",30,"P005",110,"P006",24,"P007",14,"P008",12,"P009",115,"P010",360)</f>
        <v>80</v>
      </c>
      <c r="T444" s="1" cm="1">
        <f t="array" ref="T444">(_xlfn.SWITCH(Table1[[#This Row],[Product ID]],"P001",140,"P002",80,"P003",72,"P004",30,"P005",110,"P006",24,"P007",14,"P008",12,"P009",115,"P010",360))*Table1[[#This Row],[Quantity]]</f>
        <v>80</v>
      </c>
      <c r="U444" s="1" cm="1">
        <f t="array" ref="U444">_xlfn.SWITCH(Table1[[#This Row],[Product ID]],"P001",15,"P002",0,"P003",8,"P004",8,"P005",0,"P006",7,"P007",7,"P008",6,"P009",45,"P010",60)</f>
        <v>0</v>
      </c>
      <c r="V444" s="1">
        <f>Table1[[#This Row],[Shipping per Unit]]*Table1[[#This Row],[Quantity]]</f>
        <v>0</v>
      </c>
      <c r="W444" s="2">
        <f>IF(Table1[[#This Row],[Total Shipping]]&gt;0.1,0.2,0)</f>
        <v>0</v>
      </c>
      <c r="X444" s="4">
        <f>Table1[[#This Row],[Total Shipping]]*Table1[[#This Row],[VAT on Shipping]]</f>
        <v>0</v>
      </c>
      <c r="Y444" s="1">
        <f>Table1[[#This Row],[Revenue]]-Table1[[#This Row],[COGS]]</f>
        <v>68.5</v>
      </c>
      <c r="Z444" s="3">
        <f>(Table1[[#This Row],[Profit]]/Table1[[#This Row],[Revenue]])</f>
        <v>0.46127946127946129</v>
      </c>
      <c r="AA444" s="1">
        <f>Table1[[#This Row],[Profit]]-Table1[[#This Row],[Total Shipping]]</f>
        <v>68.5</v>
      </c>
      <c r="AB444" s="3">
        <f>Table1[[#This Row],[Operating Profit]]/Table1[[#This Row],[Revenue]]</f>
        <v>0.46127946127946129</v>
      </c>
    </row>
    <row r="445" spans="1:28" x14ac:dyDescent="0.25">
      <c r="A445" t="s">
        <v>240</v>
      </c>
      <c r="B445">
        <v>703</v>
      </c>
      <c r="C445" t="s">
        <v>38</v>
      </c>
      <c r="D445" t="s">
        <v>95</v>
      </c>
      <c r="E445" t="s">
        <v>40</v>
      </c>
      <c r="F445" t="s">
        <v>59</v>
      </c>
      <c r="G445" t="str" cm="1">
        <f t="array" ref="G445">_xlfn.SWITCH(F445,"Acme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445" t="s">
        <v>51</v>
      </c>
      <c r="I445" t="s">
        <v>68</v>
      </c>
      <c r="J445" t="str" cm="1">
        <f t="array" ref="J445">_xlfn.SWITCH(I445,"P001","Laptop","P002","Server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445" s="1" cm="1">
        <f t="array" ref="K445">_xlfn.SWITCH(Table1[[#This Row],[Product ID]],"P001",220,"P002",150,"P003",130,"P004",70,"P005",200,"P006",40,"P007",25,"P008",20,"P009",190,"P010",530)</f>
        <v>220</v>
      </c>
      <c r="L445">
        <v>10</v>
      </c>
      <c r="M445" s="1">
        <f>Table1[[#This Row],[Unit Price]]*Table1[[#This Row],[Quantity]]</f>
        <v>2200</v>
      </c>
      <c r="N445" s="2">
        <v>0.05</v>
      </c>
      <c r="O445" s="1">
        <f>Table1[[#This Row],[Gross Value]]*(1-Table1[[#This Row],[Discount]])</f>
        <v>2090</v>
      </c>
      <c r="P445" s="2">
        <v>0.2</v>
      </c>
      <c r="Q445" s="1">
        <f>Table1[[#This Row],[Revenue]]*Table1[[#This Row],[VAT Rate]]</f>
        <v>418</v>
      </c>
      <c r="R445" s="1">
        <f>Table1[[#This Row],[Revenue]]+Table1[[#This Row],[VAT Charged]]</f>
        <v>2508</v>
      </c>
      <c r="S445" s="1" cm="1">
        <f t="array" ref="S445">_xlfn.SWITCH(Table1[[#This Row],[Product ID]],"P001",140,"P002",80,"P003",72,"P004",30,"P005",110,"P006",24,"P007",14,"P008",12,"P009",115,"P010",360)</f>
        <v>140</v>
      </c>
      <c r="T445" s="1" cm="1">
        <f t="array" ref="T445">(_xlfn.SWITCH(Table1[[#This Row],[Product ID]],"P001",140,"P002",80,"P003",72,"P004",30,"P005",110,"P006",24,"P007",14,"P008",12,"P009",115,"P010",360))*Table1[[#This Row],[Quantity]]</f>
        <v>1400</v>
      </c>
      <c r="U445" s="1" cm="1">
        <f t="array" ref="U445">_xlfn.SWITCH(Table1[[#This Row],[Product ID]],"P001",15,"P002",0,"P003",8,"P004",8,"P005",0,"P006",7,"P007",7,"P008",6,"P009",45,"P010",60)</f>
        <v>15</v>
      </c>
      <c r="V445" s="1">
        <f>Table1[[#This Row],[Shipping per Unit]]*Table1[[#This Row],[Quantity]]</f>
        <v>150</v>
      </c>
      <c r="W445" s="2">
        <f>IF(Table1[[#This Row],[Total Shipping]]&gt;0.1,0.2,0)</f>
        <v>0.2</v>
      </c>
      <c r="X445" s="4">
        <f>Table1[[#This Row],[Total Shipping]]*Table1[[#This Row],[VAT on Shipping]]</f>
        <v>30</v>
      </c>
      <c r="Y445" s="1">
        <f>Table1[[#This Row],[Revenue]]-Table1[[#This Row],[COGS]]</f>
        <v>690</v>
      </c>
      <c r="Z445" s="3">
        <f>(Table1[[#This Row],[Profit]]/Table1[[#This Row],[Revenue]])</f>
        <v>0.33014354066985646</v>
      </c>
      <c r="AA445" s="1">
        <f>Table1[[#This Row],[Profit]]-Table1[[#This Row],[Total Shipping]]</f>
        <v>540</v>
      </c>
      <c r="AB445" s="3">
        <f>Table1[[#This Row],[Operating Profit]]/Table1[[#This Row],[Revenue]]</f>
        <v>0.25837320574162681</v>
      </c>
    </row>
    <row r="446" spans="1:28" x14ac:dyDescent="0.25">
      <c r="A446" t="s">
        <v>240</v>
      </c>
      <c r="B446">
        <v>775</v>
      </c>
      <c r="C446" t="s">
        <v>29</v>
      </c>
      <c r="D446" t="s">
        <v>39</v>
      </c>
      <c r="E446" t="s">
        <v>31</v>
      </c>
      <c r="F446" t="s">
        <v>97</v>
      </c>
      <c r="G446" t="str" cm="1">
        <f t="array" ref="G446">_xlfn.SWITCH(F446,"Acme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446" t="s">
        <v>33</v>
      </c>
      <c r="I446" t="s">
        <v>55</v>
      </c>
      <c r="J446" t="str" cm="1">
        <f t="array" ref="J446">_xlfn.SWITCH(I446,"P001","Laptop","P002","Server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46" s="1" cm="1">
        <f t="array" ref="K446">_xlfn.SWITCH(Table1[[#This Row],[Product ID]],"P001",220,"P002",150,"P003",130,"P004",70,"P005",200,"P006",40,"P007",25,"P008",20,"P009",190,"P010",530)</f>
        <v>70</v>
      </c>
      <c r="L446">
        <v>2</v>
      </c>
      <c r="M446" s="1">
        <f>Table1[[#This Row],[Unit Price]]*Table1[[#This Row],[Quantity]]</f>
        <v>140</v>
      </c>
      <c r="N446" s="2">
        <v>7.0000000000000007E-2</v>
      </c>
      <c r="O446" s="1">
        <f>Table1[[#This Row],[Gross Value]]*(1-Table1[[#This Row],[Discount]])</f>
        <v>130.19999999999999</v>
      </c>
      <c r="P446" s="2">
        <v>0.2</v>
      </c>
      <c r="Q446" s="1">
        <f>Table1[[#This Row],[Revenue]]*Table1[[#This Row],[VAT Rate]]</f>
        <v>26.04</v>
      </c>
      <c r="R446" s="1">
        <f>Table1[[#This Row],[Revenue]]+Table1[[#This Row],[VAT Charged]]</f>
        <v>156.23999999999998</v>
      </c>
      <c r="S446" s="1" cm="1">
        <f t="array" ref="S446">_xlfn.SWITCH(Table1[[#This Row],[Product ID]],"P001",140,"P002",80,"P003",72,"P004",30,"P005",110,"P006",24,"P007",14,"P008",12,"P009",115,"P010",360)</f>
        <v>30</v>
      </c>
      <c r="T446" s="1" cm="1">
        <f t="array" ref="T446">(_xlfn.SWITCH(Table1[[#This Row],[Product ID]],"P001",140,"P002",80,"P003",72,"P004",30,"P005",110,"P006",24,"P007",14,"P008",12,"P009",115,"P010",360))*Table1[[#This Row],[Quantity]]</f>
        <v>60</v>
      </c>
      <c r="U446" s="1" cm="1">
        <f t="array" ref="U446">_xlfn.SWITCH(Table1[[#This Row],[Product ID]],"P001",15,"P002",0,"P003",8,"P004",8,"P005",0,"P006",7,"P007",7,"P008",6,"P009",45,"P010",60)</f>
        <v>8</v>
      </c>
      <c r="V446" s="1">
        <f>Table1[[#This Row],[Shipping per Unit]]*Table1[[#This Row],[Quantity]]</f>
        <v>16</v>
      </c>
      <c r="W446" s="2">
        <f>IF(Table1[[#This Row],[Total Shipping]]&gt;0.1,0.2,0)</f>
        <v>0.2</v>
      </c>
      <c r="X446" s="4">
        <f>Table1[[#This Row],[Total Shipping]]*Table1[[#This Row],[VAT on Shipping]]</f>
        <v>3.2</v>
      </c>
      <c r="Y446" s="1">
        <f>Table1[[#This Row],[Revenue]]-Table1[[#This Row],[COGS]]</f>
        <v>70.199999999999989</v>
      </c>
      <c r="Z446" s="3">
        <f>(Table1[[#This Row],[Profit]]/Table1[[#This Row],[Revenue]])</f>
        <v>0.53917050691244239</v>
      </c>
      <c r="AA446" s="1">
        <f>Table1[[#This Row],[Profit]]-Table1[[#This Row],[Total Shipping]]</f>
        <v>54.199999999999989</v>
      </c>
      <c r="AB446" s="3">
        <f>Table1[[#This Row],[Operating Profit]]/Table1[[#This Row],[Revenue]]</f>
        <v>0.41628264208909366</v>
      </c>
    </row>
    <row r="447" spans="1:28" x14ac:dyDescent="0.25">
      <c r="A447" t="s">
        <v>240</v>
      </c>
      <c r="B447">
        <v>813</v>
      </c>
      <c r="C447" t="s">
        <v>38</v>
      </c>
      <c r="D447" t="s">
        <v>63</v>
      </c>
      <c r="E447" t="s">
        <v>40</v>
      </c>
      <c r="F447" t="s">
        <v>97</v>
      </c>
      <c r="G447" t="str" cm="1">
        <f t="array" ref="G447">_xlfn.SWITCH(F447,"Acme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447" t="s">
        <v>45</v>
      </c>
      <c r="I447" t="s">
        <v>91</v>
      </c>
      <c r="J447" t="str" cm="1">
        <f t="array" ref="J447">_xlfn.SWITCH(I447,"P001","Laptop","P002","Server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47" s="1" cm="1">
        <f t="array" ref="K447">_xlfn.SWITCH(Table1[[#This Row],[Product ID]],"P001",220,"P002",150,"P003",130,"P004",70,"P005",200,"P006",40,"P007",25,"P008",20,"P009",190,"P010",530)</f>
        <v>190</v>
      </c>
      <c r="L447">
        <v>4</v>
      </c>
      <c r="M447" s="1">
        <f>Table1[[#This Row],[Unit Price]]*Table1[[#This Row],[Quantity]]</f>
        <v>760</v>
      </c>
      <c r="N447" s="2">
        <v>0.1</v>
      </c>
      <c r="O447" s="1">
        <f>Table1[[#This Row],[Gross Value]]*(1-Table1[[#This Row],[Discount]])</f>
        <v>684</v>
      </c>
      <c r="P447" s="2">
        <v>0.2</v>
      </c>
      <c r="Q447" s="1">
        <f>Table1[[#This Row],[Revenue]]*Table1[[#This Row],[VAT Rate]]</f>
        <v>136.80000000000001</v>
      </c>
      <c r="R447" s="1">
        <f>Table1[[#This Row],[Revenue]]+Table1[[#This Row],[VAT Charged]]</f>
        <v>820.8</v>
      </c>
      <c r="S447" s="1" cm="1">
        <f t="array" ref="S447">_xlfn.SWITCH(Table1[[#This Row],[Product ID]],"P001",140,"P002",80,"P003",72,"P004",30,"P005",110,"P006",24,"P007",14,"P008",12,"P009",115,"P010",360)</f>
        <v>115</v>
      </c>
      <c r="T447" s="1" cm="1">
        <f t="array" ref="T447">(_xlfn.SWITCH(Table1[[#This Row],[Product ID]],"P001",140,"P002",80,"P003",72,"P004",30,"P005",110,"P006",24,"P007",14,"P008",12,"P009",115,"P010",360))*Table1[[#This Row],[Quantity]]</f>
        <v>460</v>
      </c>
      <c r="U447" s="1" cm="1">
        <f t="array" ref="U447">_xlfn.SWITCH(Table1[[#This Row],[Product ID]],"P001",15,"P002",0,"P003",8,"P004",8,"P005",0,"P006",7,"P007",7,"P008",6,"P009",45,"P010",60)</f>
        <v>45</v>
      </c>
      <c r="V447" s="1">
        <f>Table1[[#This Row],[Shipping per Unit]]*Table1[[#This Row],[Quantity]]</f>
        <v>180</v>
      </c>
      <c r="W447" s="2">
        <f>IF(Table1[[#This Row],[Total Shipping]]&gt;0.1,0.2,0)</f>
        <v>0.2</v>
      </c>
      <c r="X447" s="4">
        <f>Table1[[#This Row],[Total Shipping]]*Table1[[#This Row],[VAT on Shipping]]</f>
        <v>36</v>
      </c>
      <c r="Y447" s="1">
        <f>Table1[[#This Row],[Revenue]]-Table1[[#This Row],[COGS]]</f>
        <v>224</v>
      </c>
      <c r="Z447" s="3">
        <f>(Table1[[#This Row],[Profit]]/Table1[[#This Row],[Revenue]])</f>
        <v>0.32748538011695905</v>
      </c>
      <c r="AA447" s="1">
        <f>Table1[[#This Row],[Profit]]-Table1[[#This Row],[Total Shipping]]</f>
        <v>44</v>
      </c>
      <c r="AB447" s="3">
        <f>Table1[[#This Row],[Operating Profit]]/Table1[[#This Row],[Revenue]]</f>
        <v>6.4327485380116955E-2</v>
      </c>
    </row>
    <row r="448" spans="1:28" x14ac:dyDescent="0.25">
      <c r="A448" t="s">
        <v>241</v>
      </c>
      <c r="B448">
        <v>140</v>
      </c>
      <c r="C448" t="s">
        <v>29</v>
      </c>
      <c r="D448" t="s">
        <v>57</v>
      </c>
      <c r="E448" t="s">
        <v>31</v>
      </c>
      <c r="F448" t="s">
        <v>102</v>
      </c>
      <c r="G448" t="str" cm="1">
        <f t="array" ref="G448">_xlfn.SWITCH(F448,"Acme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448" t="s">
        <v>51</v>
      </c>
      <c r="I448" t="s">
        <v>68</v>
      </c>
      <c r="J448" t="str" cm="1">
        <f t="array" ref="J448">_xlfn.SWITCH(I448,"P001","Laptop","P002","Server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448" s="1" cm="1">
        <f t="array" ref="K448">_xlfn.SWITCH(Table1[[#This Row],[Product ID]],"P001",220,"P002",150,"P003",130,"P004",70,"P005",200,"P006",40,"P007",25,"P008",20,"P009",190,"P010",530)</f>
        <v>220</v>
      </c>
      <c r="L448">
        <v>9</v>
      </c>
      <c r="M448" s="1">
        <f>Table1[[#This Row],[Unit Price]]*Table1[[#This Row],[Quantity]]</f>
        <v>1980</v>
      </c>
      <c r="N448" s="2">
        <v>0.08</v>
      </c>
      <c r="O448" s="1">
        <f>Table1[[#This Row],[Gross Value]]*(1-Table1[[#This Row],[Discount]])</f>
        <v>1821.6000000000001</v>
      </c>
      <c r="P448" s="2">
        <v>0.2</v>
      </c>
      <c r="Q448" s="1">
        <f>Table1[[#This Row],[Revenue]]*Table1[[#This Row],[VAT Rate]]</f>
        <v>364.32000000000005</v>
      </c>
      <c r="R448" s="1">
        <f>Table1[[#This Row],[Revenue]]+Table1[[#This Row],[VAT Charged]]</f>
        <v>2185.92</v>
      </c>
      <c r="S448" s="1" cm="1">
        <f t="array" ref="S448">_xlfn.SWITCH(Table1[[#This Row],[Product ID]],"P001",140,"P002",80,"P003",72,"P004",30,"P005",110,"P006",24,"P007",14,"P008",12,"P009",115,"P010",360)</f>
        <v>140</v>
      </c>
      <c r="T448" s="1" cm="1">
        <f t="array" ref="T448">(_xlfn.SWITCH(Table1[[#This Row],[Product ID]],"P001",140,"P002",80,"P003",72,"P004",30,"P005",110,"P006",24,"P007",14,"P008",12,"P009",115,"P010",360))*Table1[[#This Row],[Quantity]]</f>
        <v>1260</v>
      </c>
      <c r="U448" s="1" cm="1">
        <f t="array" ref="U448">_xlfn.SWITCH(Table1[[#This Row],[Product ID]],"P001",15,"P002",0,"P003",8,"P004",8,"P005",0,"P006",7,"P007",7,"P008",6,"P009",45,"P010",60)</f>
        <v>15</v>
      </c>
      <c r="V448" s="1">
        <f>Table1[[#This Row],[Shipping per Unit]]*Table1[[#This Row],[Quantity]]</f>
        <v>135</v>
      </c>
      <c r="W448" s="2">
        <f>IF(Table1[[#This Row],[Total Shipping]]&gt;0.1,0.2,0)</f>
        <v>0.2</v>
      </c>
      <c r="X448" s="4">
        <f>Table1[[#This Row],[Total Shipping]]*Table1[[#This Row],[VAT on Shipping]]</f>
        <v>27</v>
      </c>
      <c r="Y448" s="1">
        <f>Table1[[#This Row],[Revenue]]-Table1[[#This Row],[COGS]]</f>
        <v>561.60000000000014</v>
      </c>
      <c r="Z448" s="3">
        <f>(Table1[[#This Row],[Profit]]/Table1[[#This Row],[Revenue]])</f>
        <v>0.30830039525691705</v>
      </c>
      <c r="AA448" s="1">
        <f>Table1[[#This Row],[Profit]]-Table1[[#This Row],[Total Shipping]]</f>
        <v>426.60000000000014</v>
      </c>
      <c r="AB448" s="3">
        <f>Table1[[#This Row],[Operating Profit]]/Table1[[#This Row],[Revenue]]</f>
        <v>0.23418972332015817</v>
      </c>
    </row>
    <row r="449" spans="1:28" x14ac:dyDescent="0.25">
      <c r="A449" t="s">
        <v>241</v>
      </c>
      <c r="B449">
        <v>184</v>
      </c>
      <c r="C449" t="s">
        <v>71</v>
      </c>
      <c r="D449" t="s">
        <v>57</v>
      </c>
      <c r="E449" t="s">
        <v>31</v>
      </c>
      <c r="F449" t="s">
        <v>92</v>
      </c>
      <c r="G449" t="str" cm="1">
        <f t="array" ref="G449">_xlfn.SWITCH(F449,"Acme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449" t="s">
        <v>45</v>
      </c>
      <c r="I449" t="s">
        <v>60</v>
      </c>
      <c r="J449" t="str" cm="1">
        <f t="array" ref="J449">_xlfn.SWITCH(I449,"P001","Laptop","P002","Server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49" s="1" cm="1">
        <f t="array" ref="K449">_xlfn.SWITCH(Table1[[#This Row],[Product ID]],"P001",220,"P002",150,"P003",130,"P004",70,"P005",200,"P006",40,"P007",25,"P008",20,"P009",190,"P010",530)</f>
        <v>25</v>
      </c>
      <c r="L449">
        <v>12</v>
      </c>
      <c r="M449" s="1">
        <f>Table1[[#This Row],[Unit Price]]*Table1[[#This Row],[Quantity]]</f>
        <v>300</v>
      </c>
      <c r="N449" s="2">
        <v>0.06</v>
      </c>
      <c r="O449" s="1">
        <f>Table1[[#This Row],[Gross Value]]*(1-Table1[[#This Row],[Discount]])</f>
        <v>282</v>
      </c>
      <c r="P449" s="2">
        <v>0.2</v>
      </c>
      <c r="Q449" s="1">
        <f>Table1[[#This Row],[Revenue]]*Table1[[#This Row],[VAT Rate]]</f>
        <v>56.400000000000006</v>
      </c>
      <c r="R449" s="1">
        <f>Table1[[#This Row],[Revenue]]+Table1[[#This Row],[VAT Charged]]</f>
        <v>338.4</v>
      </c>
      <c r="S449" s="1" cm="1">
        <f t="array" ref="S449">_xlfn.SWITCH(Table1[[#This Row],[Product ID]],"P001",140,"P002",80,"P003",72,"P004",30,"P005",110,"P006",24,"P007",14,"P008",12,"P009",115,"P010",360)</f>
        <v>14</v>
      </c>
      <c r="T449" s="1" cm="1">
        <f t="array" ref="T449">(_xlfn.SWITCH(Table1[[#This Row],[Product ID]],"P001",140,"P002",80,"P003",72,"P004",30,"P005",110,"P006",24,"P007",14,"P008",12,"P009",115,"P010",360))*Table1[[#This Row],[Quantity]]</f>
        <v>168</v>
      </c>
      <c r="U449" s="1" cm="1">
        <f t="array" ref="U449">_xlfn.SWITCH(Table1[[#This Row],[Product ID]],"P001",15,"P002",0,"P003",8,"P004",8,"P005",0,"P006",7,"P007",7,"P008",6,"P009",45,"P010",60)</f>
        <v>7</v>
      </c>
      <c r="V449" s="1">
        <f>Table1[[#This Row],[Shipping per Unit]]*Table1[[#This Row],[Quantity]]</f>
        <v>84</v>
      </c>
      <c r="W449" s="2">
        <f>IF(Table1[[#This Row],[Total Shipping]]&gt;0.1,0.2,0)</f>
        <v>0.2</v>
      </c>
      <c r="X449" s="4">
        <f>Table1[[#This Row],[Total Shipping]]*Table1[[#This Row],[VAT on Shipping]]</f>
        <v>16.8</v>
      </c>
      <c r="Y449" s="1">
        <f>Table1[[#This Row],[Revenue]]-Table1[[#This Row],[COGS]]</f>
        <v>114</v>
      </c>
      <c r="Z449" s="3">
        <f>(Table1[[#This Row],[Profit]]/Table1[[#This Row],[Revenue]])</f>
        <v>0.40425531914893614</v>
      </c>
      <c r="AA449" s="1">
        <f>Table1[[#This Row],[Profit]]-Table1[[#This Row],[Total Shipping]]</f>
        <v>30</v>
      </c>
      <c r="AB449" s="3">
        <f>Table1[[#This Row],[Operating Profit]]/Table1[[#This Row],[Revenue]]</f>
        <v>0.10638297872340426</v>
      </c>
    </row>
    <row r="450" spans="1:28" x14ac:dyDescent="0.25">
      <c r="A450" t="s">
        <v>241</v>
      </c>
      <c r="B450">
        <v>784</v>
      </c>
      <c r="C450" t="s">
        <v>83</v>
      </c>
      <c r="D450" t="s">
        <v>36</v>
      </c>
      <c r="E450" t="s">
        <v>31</v>
      </c>
      <c r="F450" t="s">
        <v>37</v>
      </c>
      <c r="G450" t="str" cm="1">
        <f t="array" ref="G450">_xlfn.SWITCH(F450,"Acme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450" t="s">
        <v>33</v>
      </c>
      <c r="I450" t="s">
        <v>75</v>
      </c>
      <c r="J450" t="str" cm="1">
        <f t="array" ref="J450">_xlfn.SWITCH(I450,"P001","Laptop","P002","Server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50" s="1" cm="1">
        <f t="array" ref="K450">_xlfn.SWITCH(Table1[[#This Row],[Product ID]],"P001",220,"P002",150,"P003",130,"P004",70,"P005",200,"P006",40,"P007",25,"P008",20,"P009",190,"P010",530)</f>
        <v>200</v>
      </c>
      <c r="L450">
        <v>13</v>
      </c>
      <c r="M450" s="1">
        <f>Table1[[#This Row],[Unit Price]]*Table1[[#This Row],[Quantity]]</f>
        <v>2600</v>
      </c>
      <c r="N450" s="2">
        <v>0.03</v>
      </c>
      <c r="O450" s="1">
        <f>Table1[[#This Row],[Gross Value]]*(1-Table1[[#This Row],[Discount]])</f>
        <v>2522</v>
      </c>
      <c r="P450" s="2">
        <v>0.2</v>
      </c>
      <c r="Q450" s="1">
        <f>Table1[[#This Row],[Revenue]]*Table1[[#This Row],[VAT Rate]]</f>
        <v>504.40000000000003</v>
      </c>
      <c r="R450" s="1">
        <f>Table1[[#This Row],[Revenue]]+Table1[[#This Row],[VAT Charged]]</f>
        <v>3026.4</v>
      </c>
      <c r="S450" s="1" cm="1">
        <f t="array" ref="S450">_xlfn.SWITCH(Table1[[#This Row],[Product ID]],"P001",140,"P002",80,"P003",72,"P004",30,"P005",110,"P006",24,"P007",14,"P008",12,"P009",115,"P010",360)</f>
        <v>110</v>
      </c>
      <c r="T450" s="1" cm="1">
        <f t="array" ref="T450">(_xlfn.SWITCH(Table1[[#This Row],[Product ID]],"P001",140,"P002",80,"P003",72,"P004",30,"P005",110,"P006",24,"P007",14,"P008",12,"P009",115,"P010",360))*Table1[[#This Row],[Quantity]]</f>
        <v>1430</v>
      </c>
      <c r="U450" s="1" cm="1">
        <f t="array" ref="U450">_xlfn.SWITCH(Table1[[#This Row],[Product ID]],"P001",15,"P002",0,"P003",8,"P004",8,"P005",0,"P006",7,"P007",7,"P008",6,"P009",45,"P010",60)</f>
        <v>0</v>
      </c>
      <c r="V450" s="1">
        <f>Table1[[#This Row],[Shipping per Unit]]*Table1[[#This Row],[Quantity]]</f>
        <v>0</v>
      </c>
      <c r="W450" s="2">
        <f>IF(Table1[[#This Row],[Total Shipping]]&gt;0.1,0.2,0)</f>
        <v>0</v>
      </c>
      <c r="X450" s="4">
        <f>Table1[[#This Row],[Total Shipping]]*Table1[[#This Row],[VAT on Shipping]]</f>
        <v>0</v>
      </c>
      <c r="Y450" s="1">
        <f>Table1[[#This Row],[Revenue]]-Table1[[#This Row],[COGS]]</f>
        <v>1092</v>
      </c>
      <c r="Z450" s="3">
        <f>(Table1[[#This Row],[Profit]]/Table1[[#This Row],[Revenue]])</f>
        <v>0.4329896907216495</v>
      </c>
      <c r="AA450" s="1">
        <f>Table1[[#This Row],[Profit]]-Table1[[#This Row],[Total Shipping]]</f>
        <v>1092</v>
      </c>
      <c r="AB450" s="3">
        <f>Table1[[#This Row],[Operating Profit]]/Table1[[#This Row],[Revenue]]</f>
        <v>0.4329896907216495</v>
      </c>
    </row>
    <row r="451" spans="1:28" x14ac:dyDescent="0.25">
      <c r="A451" t="s">
        <v>241</v>
      </c>
      <c r="B451">
        <v>864</v>
      </c>
      <c r="C451" t="s">
        <v>56</v>
      </c>
      <c r="D451" t="s">
        <v>57</v>
      </c>
      <c r="E451" t="s">
        <v>31</v>
      </c>
      <c r="F451" t="s">
        <v>87</v>
      </c>
      <c r="G451" t="str" cm="1">
        <f t="array" ref="G451">_xlfn.SWITCH(F451,"Acme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451" t="s">
        <v>33</v>
      </c>
      <c r="I451" t="s">
        <v>34</v>
      </c>
      <c r="J451" t="str" cm="1">
        <f t="array" ref="J451">_xlfn.SWITCH(I451,"P001","Laptop","P002","Server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451" s="1" cm="1">
        <f t="array" ref="K451">_xlfn.SWITCH(Table1[[#This Row],[Product ID]],"P001",220,"P002",150,"P003",130,"P004",70,"P005",200,"P006",40,"P007",25,"P008",20,"P009",190,"P010",530)</f>
        <v>20</v>
      </c>
      <c r="L451">
        <v>17</v>
      </c>
      <c r="M451" s="1">
        <f>Table1[[#This Row],[Unit Price]]*Table1[[#This Row],[Quantity]]</f>
        <v>340</v>
      </c>
      <c r="N451" s="2">
        <v>0.03</v>
      </c>
      <c r="O451" s="1">
        <f>Table1[[#This Row],[Gross Value]]*(1-Table1[[#This Row],[Discount]])</f>
        <v>329.8</v>
      </c>
      <c r="P451" s="2">
        <v>0.2</v>
      </c>
      <c r="Q451" s="1">
        <f>Table1[[#This Row],[Revenue]]*Table1[[#This Row],[VAT Rate]]</f>
        <v>65.960000000000008</v>
      </c>
      <c r="R451" s="1">
        <f>Table1[[#This Row],[Revenue]]+Table1[[#This Row],[VAT Charged]]</f>
        <v>395.76</v>
      </c>
      <c r="S451" s="1" cm="1">
        <f t="array" ref="S451">_xlfn.SWITCH(Table1[[#This Row],[Product ID]],"P001",140,"P002",80,"P003",72,"P004",30,"P005",110,"P006",24,"P007",14,"P008",12,"P009",115,"P010",360)</f>
        <v>12</v>
      </c>
      <c r="T451" s="1" cm="1">
        <f t="array" ref="T451">(_xlfn.SWITCH(Table1[[#This Row],[Product ID]],"P001",140,"P002",80,"P003",72,"P004",30,"P005",110,"P006",24,"P007",14,"P008",12,"P009",115,"P010",360))*Table1[[#This Row],[Quantity]]</f>
        <v>204</v>
      </c>
      <c r="U451" s="1" cm="1">
        <f t="array" ref="U451">_xlfn.SWITCH(Table1[[#This Row],[Product ID]],"P001",15,"P002",0,"P003",8,"P004",8,"P005",0,"P006",7,"P007",7,"P008",6,"P009",45,"P010",60)</f>
        <v>6</v>
      </c>
      <c r="V451" s="1">
        <f>Table1[[#This Row],[Shipping per Unit]]*Table1[[#This Row],[Quantity]]</f>
        <v>102</v>
      </c>
      <c r="W451" s="2">
        <f>IF(Table1[[#This Row],[Total Shipping]]&gt;0.1,0.2,0)</f>
        <v>0.2</v>
      </c>
      <c r="X451" s="4">
        <f>Table1[[#This Row],[Total Shipping]]*Table1[[#This Row],[VAT on Shipping]]</f>
        <v>20.400000000000002</v>
      </c>
      <c r="Y451" s="1">
        <f>Table1[[#This Row],[Revenue]]-Table1[[#This Row],[COGS]]</f>
        <v>125.80000000000001</v>
      </c>
      <c r="Z451" s="3">
        <f>(Table1[[#This Row],[Profit]]/Table1[[#This Row],[Revenue]])</f>
        <v>0.3814432989690722</v>
      </c>
      <c r="AA451" s="1">
        <f>Table1[[#This Row],[Profit]]-Table1[[#This Row],[Total Shipping]]</f>
        <v>23.800000000000011</v>
      </c>
      <c r="AB451" s="3">
        <f>Table1[[#This Row],[Operating Profit]]/Table1[[#This Row],[Revenue]]</f>
        <v>7.2164948453608282E-2</v>
      </c>
    </row>
    <row r="452" spans="1:28" x14ac:dyDescent="0.25">
      <c r="A452" t="s">
        <v>241</v>
      </c>
      <c r="B452">
        <v>884</v>
      </c>
      <c r="C452" t="s">
        <v>35</v>
      </c>
      <c r="D452" t="s">
        <v>30</v>
      </c>
      <c r="E452" t="s">
        <v>40</v>
      </c>
      <c r="F452" t="s">
        <v>87</v>
      </c>
      <c r="G452" t="str" cm="1">
        <f t="array" ref="G452">_xlfn.SWITCH(F452,"Acme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452" t="s">
        <v>58</v>
      </c>
      <c r="I452" t="s">
        <v>60</v>
      </c>
      <c r="J452" t="str" cm="1">
        <f t="array" ref="J452">_xlfn.SWITCH(I452,"P001","Laptop","P002","Server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52" s="1" cm="1">
        <f t="array" ref="K452">_xlfn.SWITCH(Table1[[#This Row],[Product ID]],"P001",220,"P002",150,"P003",130,"P004",70,"P005",200,"P006",40,"P007",25,"P008",20,"P009",190,"P010",530)</f>
        <v>25</v>
      </c>
      <c r="L452">
        <v>16</v>
      </c>
      <c r="M452" s="1">
        <f>Table1[[#This Row],[Unit Price]]*Table1[[#This Row],[Quantity]]</f>
        <v>400</v>
      </c>
      <c r="N452" s="2">
        <v>0.08</v>
      </c>
      <c r="O452" s="1">
        <f>Table1[[#This Row],[Gross Value]]*(1-Table1[[#This Row],[Discount]])</f>
        <v>368</v>
      </c>
      <c r="P452" s="2">
        <v>0.2</v>
      </c>
      <c r="Q452" s="1">
        <f>Table1[[#This Row],[Revenue]]*Table1[[#This Row],[VAT Rate]]</f>
        <v>73.600000000000009</v>
      </c>
      <c r="R452" s="1">
        <f>Table1[[#This Row],[Revenue]]+Table1[[#This Row],[VAT Charged]]</f>
        <v>441.6</v>
      </c>
      <c r="S452" s="1" cm="1">
        <f t="array" ref="S452">_xlfn.SWITCH(Table1[[#This Row],[Product ID]],"P001",140,"P002",80,"P003",72,"P004",30,"P005",110,"P006",24,"P007",14,"P008",12,"P009",115,"P010",360)</f>
        <v>14</v>
      </c>
      <c r="T452" s="1" cm="1">
        <f t="array" ref="T452">(_xlfn.SWITCH(Table1[[#This Row],[Product ID]],"P001",140,"P002",80,"P003",72,"P004",30,"P005",110,"P006",24,"P007",14,"P008",12,"P009",115,"P010",360))*Table1[[#This Row],[Quantity]]</f>
        <v>224</v>
      </c>
      <c r="U452" s="1" cm="1">
        <f t="array" ref="U452">_xlfn.SWITCH(Table1[[#This Row],[Product ID]],"P001",15,"P002",0,"P003",8,"P004",8,"P005",0,"P006",7,"P007",7,"P008",6,"P009",45,"P010",60)</f>
        <v>7</v>
      </c>
      <c r="V452" s="1">
        <f>Table1[[#This Row],[Shipping per Unit]]*Table1[[#This Row],[Quantity]]</f>
        <v>112</v>
      </c>
      <c r="W452" s="2">
        <f>IF(Table1[[#This Row],[Total Shipping]]&gt;0.1,0.2,0)</f>
        <v>0.2</v>
      </c>
      <c r="X452" s="4">
        <f>Table1[[#This Row],[Total Shipping]]*Table1[[#This Row],[VAT on Shipping]]</f>
        <v>22.400000000000002</v>
      </c>
      <c r="Y452" s="1">
        <f>Table1[[#This Row],[Revenue]]-Table1[[#This Row],[COGS]]</f>
        <v>144</v>
      </c>
      <c r="Z452" s="3">
        <f>(Table1[[#This Row],[Profit]]/Table1[[#This Row],[Revenue]])</f>
        <v>0.39130434782608697</v>
      </c>
      <c r="AA452" s="1">
        <f>Table1[[#This Row],[Profit]]-Table1[[#This Row],[Total Shipping]]</f>
        <v>32</v>
      </c>
      <c r="AB452" s="3">
        <f>Table1[[#This Row],[Operating Profit]]/Table1[[#This Row],[Revenue]]</f>
        <v>8.6956521739130432E-2</v>
      </c>
    </row>
    <row r="453" spans="1:28" x14ac:dyDescent="0.25">
      <c r="A453" t="s">
        <v>242</v>
      </c>
      <c r="B453">
        <v>86</v>
      </c>
      <c r="C453" t="s">
        <v>56</v>
      </c>
      <c r="D453" t="s">
        <v>63</v>
      </c>
      <c r="E453" t="s">
        <v>49</v>
      </c>
      <c r="F453" t="s">
        <v>54</v>
      </c>
      <c r="G453" t="str" cm="1">
        <f t="array" ref="G453">_xlfn.SWITCH(F453,"Acme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453" t="s">
        <v>51</v>
      </c>
      <c r="I453" t="s">
        <v>60</v>
      </c>
      <c r="J453" t="str" cm="1">
        <f t="array" ref="J453">_xlfn.SWITCH(I453,"P001","Laptop","P002","Server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53" s="1" cm="1">
        <f t="array" ref="K453">_xlfn.SWITCH(Table1[[#This Row],[Product ID]],"P001",220,"P002",150,"P003",130,"P004",70,"P005",200,"P006",40,"P007",25,"P008",20,"P009",190,"P010",530)</f>
        <v>25</v>
      </c>
      <c r="L453">
        <v>19</v>
      </c>
      <c r="M453" s="1">
        <f>Table1[[#This Row],[Unit Price]]*Table1[[#This Row],[Quantity]]</f>
        <v>475</v>
      </c>
      <c r="N453" s="2">
        <v>0.02</v>
      </c>
      <c r="O453" s="1">
        <f>Table1[[#This Row],[Gross Value]]*(1-Table1[[#This Row],[Discount]])</f>
        <v>465.5</v>
      </c>
      <c r="P453" s="2">
        <v>0.2</v>
      </c>
      <c r="Q453" s="1">
        <f>Table1[[#This Row],[Revenue]]*Table1[[#This Row],[VAT Rate]]</f>
        <v>93.100000000000009</v>
      </c>
      <c r="R453" s="1">
        <f>Table1[[#This Row],[Revenue]]+Table1[[#This Row],[VAT Charged]]</f>
        <v>558.6</v>
      </c>
      <c r="S453" s="1" cm="1">
        <f t="array" ref="S453">_xlfn.SWITCH(Table1[[#This Row],[Product ID]],"P001",140,"P002",80,"P003",72,"P004",30,"P005",110,"P006",24,"P007",14,"P008",12,"P009",115,"P010",360)</f>
        <v>14</v>
      </c>
      <c r="T453" s="1" cm="1">
        <f t="array" ref="T453">(_xlfn.SWITCH(Table1[[#This Row],[Product ID]],"P001",140,"P002",80,"P003",72,"P004",30,"P005",110,"P006",24,"P007",14,"P008",12,"P009",115,"P010",360))*Table1[[#This Row],[Quantity]]</f>
        <v>266</v>
      </c>
      <c r="U453" s="1" cm="1">
        <f t="array" ref="U453">_xlfn.SWITCH(Table1[[#This Row],[Product ID]],"P001",15,"P002",0,"P003",8,"P004",8,"P005",0,"P006",7,"P007",7,"P008",6,"P009",45,"P010",60)</f>
        <v>7</v>
      </c>
      <c r="V453" s="1">
        <f>Table1[[#This Row],[Shipping per Unit]]*Table1[[#This Row],[Quantity]]</f>
        <v>133</v>
      </c>
      <c r="W453" s="2">
        <f>IF(Table1[[#This Row],[Total Shipping]]&gt;0.1,0.2,0)</f>
        <v>0.2</v>
      </c>
      <c r="X453" s="4">
        <f>Table1[[#This Row],[Total Shipping]]*Table1[[#This Row],[VAT on Shipping]]</f>
        <v>26.6</v>
      </c>
      <c r="Y453" s="1">
        <f>Table1[[#This Row],[Revenue]]-Table1[[#This Row],[COGS]]</f>
        <v>199.5</v>
      </c>
      <c r="Z453" s="3">
        <f>(Table1[[#This Row],[Profit]]/Table1[[#This Row],[Revenue]])</f>
        <v>0.42857142857142855</v>
      </c>
      <c r="AA453" s="1">
        <f>Table1[[#This Row],[Profit]]-Table1[[#This Row],[Total Shipping]]</f>
        <v>66.5</v>
      </c>
      <c r="AB453" s="3">
        <f>Table1[[#This Row],[Operating Profit]]/Table1[[#This Row],[Revenue]]</f>
        <v>0.14285714285714285</v>
      </c>
    </row>
    <row r="454" spans="1:28" x14ac:dyDescent="0.25">
      <c r="A454" t="s">
        <v>242</v>
      </c>
      <c r="B454">
        <v>706</v>
      </c>
      <c r="C454" t="s">
        <v>65</v>
      </c>
      <c r="D454" t="s">
        <v>57</v>
      </c>
      <c r="E454" t="s">
        <v>40</v>
      </c>
      <c r="F454" t="s">
        <v>119</v>
      </c>
      <c r="G454" t="str" cm="1">
        <f t="array" ref="G454">_xlfn.SWITCH(F454,"Acme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454" t="s">
        <v>33</v>
      </c>
      <c r="I454" t="s">
        <v>75</v>
      </c>
      <c r="J454" t="str" cm="1">
        <f t="array" ref="J454">_xlfn.SWITCH(I454,"P001","Laptop","P002","Server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54" s="1" cm="1">
        <f t="array" ref="K454">_xlfn.SWITCH(Table1[[#This Row],[Product ID]],"P001",220,"P002",150,"P003",130,"P004",70,"P005",200,"P006",40,"P007",25,"P008",20,"P009",190,"P010",530)</f>
        <v>200</v>
      </c>
      <c r="L454">
        <v>15</v>
      </c>
      <c r="M454" s="1">
        <f>Table1[[#This Row],[Unit Price]]*Table1[[#This Row],[Quantity]]</f>
        <v>3000</v>
      </c>
      <c r="N454" s="2">
        <v>0.02</v>
      </c>
      <c r="O454" s="1">
        <f>Table1[[#This Row],[Gross Value]]*(1-Table1[[#This Row],[Discount]])</f>
        <v>2940</v>
      </c>
      <c r="P454" s="2">
        <v>0.2</v>
      </c>
      <c r="Q454" s="1">
        <f>Table1[[#This Row],[Revenue]]*Table1[[#This Row],[VAT Rate]]</f>
        <v>588</v>
      </c>
      <c r="R454" s="1">
        <f>Table1[[#This Row],[Revenue]]+Table1[[#This Row],[VAT Charged]]</f>
        <v>3528</v>
      </c>
      <c r="S454" s="1" cm="1">
        <f t="array" ref="S454">_xlfn.SWITCH(Table1[[#This Row],[Product ID]],"P001",140,"P002",80,"P003",72,"P004",30,"P005",110,"P006",24,"P007",14,"P008",12,"P009",115,"P010",360)</f>
        <v>110</v>
      </c>
      <c r="T454" s="1" cm="1">
        <f t="array" ref="T454">(_xlfn.SWITCH(Table1[[#This Row],[Product ID]],"P001",140,"P002",80,"P003",72,"P004",30,"P005",110,"P006",24,"P007",14,"P008",12,"P009",115,"P010",360))*Table1[[#This Row],[Quantity]]</f>
        <v>1650</v>
      </c>
      <c r="U454" s="1" cm="1">
        <f t="array" ref="U454">_xlfn.SWITCH(Table1[[#This Row],[Product ID]],"P001",15,"P002",0,"P003",8,"P004",8,"P005",0,"P006",7,"P007",7,"P008",6,"P009",45,"P010",60)</f>
        <v>0</v>
      </c>
      <c r="V454" s="1">
        <f>Table1[[#This Row],[Shipping per Unit]]*Table1[[#This Row],[Quantity]]</f>
        <v>0</v>
      </c>
      <c r="W454" s="2">
        <f>IF(Table1[[#This Row],[Total Shipping]]&gt;0.1,0.2,0)</f>
        <v>0</v>
      </c>
      <c r="X454" s="4">
        <f>Table1[[#This Row],[Total Shipping]]*Table1[[#This Row],[VAT on Shipping]]</f>
        <v>0</v>
      </c>
      <c r="Y454" s="1">
        <f>Table1[[#This Row],[Revenue]]-Table1[[#This Row],[COGS]]</f>
        <v>1290</v>
      </c>
      <c r="Z454" s="3">
        <f>(Table1[[#This Row],[Profit]]/Table1[[#This Row],[Revenue]])</f>
        <v>0.43877551020408162</v>
      </c>
      <c r="AA454" s="1">
        <f>Table1[[#This Row],[Profit]]-Table1[[#This Row],[Total Shipping]]</f>
        <v>1290</v>
      </c>
      <c r="AB454" s="3">
        <f>Table1[[#This Row],[Operating Profit]]/Table1[[#This Row],[Revenue]]</f>
        <v>0.43877551020408162</v>
      </c>
    </row>
    <row r="455" spans="1:28" x14ac:dyDescent="0.25">
      <c r="A455" t="s">
        <v>242</v>
      </c>
      <c r="B455">
        <v>986</v>
      </c>
      <c r="C455" t="s">
        <v>71</v>
      </c>
      <c r="D455" t="s">
        <v>53</v>
      </c>
      <c r="E455" t="s">
        <v>40</v>
      </c>
      <c r="F455" t="s">
        <v>44</v>
      </c>
      <c r="G455" t="str" cm="1">
        <f t="array" ref="G455">_xlfn.SWITCH(F455,"Acme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455" t="s">
        <v>45</v>
      </c>
      <c r="I455" t="s">
        <v>42</v>
      </c>
      <c r="J455" t="str" cm="1">
        <f t="array" ref="J455">_xlfn.SWITCH(I455,"P001","Laptop","P002","Server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55" s="1" cm="1">
        <f t="array" ref="K455">_xlfn.SWITCH(Table1[[#This Row],[Product ID]],"P001",220,"P002",150,"P003",130,"P004",70,"P005",200,"P006",40,"P007",25,"P008",20,"P009",190,"P010",530)</f>
        <v>40</v>
      </c>
      <c r="L455">
        <v>11</v>
      </c>
      <c r="M455" s="1">
        <f>Table1[[#This Row],[Unit Price]]*Table1[[#This Row],[Quantity]]</f>
        <v>440</v>
      </c>
      <c r="N455" s="2">
        <v>0.1</v>
      </c>
      <c r="O455" s="1">
        <f>Table1[[#This Row],[Gross Value]]*(1-Table1[[#This Row],[Discount]])</f>
        <v>396</v>
      </c>
      <c r="P455" s="2">
        <v>0.2</v>
      </c>
      <c r="Q455" s="1">
        <f>Table1[[#This Row],[Revenue]]*Table1[[#This Row],[VAT Rate]]</f>
        <v>79.2</v>
      </c>
      <c r="R455" s="1">
        <f>Table1[[#This Row],[Revenue]]+Table1[[#This Row],[VAT Charged]]</f>
        <v>475.2</v>
      </c>
      <c r="S455" s="1" cm="1">
        <f t="array" ref="S455">_xlfn.SWITCH(Table1[[#This Row],[Product ID]],"P001",140,"P002",80,"P003",72,"P004",30,"P005",110,"P006",24,"P007",14,"P008",12,"P009",115,"P010",360)</f>
        <v>24</v>
      </c>
      <c r="T455" s="1" cm="1">
        <f t="array" ref="T455">(_xlfn.SWITCH(Table1[[#This Row],[Product ID]],"P001",140,"P002",80,"P003",72,"P004",30,"P005",110,"P006",24,"P007",14,"P008",12,"P009",115,"P010",360))*Table1[[#This Row],[Quantity]]</f>
        <v>264</v>
      </c>
      <c r="U455" s="1" cm="1">
        <f t="array" ref="U455">_xlfn.SWITCH(Table1[[#This Row],[Product ID]],"P001",15,"P002",0,"P003",8,"P004",8,"P005",0,"P006",7,"P007",7,"P008",6,"P009",45,"P010",60)</f>
        <v>7</v>
      </c>
      <c r="V455" s="1">
        <f>Table1[[#This Row],[Shipping per Unit]]*Table1[[#This Row],[Quantity]]</f>
        <v>77</v>
      </c>
      <c r="W455" s="2">
        <f>IF(Table1[[#This Row],[Total Shipping]]&gt;0.1,0.2,0)</f>
        <v>0.2</v>
      </c>
      <c r="X455" s="4">
        <f>Table1[[#This Row],[Total Shipping]]*Table1[[#This Row],[VAT on Shipping]]</f>
        <v>15.4</v>
      </c>
      <c r="Y455" s="1">
        <f>Table1[[#This Row],[Revenue]]-Table1[[#This Row],[COGS]]</f>
        <v>132</v>
      </c>
      <c r="Z455" s="3">
        <f>(Table1[[#This Row],[Profit]]/Table1[[#This Row],[Revenue]])</f>
        <v>0.33333333333333331</v>
      </c>
      <c r="AA455" s="1">
        <f>Table1[[#This Row],[Profit]]-Table1[[#This Row],[Total Shipping]]</f>
        <v>55</v>
      </c>
      <c r="AB455" s="3">
        <f>Table1[[#This Row],[Operating Profit]]/Table1[[#This Row],[Revenue]]</f>
        <v>0.1388888888888889</v>
      </c>
    </row>
    <row r="456" spans="1:28" x14ac:dyDescent="0.25">
      <c r="A456" t="s">
        <v>243</v>
      </c>
      <c r="B456">
        <v>348</v>
      </c>
      <c r="C456" t="s">
        <v>83</v>
      </c>
      <c r="D456" t="s">
        <v>57</v>
      </c>
      <c r="E456" t="s">
        <v>49</v>
      </c>
      <c r="F456" t="s">
        <v>59</v>
      </c>
      <c r="G456" t="str" cm="1">
        <f t="array" ref="G456">_xlfn.SWITCH(F456,"Acme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456" t="s">
        <v>33</v>
      </c>
      <c r="I456" t="s">
        <v>46</v>
      </c>
      <c r="J456" t="str" cm="1">
        <f t="array" ref="J456">_xlfn.SWITCH(I456,"P001","Laptop","P002","Server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56" s="1" cm="1">
        <f t="array" ref="K456">_xlfn.SWITCH(Table1[[#This Row],[Product ID]],"P001",220,"P002",150,"P003",130,"P004",70,"P005",200,"P006",40,"P007",25,"P008",20,"P009",190,"P010",530)</f>
        <v>530</v>
      </c>
      <c r="L456">
        <v>1</v>
      </c>
      <c r="M456" s="1">
        <f>Table1[[#This Row],[Unit Price]]*Table1[[#This Row],[Quantity]]</f>
        <v>530</v>
      </c>
      <c r="N456" s="2">
        <v>0.1</v>
      </c>
      <c r="O456" s="1">
        <f>Table1[[#This Row],[Gross Value]]*(1-Table1[[#This Row],[Discount]])</f>
        <v>477</v>
      </c>
      <c r="P456" s="2">
        <v>0.2</v>
      </c>
      <c r="Q456" s="1">
        <f>Table1[[#This Row],[Revenue]]*Table1[[#This Row],[VAT Rate]]</f>
        <v>95.4</v>
      </c>
      <c r="R456" s="1">
        <f>Table1[[#This Row],[Revenue]]+Table1[[#This Row],[VAT Charged]]</f>
        <v>572.4</v>
      </c>
      <c r="S456" s="1" cm="1">
        <f t="array" ref="S456">_xlfn.SWITCH(Table1[[#This Row],[Product ID]],"P001",140,"P002",80,"P003",72,"P004",30,"P005",110,"P006",24,"P007",14,"P008",12,"P009",115,"P010",360)</f>
        <v>360</v>
      </c>
      <c r="T456" s="1" cm="1">
        <f t="array" ref="T456">(_xlfn.SWITCH(Table1[[#This Row],[Product ID]],"P001",140,"P002",80,"P003",72,"P004",30,"P005",110,"P006",24,"P007",14,"P008",12,"P009",115,"P010",360))*Table1[[#This Row],[Quantity]]</f>
        <v>360</v>
      </c>
      <c r="U456" s="1" cm="1">
        <f t="array" ref="U456">_xlfn.SWITCH(Table1[[#This Row],[Product ID]],"P001",15,"P002",0,"P003",8,"P004",8,"P005",0,"P006",7,"P007",7,"P008",6,"P009",45,"P010",60)</f>
        <v>60</v>
      </c>
      <c r="V456" s="1">
        <f>Table1[[#This Row],[Shipping per Unit]]*Table1[[#This Row],[Quantity]]</f>
        <v>60</v>
      </c>
      <c r="W456" s="2">
        <f>IF(Table1[[#This Row],[Total Shipping]]&gt;0.1,0.2,0)</f>
        <v>0.2</v>
      </c>
      <c r="X456" s="4">
        <f>Table1[[#This Row],[Total Shipping]]*Table1[[#This Row],[VAT on Shipping]]</f>
        <v>12</v>
      </c>
      <c r="Y456" s="1">
        <f>Table1[[#This Row],[Revenue]]-Table1[[#This Row],[COGS]]</f>
        <v>117</v>
      </c>
      <c r="Z456" s="3">
        <f>(Table1[[#This Row],[Profit]]/Table1[[#This Row],[Revenue]])</f>
        <v>0.24528301886792453</v>
      </c>
      <c r="AA456" s="1">
        <f>Table1[[#This Row],[Profit]]-Table1[[#This Row],[Total Shipping]]</f>
        <v>57</v>
      </c>
      <c r="AB456" s="3">
        <f>Table1[[#This Row],[Operating Profit]]/Table1[[#This Row],[Revenue]]</f>
        <v>0.11949685534591195</v>
      </c>
    </row>
    <row r="457" spans="1:28" x14ac:dyDescent="0.25">
      <c r="A457" t="s">
        <v>244</v>
      </c>
      <c r="B457">
        <v>96</v>
      </c>
      <c r="C457" t="s">
        <v>65</v>
      </c>
      <c r="D457" t="s">
        <v>57</v>
      </c>
      <c r="E457" t="s">
        <v>31</v>
      </c>
      <c r="F457" t="s">
        <v>32</v>
      </c>
      <c r="G457" t="str" cm="1">
        <f t="array" ref="G457">_xlfn.SWITCH(F457,"Acme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457" t="s">
        <v>58</v>
      </c>
      <c r="I457" t="s">
        <v>42</v>
      </c>
      <c r="J457" t="str" cm="1">
        <f t="array" ref="J457">_xlfn.SWITCH(I457,"P001","Laptop","P002","Server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57" s="1" cm="1">
        <f t="array" ref="K457">_xlfn.SWITCH(Table1[[#This Row],[Product ID]],"P001",220,"P002",150,"P003",130,"P004",70,"P005",200,"P006",40,"P007",25,"P008",20,"P009",190,"P010",530)</f>
        <v>40</v>
      </c>
      <c r="L457">
        <v>8</v>
      </c>
      <c r="M457" s="1">
        <f>Table1[[#This Row],[Unit Price]]*Table1[[#This Row],[Quantity]]</f>
        <v>320</v>
      </c>
      <c r="N457" s="2">
        <v>0.05</v>
      </c>
      <c r="O457" s="1">
        <f>Table1[[#This Row],[Gross Value]]*(1-Table1[[#This Row],[Discount]])</f>
        <v>304</v>
      </c>
      <c r="P457" s="2">
        <v>0.2</v>
      </c>
      <c r="Q457" s="1">
        <f>Table1[[#This Row],[Revenue]]*Table1[[#This Row],[VAT Rate]]</f>
        <v>60.800000000000004</v>
      </c>
      <c r="R457" s="1">
        <f>Table1[[#This Row],[Revenue]]+Table1[[#This Row],[VAT Charged]]</f>
        <v>364.8</v>
      </c>
      <c r="S457" s="1" cm="1">
        <f t="array" ref="S457">_xlfn.SWITCH(Table1[[#This Row],[Product ID]],"P001",140,"P002",80,"P003",72,"P004",30,"P005",110,"P006",24,"P007",14,"P008",12,"P009",115,"P010",360)</f>
        <v>24</v>
      </c>
      <c r="T457" s="1" cm="1">
        <f t="array" ref="T457">(_xlfn.SWITCH(Table1[[#This Row],[Product ID]],"P001",140,"P002",80,"P003",72,"P004",30,"P005",110,"P006",24,"P007",14,"P008",12,"P009",115,"P010",360))*Table1[[#This Row],[Quantity]]</f>
        <v>192</v>
      </c>
      <c r="U457" s="1" cm="1">
        <f t="array" ref="U457">_xlfn.SWITCH(Table1[[#This Row],[Product ID]],"P001",15,"P002",0,"P003",8,"P004",8,"P005",0,"P006",7,"P007",7,"P008",6,"P009",45,"P010",60)</f>
        <v>7</v>
      </c>
      <c r="V457" s="1">
        <f>Table1[[#This Row],[Shipping per Unit]]*Table1[[#This Row],[Quantity]]</f>
        <v>56</v>
      </c>
      <c r="W457" s="2">
        <f>IF(Table1[[#This Row],[Total Shipping]]&gt;0.1,0.2,0)</f>
        <v>0.2</v>
      </c>
      <c r="X457" s="4">
        <f>Table1[[#This Row],[Total Shipping]]*Table1[[#This Row],[VAT on Shipping]]</f>
        <v>11.200000000000001</v>
      </c>
      <c r="Y457" s="1">
        <f>Table1[[#This Row],[Revenue]]-Table1[[#This Row],[COGS]]</f>
        <v>112</v>
      </c>
      <c r="Z457" s="3">
        <f>(Table1[[#This Row],[Profit]]/Table1[[#This Row],[Revenue]])</f>
        <v>0.36842105263157893</v>
      </c>
      <c r="AA457" s="1">
        <f>Table1[[#This Row],[Profit]]-Table1[[#This Row],[Total Shipping]]</f>
        <v>56</v>
      </c>
      <c r="AB457" s="3">
        <f>Table1[[#This Row],[Operating Profit]]/Table1[[#This Row],[Revenue]]</f>
        <v>0.18421052631578946</v>
      </c>
    </row>
    <row r="458" spans="1:28" x14ac:dyDescent="0.25">
      <c r="A458" t="s">
        <v>244</v>
      </c>
      <c r="B458">
        <v>327</v>
      </c>
      <c r="C458" t="s">
        <v>35</v>
      </c>
      <c r="D458" t="s">
        <v>57</v>
      </c>
      <c r="E458" t="s">
        <v>31</v>
      </c>
      <c r="F458" t="s">
        <v>74</v>
      </c>
      <c r="G458" t="str" cm="1">
        <f t="array" ref="G458">_xlfn.SWITCH(F458,"Acme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458" t="s">
        <v>45</v>
      </c>
      <c r="I458" t="s">
        <v>55</v>
      </c>
      <c r="J458" t="str" cm="1">
        <f t="array" ref="J458">_xlfn.SWITCH(I458,"P001","Laptop","P002","Server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58" s="1" cm="1">
        <f t="array" ref="K458">_xlfn.SWITCH(Table1[[#This Row],[Product ID]],"P001",220,"P002",150,"P003",130,"P004",70,"P005",200,"P006",40,"P007",25,"P008",20,"P009",190,"P010",530)</f>
        <v>70</v>
      </c>
      <c r="L458">
        <v>9</v>
      </c>
      <c r="M458" s="1">
        <f>Table1[[#This Row],[Unit Price]]*Table1[[#This Row],[Quantity]]</f>
        <v>630</v>
      </c>
      <c r="N458" s="2">
        <v>7.0000000000000007E-2</v>
      </c>
      <c r="O458" s="1">
        <f>Table1[[#This Row],[Gross Value]]*(1-Table1[[#This Row],[Discount]])</f>
        <v>585.9</v>
      </c>
      <c r="P458" s="2">
        <v>0.2</v>
      </c>
      <c r="Q458" s="1">
        <f>Table1[[#This Row],[Revenue]]*Table1[[#This Row],[VAT Rate]]</f>
        <v>117.18</v>
      </c>
      <c r="R458" s="1">
        <f>Table1[[#This Row],[Revenue]]+Table1[[#This Row],[VAT Charged]]</f>
        <v>703.07999999999993</v>
      </c>
      <c r="S458" s="1" cm="1">
        <f t="array" ref="S458">_xlfn.SWITCH(Table1[[#This Row],[Product ID]],"P001",140,"P002",80,"P003",72,"P004",30,"P005",110,"P006",24,"P007",14,"P008",12,"P009",115,"P010",360)</f>
        <v>30</v>
      </c>
      <c r="T458" s="1" cm="1">
        <f t="array" ref="T458">(_xlfn.SWITCH(Table1[[#This Row],[Product ID]],"P001",140,"P002",80,"P003",72,"P004",30,"P005",110,"P006",24,"P007",14,"P008",12,"P009",115,"P010",360))*Table1[[#This Row],[Quantity]]</f>
        <v>270</v>
      </c>
      <c r="U458" s="1" cm="1">
        <f t="array" ref="U458">_xlfn.SWITCH(Table1[[#This Row],[Product ID]],"P001",15,"P002",0,"P003",8,"P004",8,"P005",0,"P006",7,"P007",7,"P008",6,"P009",45,"P010",60)</f>
        <v>8</v>
      </c>
      <c r="V458" s="1">
        <f>Table1[[#This Row],[Shipping per Unit]]*Table1[[#This Row],[Quantity]]</f>
        <v>72</v>
      </c>
      <c r="W458" s="2">
        <f>IF(Table1[[#This Row],[Total Shipping]]&gt;0.1,0.2,0)</f>
        <v>0.2</v>
      </c>
      <c r="X458" s="4">
        <f>Table1[[#This Row],[Total Shipping]]*Table1[[#This Row],[VAT on Shipping]]</f>
        <v>14.4</v>
      </c>
      <c r="Y458" s="1">
        <f>Table1[[#This Row],[Revenue]]-Table1[[#This Row],[COGS]]</f>
        <v>315.89999999999998</v>
      </c>
      <c r="Z458" s="3">
        <f>(Table1[[#This Row],[Profit]]/Table1[[#This Row],[Revenue]])</f>
        <v>0.53917050691244239</v>
      </c>
      <c r="AA458" s="1">
        <f>Table1[[#This Row],[Profit]]-Table1[[#This Row],[Total Shipping]]</f>
        <v>243.89999999999998</v>
      </c>
      <c r="AB458" s="3">
        <f>Table1[[#This Row],[Operating Profit]]/Table1[[#This Row],[Revenue]]</f>
        <v>0.41628264208909366</v>
      </c>
    </row>
    <row r="459" spans="1:28" x14ac:dyDescent="0.25">
      <c r="A459" t="s">
        <v>244</v>
      </c>
      <c r="B459">
        <v>788</v>
      </c>
      <c r="C459" t="s">
        <v>71</v>
      </c>
      <c r="D459" t="s">
        <v>63</v>
      </c>
      <c r="E459" t="s">
        <v>40</v>
      </c>
      <c r="F459" t="s">
        <v>92</v>
      </c>
      <c r="G459" t="str" cm="1">
        <f t="array" ref="G459">_xlfn.SWITCH(F459,"Acme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459" t="s">
        <v>33</v>
      </c>
      <c r="I459" t="s">
        <v>42</v>
      </c>
      <c r="J459" t="str" cm="1">
        <f t="array" ref="J459">_xlfn.SWITCH(I459,"P001","Laptop","P002","Server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59" s="1" cm="1">
        <f t="array" ref="K459">_xlfn.SWITCH(Table1[[#This Row],[Product ID]],"P001",220,"P002",150,"P003",130,"P004",70,"P005",200,"P006",40,"P007",25,"P008",20,"P009",190,"P010",530)</f>
        <v>40</v>
      </c>
      <c r="L459">
        <v>13</v>
      </c>
      <c r="M459" s="1">
        <f>Table1[[#This Row],[Unit Price]]*Table1[[#This Row],[Quantity]]</f>
        <v>520</v>
      </c>
      <c r="N459" s="2">
        <v>0.03</v>
      </c>
      <c r="O459" s="1">
        <f>Table1[[#This Row],[Gross Value]]*(1-Table1[[#This Row],[Discount]])</f>
        <v>504.4</v>
      </c>
      <c r="P459" s="2">
        <v>0.2</v>
      </c>
      <c r="Q459" s="1">
        <f>Table1[[#This Row],[Revenue]]*Table1[[#This Row],[VAT Rate]]</f>
        <v>100.88</v>
      </c>
      <c r="R459" s="1">
        <f>Table1[[#This Row],[Revenue]]+Table1[[#This Row],[VAT Charged]]</f>
        <v>605.28</v>
      </c>
      <c r="S459" s="1" cm="1">
        <f t="array" ref="S459">_xlfn.SWITCH(Table1[[#This Row],[Product ID]],"P001",140,"P002",80,"P003",72,"P004",30,"P005",110,"P006",24,"P007",14,"P008",12,"P009",115,"P010",360)</f>
        <v>24</v>
      </c>
      <c r="T459" s="1" cm="1">
        <f t="array" ref="T459">(_xlfn.SWITCH(Table1[[#This Row],[Product ID]],"P001",140,"P002",80,"P003",72,"P004",30,"P005",110,"P006",24,"P007",14,"P008",12,"P009",115,"P010",360))*Table1[[#This Row],[Quantity]]</f>
        <v>312</v>
      </c>
      <c r="U459" s="1" cm="1">
        <f t="array" ref="U459">_xlfn.SWITCH(Table1[[#This Row],[Product ID]],"P001",15,"P002",0,"P003",8,"P004",8,"P005",0,"P006",7,"P007",7,"P008",6,"P009",45,"P010",60)</f>
        <v>7</v>
      </c>
      <c r="V459" s="1">
        <f>Table1[[#This Row],[Shipping per Unit]]*Table1[[#This Row],[Quantity]]</f>
        <v>91</v>
      </c>
      <c r="W459" s="2">
        <f>IF(Table1[[#This Row],[Total Shipping]]&gt;0.1,0.2,0)</f>
        <v>0.2</v>
      </c>
      <c r="X459" s="4">
        <f>Table1[[#This Row],[Total Shipping]]*Table1[[#This Row],[VAT on Shipping]]</f>
        <v>18.2</v>
      </c>
      <c r="Y459" s="1">
        <f>Table1[[#This Row],[Revenue]]-Table1[[#This Row],[COGS]]</f>
        <v>192.39999999999998</v>
      </c>
      <c r="Z459" s="3">
        <f>(Table1[[#This Row],[Profit]]/Table1[[#This Row],[Revenue]])</f>
        <v>0.38144329896907214</v>
      </c>
      <c r="AA459" s="1">
        <f>Table1[[#This Row],[Profit]]-Table1[[#This Row],[Total Shipping]]</f>
        <v>101.39999999999998</v>
      </c>
      <c r="AB459" s="3">
        <f>Table1[[#This Row],[Operating Profit]]/Table1[[#This Row],[Revenue]]</f>
        <v>0.2010309278350515</v>
      </c>
    </row>
    <row r="460" spans="1:28" x14ac:dyDescent="0.25">
      <c r="A460" t="s">
        <v>244</v>
      </c>
      <c r="B460">
        <v>978</v>
      </c>
      <c r="C460" t="s">
        <v>35</v>
      </c>
      <c r="D460" t="s">
        <v>95</v>
      </c>
      <c r="E460" t="s">
        <v>40</v>
      </c>
      <c r="F460" t="s">
        <v>54</v>
      </c>
      <c r="G460" t="str" cm="1">
        <f t="array" ref="G460">_xlfn.SWITCH(F460,"Acme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460" t="s">
        <v>33</v>
      </c>
      <c r="I460" t="s">
        <v>46</v>
      </c>
      <c r="J460" t="str" cm="1">
        <f t="array" ref="J460">_xlfn.SWITCH(I460,"P001","Laptop","P002","Server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60" s="1" cm="1">
        <f t="array" ref="K460">_xlfn.SWITCH(Table1[[#This Row],[Product ID]],"P001",220,"P002",150,"P003",130,"P004",70,"P005",200,"P006",40,"P007",25,"P008",20,"P009",190,"P010",530)</f>
        <v>530</v>
      </c>
      <c r="L460">
        <v>7</v>
      </c>
      <c r="M460" s="1">
        <f>Table1[[#This Row],[Unit Price]]*Table1[[#This Row],[Quantity]]</f>
        <v>3710</v>
      </c>
      <c r="N460" s="2">
        <v>7.0000000000000007E-2</v>
      </c>
      <c r="O460" s="1">
        <f>Table1[[#This Row],[Gross Value]]*(1-Table1[[#This Row],[Discount]])</f>
        <v>3450.2999999999997</v>
      </c>
      <c r="P460" s="2">
        <v>0.2</v>
      </c>
      <c r="Q460" s="1">
        <f>Table1[[#This Row],[Revenue]]*Table1[[#This Row],[VAT Rate]]</f>
        <v>690.06</v>
      </c>
      <c r="R460" s="1">
        <f>Table1[[#This Row],[Revenue]]+Table1[[#This Row],[VAT Charged]]</f>
        <v>4140.3599999999997</v>
      </c>
      <c r="S460" s="1" cm="1">
        <f t="array" ref="S460">_xlfn.SWITCH(Table1[[#This Row],[Product ID]],"P001",140,"P002",80,"P003",72,"P004",30,"P005",110,"P006",24,"P007",14,"P008",12,"P009",115,"P010",360)</f>
        <v>360</v>
      </c>
      <c r="T460" s="1" cm="1">
        <f t="array" ref="T460">(_xlfn.SWITCH(Table1[[#This Row],[Product ID]],"P001",140,"P002",80,"P003",72,"P004",30,"P005",110,"P006",24,"P007",14,"P008",12,"P009",115,"P010",360))*Table1[[#This Row],[Quantity]]</f>
        <v>2520</v>
      </c>
      <c r="U460" s="1" cm="1">
        <f t="array" ref="U460">_xlfn.SWITCH(Table1[[#This Row],[Product ID]],"P001",15,"P002",0,"P003",8,"P004",8,"P005",0,"P006",7,"P007",7,"P008",6,"P009",45,"P010",60)</f>
        <v>60</v>
      </c>
      <c r="V460" s="1">
        <f>Table1[[#This Row],[Shipping per Unit]]*Table1[[#This Row],[Quantity]]</f>
        <v>420</v>
      </c>
      <c r="W460" s="2">
        <f>IF(Table1[[#This Row],[Total Shipping]]&gt;0.1,0.2,0)</f>
        <v>0.2</v>
      </c>
      <c r="X460" s="4">
        <f>Table1[[#This Row],[Total Shipping]]*Table1[[#This Row],[VAT on Shipping]]</f>
        <v>84</v>
      </c>
      <c r="Y460" s="1">
        <f>Table1[[#This Row],[Revenue]]-Table1[[#This Row],[COGS]]</f>
        <v>930.29999999999973</v>
      </c>
      <c r="Z460" s="3">
        <f>(Table1[[#This Row],[Profit]]/Table1[[#This Row],[Revenue]])</f>
        <v>0.26962872793670112</v>
      </c>
      <c r="AA460" s="1">
        <f>Table1[[#This Row],[Profit]]-Table1[[#This Row],[Total Shipping]]</f>
        <v>510.29999999999973</v>
      </c>
      <c r="AB460" s="3">
        <f>Table1[[#This Row],[Operating Profit]]/Table1[[#This Row],[Revenue]]</f>
        <v>0.14790018259281795</v>
      </c>
    </row>
    <row r="461" spans="1:28" x14ac:dyDescent="0.25">
      <c r="A461" t="s">
        <v>244</v>
      </c>
      <c r="B461">
        <v>984</v>
      </c>
      <c r="C461" t="s">
        <v>83</v>
      </c>
      <c r="D461" t="s">
        <v>30</v>
      </c>
      <c r="E461" t="s">
        <v>40</v>
      </c>
      <c r="F461" t="s">
        <v>84</v>
      </c>
      <c r="G461" t="str" cm="1">
        <f t="array" ref="G461">_xlfn.SWITCH(F461,"Acme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461" t="s">
        <v>33</v>
      </c>
      <c r="I461" t="s">
        <v>34</v>
      </c>
      <c r="J461" t="str" cm="1">
        <f t="array" ref="J461">_xlfn.SWITCH(I461,"P001","Laptop","P002","Server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461" s="1" cm="1">
        <f t="array" ref="K461">_xlfn.SWITCH(Table1[[#This Row],[Product ID]],"P001",220,"P002",150,"P003",130,"P004",70,"P005",200,"P006",40,"P007",25,"P008",20,"P009",190,"P010",530)</f>
        <v>20</v>
      </c>
      <c r="L461">
        <v>2</v>
      </c>
      <c r="M461" s="1">
        <f>Table1[[#This Row],[Unit Price]]*Table1[[#This Row],[Quantity]]</f>
        <v>40</v>
      </c>
      <c r="N461" s="2">
        <v>0.09</v>
      </c>
      <c r="O461" s="1">
        <f>Table1[[#This Row],[Gross Value]]*(1-Table1[[#This Row],[Discount]])</f>
        <v>36.4</v>
      </c>
      <c r="P461" s="2">
        <v>0.2</v>
      </c>
      <c r="Q461" s="1">
        <f>Table1[[#This Row],[Revenue]]*Table1[[#This Row],[VAT Rate]]</f>
        <v>7.28</v>
      </c>
      <c r="R461" s="1">
        <f>Table1[[#This Row],[Revenue]]+Table1[[#This Row],[VAT Charged]]</f>
        <v>43.68</v>
      </c>
      <c r="S461" s="1" cm="1">
        <f t="array" ref="S461">_xlfn.SWITCH(Table1[[#This Row],[Product ID]],"P001",140,"P002",80,"P003",72,"P004",30,"P005",110,"P006",24,"P007",14,"P008",12,"P009",115,"P010",360)</f>
        <v>12</v>
      </c>
      <c r="T461" s="1" cm="1">
        <f t="array" ref="T461">(_xlfn.SWITCH(Table1[[#This Row],[Product ID]],"P001",140,"P002",80,"P003",72,"P004",30,"P005",110,"P006",24,"P007",14,"P008",12,"P009",115,"P010",360))*Table1[[#This Row],[Quantity]]</f>
        <v>24</v>
      </c>
      <c r="U461" s="1" cm="1">
        <f t="array" ref="U461">_xlfn.SWITCH(Table1[[#This Row],[Product ID]],"P001",15,"P002",0,"P003",8,"P004",8,"P005",0,"P006",7,"P007",7,"P008",6,"P009",45,"P010",60)</f>
        <v>6</v>
      </c>
      <c r="V461" s="1">
        <f>Table1[[#This Row],[Shipping per Unit]]*Table1[[#This Row],[Quantity]]</f>
        <v>12</v>
      </c>
      <c r="W461" s="2">
        <f>IF(Table1[[#This Row],[Total Shipping]]&gt;0.1,0.2,0)</f>
        <v>0.2</v>
      </c>
      <c r="X461" s="4">
        <f>Table1[[#This Row],[Total Shipping]]*Table1[[#This Row],[VAT on Shipping]]</f>
        <v>2.4000000000000004</v>
      </c>
      <c r="Y461" s="1">
        <f>Table1[[#This Row],[Revenue]]-Table1[[#This Row],[COGS]]</f>
        <v>12.399999999999999</v>
      </c>
      <c r="Z461" s="3">
        <f>(Table1[[#This Row],[Profit]]/Table1[[#This Row],[Revenue]])</f>
        <v>0.34065934065934061</v>
      </c>
      <c r="AA461" s="1">
        <f>Table1[[#This Row],[Profit]]-Table1[[#This Row],[Total Shipping]]</f>
        <v>0.39999999999999858</v>
      </c>
      <c r="AB461" s="3">
        <f>Table1[[#This Row],[Operating Profit]]/Table1[[#This Row],[Revenue]]</f>
        <v>1.098901098901095E-2</v>
      </c>
    </row>
    <row r="462" spans="1:28" x14ac:dyDescent="0.25">
      <c r="A462" t="s">
        <v>245</v>
      </c>
      <c r="B462">
        <v>97</v>
      </c>
      <c r="C462" t="s">
        <v>62</v>
      </c>
      <c r="D462" t="s">
        <v>30</v>
      </c>
      <c r="E462" t="s">
        <v>31</v>
      </c>
      <c r="F462" t="s">
        <v>44</v>
      </c>
      <c r="G462" t="str" cm="1">
        <f t="array" ref="G462">_xlfn.SWITCH(F462,"Acme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462" t="s">
        <v>58</v>
      </c>
      <c r="I462" t="s">
        <v>55</v>
      </c>
      <c r="J462" t="str" cm="1">
        <f t="array" ref="J462">_xlfn.SWITCH(I462,"P001","Laptop","P002","Server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62" s="1" cm="1">
        <f t="array" ref="K462">_xlfn.SWITCH(Table1[[#This Row],[Product ID]],"P001",220,"P002",150,"P003",130,"P004",70,"P005",200,"P006",40,"P007",25,"P008",20,"P009",190,"P010",530)</f>
        <v>70</v>
      </c>
      <c r="L462">
        <v>10</v>
      </c>
      <c r="M462" s="1">
        <f>Table1[[#This Row],[Unit Price]]*Table1[[#This Row],[Quantity]]</f>
        <v>700</v>
      </c>
      <c r="N462" s="2">
        <v>0.1</v>
      </c>
      <c r="O462" s="1">
        <f>Table1[[#This Row],[Gross Value]]*(1-Table1[[#This Row],[Discount]])</f>
        <v>630</v>
      </c>
      <c r="P462" s="2">
        <v>0.2</v>
      </c>
      <c r="Q462" s="1">
        <f>Table1[[#This Row],[Revenue]]*Table1[[#This Row],[VAT Rate]]</f>
        <v>126</v>
      </c>
      <c r="R462" s="1">
        <f>Table1[[#This Row],[Revenue]]+Table1[[#This Row],[VAT Charged]]</f>
        <v>756</v>
      </c>
      <c r="S462" s="1" cm="1">
        <f t="array" ref="S462">_xlfn.SWITCH(Table1[[#This Row],[Product ID]],"P001",140,"P002",80,"P003",72,"P004",30,"P005",110,"P006",24,"P007",14,"P008",12,"P009",115,"P010",360)</f>
        <v>30</v>
      </c>
      <c r="T462" s="1" cm="1">
        <f t="array" ref="T462">(_xlfn.SWITCH(Table1[[#This Row],[Product ID]],"P001",140,"P002",80,"P003",72,"P004",30,"P005",110,"P006",24,"P007",14,"P008",12,"P009",115,"P010",360))*Table1[[#This Row],[Quantity]]</f>
        <v>300</v>
      </c>
      <c r="U462" s="1" cm="1">
        <f t="array" ref="U462">_xlfn.SWITCH(Table1[[#This Row],[Product ID]],"P001",15,"P002",0,"P003",8,"P004",8,"P005",0,"P006",7,"P007",7,"P008",6,"P009",45,"P010",60)</f>
        <v>8</v>
      </c>
      <c r="V462" s="1">
        <f>Table1[[#This Row],[Shipping per Unit]]*Table1[[#This Row],[Quantity]]</f>
        <v>80</v>
      </c>
      <c r="W462" s="2">
        <f>IF(Table1[[#This Row],[Total Shipping]]&gt;0.1,0.2,0)</f>
        <v>0.2</v>
      </c>
      <c r="X462" s="4">
        <f>Table1[[#This Row],[Total Shipping]]*Table1[[#This Row],[VAT on Shipping]]</f>
        <v>16</v>
      </c>
      <c r="Y462" s="1">
        <f>Table1[[#This Row],[Revenue]]-Table1[[#This Row],[COGS]]</f>
        <v>330</v>
      </c>
      <c r="Z462" s="3">
        <f>(Table1[[#This Row],[Profit]]/Table1[[#This Row],[Revenue]])</f>
        <v>0.52380952380952384</v>
      </c>
      <c r="AA462" s="1">
        <f>Table1[[#This Row],[Profit]]-Table1[[#This Row],[Total Shipping]]</f>
        <v>250</v>
      </c>
      <c r="AB462" s="3">
        <f>Table1[[#This Row],[Operating Profit]]/Table1[[#This Row],[Revenue]]</f>
        <v>0.3968253968253968</v>
      </c>
    </row>
    <row r="463" spans="1:28" x14ac:dyDescent="0.25">
      <c r="A463" t="s">
        <v>245</v>
      </c>
      <c r="B463">
        <v>347</v>
      </c>
      <c r="C463" t="s">
        <v>62</v>
      </c>
      <c r="D463" t="s">
        <v>95</v>
      </c>
      <c r="E463" t="s">
        <v>49</v>
      </c>
      <c r="F463" t="s">
        <v>37</v>
      </c>
      <c r="G463" t="str" cm="1">
        <f t="array" ref="G463">_xlfn.SWITCH(F463,"Acme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463" t="s">
        <v>33</v>
      </c>
      <c r="I463" t="s">
        <v>60</v>
      </c>
      <c r="J463" t="str" cm="1">
        <f t="array" ref="J463">_xlfn.SWITCH(I463,"P001","Laptop","P002","Server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63" s="1" cm="1">
        <f t="array" ref="K463">_xlfn.SWITCH(Table1[[#This Row],[Product ID]],"P001",220,"P002",150,"P003",130,"P004",70,"P005",200,"P006",40,"P007",25,"P008",20,"P009",190,"P010",530)</f>
        <v>25</v>
      </c>
      <c r="L463">
        <v>17</v>
      </c>
      <c r="M463" s="1">
        <f>Table1[[#This Row],[Unit Price]]*Table1[[#This Row],[Quantity]]</f>
        <v>425</v>
      </c>
      <c r="N463" s="2">
        <v>0.08</v>
      </c>
      <c r="O463" s="1">
        <f>Table1[[#This Row],[Gross Value]]*(1-Table1[[#This Row],[Discount]])</f>
        <v>391</v>
      </c>
      <c r="P463" s="2">
        <v>0.2</v>
      </c>
      <c r="Q463" s="1">
        <f>Table1[[#This Row],[Revenue]]*Table1[[#This Row],[VAT Rate]]</f>
        <v>78.2</v>
      </c>
      <c r="R463" s="1">
        <f>Table1[[#This Row],[Revenue]]+Table1[[#This Row],[VAT Charged]]</f>
        <v>469.2</v>
      </c>
      <c r="S463" s="1" cm="1">
        <f t="array" ref="S463">_xlfn.SWITCH(Table1[[#This Row],[Product ID]],"P001",140,"P002",80,"P003",72,"P004",30,"P005",110,"P006",24,"P007",14,"P008",12,"P009",115,"P010",360)</f>
        <v>14</v>
      </c>
      <c r="T463" s="1" cm="1">
        <f t="array" ref="T463">(_xlfn.SWITCH(Table1[[#This Row],[Product ID]],"P001",140,"P002",80,"P003",72,"P004",30,"P005",110,"P006",24,"P007",14,"P008",12,"P009",115,"P010",360))*Table1[[#This Row],[Quantity]]</f>
        <v>238</v>
      </c>
      <c r="U463" s="1" cm="1">
        <f t="array" ref="U463">_xlfn.SWITCH(Table1[[#This Row],[Product ID]],"P001",15,"P002",0,"P003",8,"P004",8,"P005",0,"P006",7,"P007",7,"P008",6,"P009",45,"P010",60)</f>
        <v>7</v>
      </c>
      <c r="V463" s="1">
        <f>Table1[[#This Row],[Shipping per Unit]]*Table1[[#This Row],[Quantity]]</f>
        <v>119</v>
      </c>
      <c r="W463" s="2">
        <f>IF(Table1[[#This Row],[Total Shipping]]&gt;0.1,0.2,0)</f>
        <v>0.2</v>
      </c>
      <c r="X463" s="4">
        <f>Table1[[#This Row],[Total Shipping]]*Table1[[#This Row],[VAT on Shipping]]</f>
        <v>23.8</v>
      </c>
      <c r="Y463" s="1">
        <f>Table1[[#This Row],[Revenue]]-Table1[[#This Row],[COGS]]</f>
        <v>153</v>
      </c>
      <c r="Z463" s="3">
        <f>(Table1[[#This Row],[Profit]]/Table1[[#This Row],[Revenue]])</f>
        <v>0.39130434782608697</v>
      </c>
      <c r="AA463" s="1">
        <f>Table1[[#This Row],[Profit]]-Table1[[#This Row],[Total Shipping]]</f>
        <v>34</v>
      </c>
      <c r="AB463" s="3">
        <f>Table1[[#This Row],[Operating Profit]]/Table1[[#This Row],[Revenue]]</f>
        <v>8.6956521739130432E-2</v>
      </c>
    </row>
    <row r="464" spans="1:28" x14ac:dyDescent="0.25">
      <c r="A464" t="s">
        <v>245</v>
      </c>
      <c r="B464">
        <v>718</v>
      </c>
      <c r="C464" t="s">
        <v>83</v>
      </c>
      <c r="D464" t="s">
        <v>53</v>
      </c>
      <c r="E464" t="s">
        <v>49</v>
      </c>
      <c r="F464" t="s">
        <v>103</v>
      </c>
      <c r="G464" t="str" cm="1">
        <f t="array" ref="G464">_xlfn.SWITCH(F464,"Acme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464" t="s">
        <v>33</v>
      </c>
      <c r="I464" t="s">
        <v>42</v>
      </c>
      <c r="J464" t="str" cm="1">
        <f t="array" ref="J464">_xlfn.SWITCH(I464,"P001","Laptop","P002","Server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64" s="1" cm="1">
        <f t="array" ref="K464">_xlfn.SWITCH(Table1[[#This Row],[Product ID]],"P001",220,"P002",150,"P003",130,"P004",70,"P005",200,"P006",40,"P007",25,"P008",20,"P009",190,"P010",530)</f>
        <v>40</v>
      </c>
      <c r="L464">
        <v>19</v>
      </c>
      <c r="M464" s="1">
        <f>Table1[[#This Row],[Unit Price]]*Table1[[#This Row],[Quantity]]</f>
        <v>760</v>
      </c>
      <c r="N464" s="2">
        <v>0.12</v>
      </c>
      <c r="O464" s="1">
        <f>Table1[[#This Row],[Gross Value]]*(1-Table1[[#This Row],[Discount]])</f>
        <v>668.8</v>
      </c>
      <c r="P464" s="2">
        <v>0.2</v>
      </c>
      <c r="Q464" s="1">
        <f>Table1[[#This Row],[Revenue]]*Table1[[#This Row],[VAT Rate]]</f>
        <v>133.76</v>
      </c>
      <c r="R464" s="1">
        <f>Table1[[#This Row],[Revenue]]+Table1[[#This Row],[VAT Charged]]</f>
        <v>802.56</v>
      </c>
      <c r="S464" s="1" cm="1">
        <f t="array" ref="S464">_xlfn.SWITCH(Table1[[#This Row],[Product ID]],"P001",140,"P002",80,"P003",72,"P004",30,"P005",110,"P006",24,"P007",14,"P008",12,"P009",115,"P010",360)</f>
        <v>24</v>
      </c>
      <c r="T464" s="1" cm="1">
        <f t="array" ref="T464">(_xlfn.SWITCH(Table1[[#This Row],[Product ID]],"P001",140,"P002",80,"P003",72,"P004",30,"P005",110,"P006",24,"P007",14,"P008",12,"P009",115,"P010",360))*Table1[[#This Row],[Quantity]]</f>
        <v>456</v>
      </c>
      <c r="U464" s="1" cm="1">
        <f t="array" ref="U464">_xlfn.SWITCH(Table1[[#This Row],[Product ID]],"P001",15,"P002",0,"P003",8,"P004",8,"P005",0,"P006",7,"P007",7,"P008",6,"P009",45,"P010",60)</f>
        <v>7</v>
      </c>
      <c r="V464" s="1">
        <f>Table1[[#This Row],[Shipping per Unit]]*Table1[[#This Row],[Quantity]]</f>
        <v>133</v>
      </c>
      <c r="W464" s="2">
        <f>IF(Table1[[#This Row],[Total Shipping]]&gt;0.1,0.2,0)</f>
        <v>0.2</v>
      </c>
      <c r="X464" s="4">
        <f>Table1[[#This Row],[Total Shipping]]*Table1[[#This Row],[VAT on Shipping]]</f>
        <v>26.6</v>
      </c>
      <c r="Y464" s="1">
        <f>Table1[[#This Row],[Revenue]]-Table1[[#This Row],[COGS]]</f>
        <v>212.79999999999995</v>
      </c>
      <c r="Z464" s="3">
        <f>(Table1[[#This Row],[Profit]]/Table1[[#This Row],[Revenue]])</f>
        <v>0.31818181818181812</v>
      </c>
      <c r="AA464" s="1">
        <f>Table1[[#This Row],[Profit]]-Table1[[#This Row],[Total Shipping]]</f>
        <v>79.799999999999955</v>
      </c>
      <c r="AB464" s="3">
        <f>Table1[[#This Row],[Operating Profit]]/Table1[[#This Row],[Revenue]]</f>
        <v>0.11931818181818175</v>
      </c>
    </row>
    <row r="465" spans="1:28" x14ac:dyDescent="0.25">
      <c r="A465" t="s">
        <v>245</v>
      </c>
      <c r="B465">
        <v>996</v>
      </c>
      <c r="C465" t="s">
        <v>29</v>
      </c>
      <c r="D465" t="s">
        <v>30</v>
      </c>
      <c r="E465" t="s">
        <v>49</v>
      </c>
      <c r="F465" t="s">
        <v>98</v>
      </c>
      <c r="G465" t="str" cm="1">
        <f t="array" ref="G465">_xlfn.SWITCH(F465,"Acme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465" t="s">
        <v>58</v>
      </c>
      <c r="I465" t="s">
        <v>42</v>
      </c>
      <c r="J465" t="str" cm="1">
        <f t="array" ref="J465">_xlfn.SWITCH(I465,"P001","Laptop","P002","Server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65" s="1" cm="1">
        <f t="array" ref="K465">_xlfn.SWITCH(Table1[[#This Row],[Product ID]],"P001",220,"P002",150,"P003",130,"P004",70,"P005",200,"P006",40,"P007",25,"P008",20,"P009",190,"P010",530)</f>
        <v>40</v>
      </c>
      <c r="L465">
        <v>15</v>
      </c>
      <c r="M465" s="1">
        <f>Table1[[#This Row],[Unit Price]]*Table1[[#This Row],[Quantity]]</f>
        <v>600</v>
      </c>
      <c r="N465" s="2">
        <v>0.1</v>
      </c>
      <c r="O465" s="1">
        <f>Table1[[#This Row],[Gross Value]]*(1-Table1[[#This Row],[Discount]])</f>
        <v>540</v>
      </c>
      <c r="P465" s="2">
        <v>0.2</v>
      </c>
      <c r="Q465" s="1">
        <f>Table1[[#This Row],[Revenue]]*Table1[[#This Row],[VAT Rate]]</f>
        <v>108</v>
      </c>
      <c r="R465" s="1">
        <f>Table1[[#This Row],[Revenue]]+Table1[[#This Row],[VAT Charged]]</f>
        <v>648</v>
      </c>
      <c r="S465" s="1" cm="1">
        <f t="array" ref="S465">_xlfn.SWITCH(Table1[[#This Row],[Product ID]],"P001",140,"P002",80,"P003",72,"P004",30,"P005",110,"P006",24,"P007",14,"P008",12,"P009",115,"P010",360)</f>
        <v>24</v>
      </c>
      <c r="T465" s="1" cm="1">
        <f t="array" ref="T465">(_xlfn.SWITCH(Table1[[#This Row],[Product ID]],"P001",140,"P002",80,"P003",72,"P004",30,"P005",110,"P006",24,"P007",14,"P008",12,"P009",115,"P010",360))*Table1[[#This Row],[Quantity]]</f>
        <v>360</v>
      </c>
      <c r="U465" s="1" cm="1">
        <f t="array" ref="U465">_xlfn.SWITCH(Table1[[#This Row],[Product ID]],"P001",15,"P002",0,"P003",8,"P004",8,"P005",0,"P006",7,"P007",7,"P008",6,"P009",45,"P010",60)</f>
        <v>7</v>
      </c>
      <c r="V465" s="1">
        <f>Table1[[#This Row],[Shipping per Unit]]*Table1[[#This Row],[Quantity]]</f>
        <v>105</v>
      </c>
      <c r="W465" s="2">
        <f>IF(Table1[[#This Row],[Total Shipping]]&gt;0.1,0.2,0)</f>
        <v>0.2</v>
      </c>
      <c r="X465" s="4">
        <f>Table1[[#This Row],[Total Shipping]]*Table1[[#This Row],[VAT on Shipping]]</f>
        <v>21</v>
      </c>
      <c r="Y465" s="1">
        <f>Table1[[#This Row],[Revenue]]-Table1[[#This Row],[COGS]]</f>
        <v>180</v>
      </c>
      <c r="Z465" s="3">
        <f>(Table1[[#This Row],[Profit]]/Table1[[#This Row],[Revenue]])</f>
        <v>0.33333333333333331</v>
      </c>
      <c r="AA465" s="1">
        <f>Table1[[#This Row],[Profit]]-Table1[[#This Row],[Total Shipping]]</f>
        <v>75</v>
      </c>
      <c r="AB465" s="3">
        <f>Table1[[#This Row],[Operating Profit]]/Table1[[#This Row],[Revenue]]</f>
        <v>0.1388888888888889</v>
      </c>
    </row>
    <row r="466" spans="1:28" x14ac:dyDescent="0.25">
      <c r="A466" t="s">
        <v>246</v>
      </c>
      <c r="B466">
        <v>898</v>
      </c>
      <c r="C466" t="s">
        <v>29</v>
      </c>
      <c r="D466" t="s">
        <v>57</v>
      </c>
      <c r="E466" t="s">
        <v>49</v>
      </c>
      <c r="F466" t="s">
        <v>64</v>
      </c>
      <c r="G466" t="str" cm="1">
        <f t="array" ref="G466">_xlfn.SWITCH(F466,"Acme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466" t="s">
        <v>51</v>
      </c>
      <c r="I466" t="s">
        <v>60</v>
      </c>
      <c r="J466" t="str" cm="1">
        <f t="array" ref="J466">_xlfn.SWITCH(I466,"P001","Laptop","P002","Server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66" s="1" cm="1">
        <f t="array" ref="K466">_xlfn.SWITCH(Table1[[#This Row],[Product ID]],"P001",220,"P002",150,"P003",130,"P004",70,"P005",200,"P006",40,"P007",25,"P008",20,"P009",190,"P010",530)</f>
        <v>25</v>
      </c>
      <c r="L466">
        <v>15</v>
      </c>
      <c r="M466" s="1">
        <f>Table1[[#This Row],[Unit Price]]*Table1[[#This Row],[Quantity]]</f>
        <v>375</v>
      </c>
      <c r="N466" s="2">
        <v>0.06</v>
      </c>
      <c r="O466" s="1">
        <f>Table1[[#This Row],[Gross Value]]*(1-Table1[[#This Row],[Discount]])</f>
        <v>352.5</v>
      </c>
      <c r="P466" s="2">
        <v>0.2</v>
      </c>
      <c r="Q466" s="1">
        <f>Table1[[#This Row],[Revenue]]*Table1[[#This Row],[VAT Rate]]</f>
        <v>70.5</v>
      </c>
      <c r="R466" s="1">
        <f>Table1[[#This Row],[Revenue]]+Table1[[#This Row],[VAT Charged]]</f>
        <v>423</v>
      </c>
      <c r="S466" s="1" cm="1">
        <f t="array" ref="S466">_xlfn.SWITCH(Table1[[#This Row],[Product ID]],"P001",140,"P002",80,"P003",72,"P004",30,"P005",110,"P006",24,"P007",14,"P008",12,"P009",115,"P010",360)</f>
        <v>14</v>
      </c>
      <c r="T466" s="1" cm="1">
        <f t="array" ref="T466">(_xlfn.SWITCH(Table1[[#This Row],[Product ID]],"P001",140,"P002",80,"P003",72,"P004",30,"P005",110,"P006",24,"P007",14,"P008",12,"P009",115,"P010",360))*Table1[[#This Row],[Quantity]]</f>
        <v>210</v>
      </c>
      <c r="U466" s="1" cm="1">
        <f t="array" ref="U466">_xlfn.SWITCH(Table1[[#This Row],[Product ID]],"P001",15,"P002",0,"P003",8,"P004",8,"P005",0,"P006",7,"P007",7,"P008",6,"P009",45,"P010",60)</f>
        <v>7</v>
      </c>
      <c r="V466" s="1">
        <f>Table1[[#This Row],[Shipping per Unit]]*Table1[[#This Row],[Quantity]]</f>
        <v>105</v>
      </c>
      <c r="W466" s="2">
        <f>IF(Table1[[#This Row],[Total Shipping]]&gt;0.1,0.2,0)</f>
        <v>0.2</v>
      </c>
      <c r="X466" s="4">
        <f>Table1[[#This Row],[Total Shipping]]*Table1[[#This Row],[VAT on Shipping]]</f>
        <v>21</v>
      </c>
      <c r="Y466" s="1">
        <f>Table1[[#This Row],[Revenue]]-Table1[[#This Row],[COGS]]</f>
        <v>142.5</v>
      </c>
      <c r="Z466" s="3">
        <f>(Table1[[#This Row],[Profit]]/Table1[[#This Row],[Revenue]])</f>
        <v>0.40425531914893614</v>
      </c>
      <c r="AA466" s="1">
        <f>Table1[[#This Row],[Profit]]-Table1[[#This Row],[Total Shipping]]</f>
        <v>37.5</v>
      </c>
      <c r="AB466" s="3">
        <f>Table1[[#This Row],[Operating Profit]]/Table1[[#This Row],[Revenue]]</f>
        <v>0.10638297872340426</v>
      </c>
    </row>
    <row r="467" spans="1:28" x14ac:dyDescent="0.25">
      <c r="A467" t="s">
        <v>247</v>
      </c>
      <c r="B467">
        <v>72</v>
      </c>
      <c r="C467" t="s">
        <v>83</v>
      </c>
      <c r="D467" t="s">
        <v>30</v>
      </c>
      <c r="E467" t="s">
        <v>40</v>
      </c>
      <c r="F467" t="s">
        <v>126</v>
      </c>
      <c r="G467" t="str" cm="1">
        <f t="array" ref="G467">_xlfn.SWITCH(F467,"Acme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467" t="s">
        <v>33</v>
      </c>
      <c r="I467" t="s">
        <v>91</v>
      </c>
      <c r="J467" t="str" cm="1">
        <f t="array" ref="J467">_xlfn.SWITCH(I467,"P001","Laptop","P002","Server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67" s="1" cm="1">
        <f t="array" ref="K467">_xlfn.SWITCH(Table1[[#This Row],[Product ID]],"P001",220,"P002",150,"P003",130,"P004",70,"P005",200,"P006",40,"P007",25,"P008",20,"P009",190,"P010",530)</f>
        <v>190</v>
      </c>
      <c r="L467">
        <v>6</v>
      </c>
      <c r="M467" s="1">
        <f>Table1[[#This Row],[Unit Price]]*Table1[[#This Row],[Quantity]]</f>
        <v>1140</v>
      </c>
      <c r="N467" s="2">
        <v>0.03</v>
      </c>
      <c r="O467" s="1">
        <f>Table1[[#This Row],[Gross Value]]*(1-Table1[[#This Row],[Discount]])</f>
        <v>1105.8</v>
      </c>
      <c r="P467" s="2">
        <v>0.2</v>
      </c>
      <c r="Q467" s="1">
        <f>Table1[[#This Row],[Revenue]]*Table1[[#This Row],[VAT Rate]]</f>
        <v>221.16</v>
      </c>
      <c r="R467" s="1">
        <f>Table1[[#This Row],[Revenue]]+Table1[[#This Row],[VAT Charged]]</f>
        <v>1326.96</v>
      </c>
      <c r="S467" s="1" cm="1">
        <f t="array" ref="S467">_xlfn.SWITCH(Table1[[#This Row],[Product ID]],"P001",140,"P002",80,"P003",72,"P004",30,"P005",110,"P006",24,"P007",14,"P008",12,"P009",115,"P010",360)</f>
        <v>115</v>
      </c>
      <c r="T467" s="1" cm="1">
        <f t="array" ref="T467">(_xlfn.SWITCH(Table1[[#This Row],[Product ID]],"P001",140,"P002",80,"P003",72,"P004",30,"P005",110,"P006",24,"P007",14,"P008",12,"P009",115,"P010",360))*Table1[[#This Row],[Quantity]]</f>
        <v>690</v>
      </c>
      <c r="U467" s="1" cm="1">
        <f t="array" ref="U467">_xlfn.SWITCH(Table1[[#This Row],[Product ID]],"P001",15,"P002",0,"P003",8,"P004",8,"P005",0,"P006",7,"P007",7,"P008",6,"P009",45,"P010",60)</f>
        <v>45</v>
      </c>
      <c r="V467" s="1">
        <f>Table1[[#This Row],[Shipping per Unit]]*Table1[[#This Row],[Quantity]]</f>
        <v>270</v>
      </c>
      <c r="W467" s="2">
        <f>IF(Table1[[#This Row],[Total Shipping]]&gt;0.1,0.2,0)</f>
        <v>0.2</v>
      </c>
      <c r="X467" s="4">
        <f>Table1[[#This Row],[Total Shipping]]*Table1[[#This Row],[VAT on Shipping]]</f>
        <v>54</v>
      </c>
      <c r="Y467" s="1">
        <f>Table1[[#This Row],[Revenue]]-Table1[[#This Row],[COGS]]</f>
        <v>415.79999999999995</v>
      </c>
      <c r="Z467" s="3">
        <f>(Table1[[#This Row],[Profit]]/Table1[[#This Row],[Revenue]])</f>
        <v>0.37601736299511662</v>
      </c>
      <c r="AA467" s="1">
        <f>Table1[[#This Row],[Profit]]-Table1[[#This Row],[Total Shipping]]</f>
        <v>145.79999999999995</v>
      </c>
      <c r="AB467" s="3">
        <f>Table1[[#This Row],[Operating Profit]]/Table1[[#This Row],[Revenue]]</f>
        <v>0.1318502441671188</v>
      </c>
    </row>
    <row r="468" spans="1:28" x14ac:dyDescent="0.25">
      <c r="A468" t="s">
        <v>247</v>
      </c>
      <c r="B468">
        <v>91</v>
      </c>
      <c r="C468" t="s">
        <v>71</v>
      </c>
      <c r="D468" t="s">
        <v>63</v>
      </c>
      <c r="E468" t="s">
        <v>49</v>
      </c>
      <c r="F468" t="s">
        <v>84</v>
      </c>
      <c r="G468" t="str" cm="1">
        <f t="array" ref="G468">_xlfn.SWITCH(F468,"Acme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468" t="s">
        <v>45</v>
      </c>
      <c r="I468" t="s">
        <v>91</v>
      </c>
      <c r="J468" t="str" cm="1">
        <f t="array" ref="J468">_xlfn.SWITCH(I468,"P001","Laptop","P002","Server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68" s="1" cm="1">
        <f t="array" ref="K468">_xlfn.SWITCH(Table1[[#This Row],[Product ID]],"P001",220,"P002",150,"P003",130,"P004",70,"P005",200,"P006",40,"P007",25,"P008",20,"P009",190,"P010",530)</f>
        <v>190</v>
      </c>
      <c r="L468">
        <v>12</v>
      </c>
      <c r="M468" s="1">
        <f>Table1[[#This Row],[Unit Price]]*Table1[[#This Row],[Quantity]]</f>
        <v>2280</v>
      </c>
      <c r="N468" s="2">
        <v>0.06</v>
      </c>
      <c r="O468" s="1">
        <f>Table1[[#This Row],[Gross Value]]*(1-Table1[[#This Row],[Discount]])</f>
        <v>2143.1999999999998</v>
      </c>
      <c r="P468" s="2">
        <v>0.2</v>
      </c>
      <c r="Q468" s="1">
        <f>Table1[[#This Row],[Revenue]]*Table1[[#This Row],[VAT Rate]]</f>
        <v>428.64</v>
      </c>
      <c r="R468" s="1">
        <f>Table1[[#This Row],[Revenue]]+Table1[[#This Row],[VAT Charged]]</f>
        <v>2571.8399999999997</v>
      </c>
      <c r="S468" s="1" cm="1">
        <f t="array" ref="S468">_xlfn.SWITCH(Table1[[#This Row],[Product ID]],"P001",140,"P002",80,"P003",72,"P004",30,"P005",110,"P006",24,"P007",14,"P008",12,"P009",115,"P010",360)</f>
        <v>115</v>
      </c>
      <c r="T468" s="1" cm="1">
        <f t="array" ref="T468">(_xlfn.SWITCH(Table1[[#This Row],[Product ID]],"P001",140,"P002",80,"P003",72,"P004",30,"P005",110,"P006",24,"P007",14,"P008",12,"P009",115,"P010",360))*Table1[[#This Row],[Quantity]]</f>
        <v>1380</v>
      </c>
      <c r="U468" s="1" cm="1">
        <f t="array" ref="U468">_xlfn.SWITCH(Table1[[#This Row],[Product ID]],"P001",15,"P002",0,"P003",8,"P004",8,"P005",0,"P006",7,"P007",7,"P008",6,"P009",45,"P010",60)</f>
        <v>45</v>
      </c>
      <c r="V468" s="1">
        <f>Table1[[#This Row],[Shipping per Unit]]*Table1[[#This Row],[Quantity]]</f>
        <v>540</v>
      </c>
      <c r="W468" s="2">
        <f>IF(Table1[[#This Row],[Total Shipping]]&gt;0.1,0.2,0)</f>
        <v>0.2</v>
      </c>
      <c r="X468" s="4">
        <f>Table1[[#This Row],[Total Shipping]]*Table1[[#This Row],[VAT on Shipping]]</f>
        <v>108</v>
      </c>
      <c r="Y468" s="1">
        <f>Table1[[#This Row],[Revenue]]-Table1[[#This Row],[COGS]]</f>
        <v>763.19999999999982</v>
      </c>
      <c r="Z468" s="3">
        <f>(Table1[[#This Row],[Profit]]/Table1[[#This Row],[Revenue]])</f>
        <v>0.35610302351623735</v>
      </c>
      <c r="AA468" s="1">
        <f>Table1[[#This Row],[Profit]]-Table1[[#This Row],[Total Shipping]]</f>
        <v>223.19999999999982</v>
      </c>
      <c r="AB468" s="3">
        <f>Table1[[#This Row],[Operating Profit]]/Table1[[#This Row],[Revenue]]</f>
        <v>0.10414333706606935</v>
      </c>
    </row>
    <row r="469" spans="1:28" x14ac:dyDescent="0.25">
      <c r="A469" t="s">
        <v>247</v>
      </c>
      <c r="B469">
        <v>246</v>
      </c>
      <c r="C469" t="s">
        <v>29</v>
      </c>
      <c r="D469" t="s">
        <v>72</v>
      </c>
      <c r="E469" t="s">
        <v>49</v>
      </c>
      <c r="F469" t="s">
        <v>64</v>
      </c>
      <c r="G469" t="str" cm="1">
        <f t="array" ref="G469">_xlfn.SWITCH(F469,"Acme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469" t="s">
        <v>33</v>
      </c>
      <c r="I469" t="s">
        <v>42</v>
      </c>
      <c r="J469" t="str" cm="1">
        <f t="array" ref="J469">_xlfn.SWITCH(I469,"P001","Laptop","P002","Server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69" s="1" cm="1">
        <f t="array" ref="K469">_xlfn.SWITCH(Table1[[#This Row],[Product ID]],"P001",220,"P002",150,"P003",130,"P004",70,"P005",200,"P006",40,"P007",25,"P008",20,"P009",190,"P010",530)</f>
        <v>40</v>
      </c>
      <c r="L469">
        <v>15</v>
      </c>
      <c r="M469" s="1">
        <f>Table1[[#This Row],[Unit Price]]*Table1[[#This Row],[Quantity]]</f>
        <v>600</v>
      </c>
      <c r="N469" s="2">
        <v>0.06</v>
      </c>
      <c r="O469" s="1">
        <f>Table1[[#This Row],[Gross Value]]*(1-Table1[[#This Row],[Discount]])</f>
        <v>564</v>
      </c>
      <c r="P469" s="2">
        <v>0.2</v>
      </c>
      <c r="Q469" s="1">
        <f>Table1[[#This Row],[Revenue]]*Table1[[#This Row],[VAT Rate]]</f>
        <v>112.80000000000001</v>
      </c>
      <c r="R469" s="1">
        <f>Table1[[#This Row],[Revenue]]+Table1[[#This Row],[VAT Charged]]</f>
        <v>676.8</v>
      </c>
      <c r="S469" s="1" cm="1">
        <f t="array" ref="S469">_xlfn.SWITCH(Table1[[#This Row],[Product ID]],"P001",140,"P002",80,"P003",72,"P004",30,"P005",110,"P006",24,"P007",14,"P008",12,"P009",115,"P010",360)</f>
        <v>24</v>
      </c>
      <c r="T469" s="1" cm="1">
        <f t="array" ref="T469">(_xlfn.SWITCH(Table1[[#This Row],[Product ID]],"P001",140,"P002",80,"P003",72,"P004",30,"P005",110,"P006",24,"P007",14,"P008",12,"P009",115,"P010",360))*Table1[[#This Row],[Quantity]]</f>
        <v>360</v>
      </c>
      <c r="U469" s="1" cm="1">
        <f t="array" ref="U469">_xlfn.SWITCH(Table1[[#This Row],[Product ID]],"P001",15,"P002",0,"P003",8,"P004",8,"P005",0,"P006",7,"P007",7,"P008",6,"P009",45,"P010",60)</f>
        <v>7</v>
      </c>
      <c r="V469" s="1">
        <f>Table1[[#This Row],[Shipping per Unit]]*Table1[[#This Row],[Quantity]]</f>
        <v>105</v>
      </c>
      <c r="W469" s="2">
        <f>IF(Table1[[#This Row],[Total Shipping]]&gt;0.1,0.2,0)</f>
        <v>0.2</v>
      </c>
      <c r="X469" s="4">
        <f>Table1[[#This Row],[Total Shipping]]*Table1[[#This Row],[VAT on Shipping]]</f>
        <v>21</v>
      </c>
      <c r="Y469" s="1">
        <f>Table1[[#This Row],[Revenue]]-Table1[[#This Row],[COGS]]</f>
        <v>204</v>
      </c>
      <c r="Z469" s="3">
        <f>(Table1[[#This Row],[Profit]]/Table1[[#This Row],[Revenue]])</f>
        <v>0.36170212765957449</v>
      </c>
      <c r="AA469" s="1">
        <f>Table1[[#This Row],[Profit]]-Table1[[#This Row],[Total Shipping]]</f>
        <v>99</v>
      </c>
      <c r="AB469" s="3">
        <f>Table1[[#This Row],[Operating Profit]]/Table1[[#This Row],[Revenue]]</f>
        <v>0.17553191489361702</v>
      </c>
    </row>
    <row r="470" spans="1:28" x14ac:dyDescent="0.25">
      <c r="A470" t="s">
        <v>247</v>
      </c>
      <c r="B470">
        <v>309</v>
      </c>
      <c r="C470" t="s">
        <v>71</v>
      </c>
      <c r="D470" t="s">
        <v>30</v>
      </c>
      <c r="E470" t="s">
        <v>31</v>
      </c>
      <c r="F470" t="s">
        <v>66</v>
      </c>
      <c r="G470" t="str" cm="1">
        <f t="array" ref="G470">_xlfn.SWITCH(F470,"Acme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470" t="s">
        <v>58</v>
      </c>
      <c r="I470" t="s">
        <v>46</v>
      </c>
      <c r="J470" t="str" cm="1">
        <f t="array" ref="J470">_xlfn.SWITCH(I470,"P001","Laptop","P002","Server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70" s="1" cm="1">
        <f t="array" ref="K470">_xlfn.SWITCH(Table1[[#This Row],[Product ID]],"P001",220,"P002",150,"P003",130,"P004",70,"P005",200,"P006",40,"P007",25,"P008",20,"P009",190,"P010",530)</f>
        <v>530</v>
      </c>
      <c r="L470">
        <v>6</v>
      </c>
      <c r="M470" s="1">
        <f>Table1[[#This Row],[Unit Price]]*Table1[[#This Row],[Quantity]]</f>
        <v>3180</v>
      </c>
      <c r="N470" s="2">
        <v>0.06</v>
      </c>
      <c r="O470" s="1">
        <f>Table1[[#This Row],[Gross Value]]*(1-Table1[[#This Row],[Discount]])</f>
        <v>2989.2</v>
      </c>
      <c r="P470" s="2">
        <v>0.2</v>
      </c>
      <c r="Q470" s="1">
        <f>Table1[[#This Row],[Revenue]]*Table1[[#This Row],[VAT Rate]]</f>
        <v>597.84</v>
      </c>
      <c r="R470" s="1">
        <f>Table1[[#This Row],[Revenue]]+Table1[[#This Row],[VAT Charged]]</f>
        <v>3587.04</v>
      </c>
      <c r="S470" s="1" cm="1">
        <f t="array" ref="S470">_xlfn.SWITCH(Table1[[#This Row],[Product ID]],"P001",140,"P002",80,"P003",72,"P004",30,"P005",110,"P006",24,"P007",14,"P008",12,"P009",115,"P010",360)</f>
        <v>360</v>
      </c>
      <c r="T470" s="1" cm="1">
        <f t="array" ref="T470">(_xlfn.SWITCH(Table1[[#This Row],[Product ID]],"P001",140,"P002",80,"P003",72,"P004",30,"P005",110,"P006",24,"P007",14,"P008",12,"P009",115,"P010",360))*Table1[[#This Row],[Quantity]]</f>
        <v>2160</v>
      </c>
      <c r="U470" s="1" cm="1">
        <f t="array" ref="U470">_xlfn.SWITCH(Table1[[#This Row],[Product ID]],"P001",15,"P002",0,"P003",8,"P004",8,"P005",0,"P006",7,"P007",7,"P008",6,"P009",45,"P010",60)</f>
        <v>60</v>
      </c>
      <c r="V470" s="1">
        <f>Table1[[#This Row],[Shipping per Unit]]*Table1[[#This Row],[Quantity]]</f>
        <v>360</v>
      </c>
      <c r="W470" s="2">
        <f>IF(Table1[[#This Row],[Total Shipping]]&gt;0.1,0.2,0)</f>
        <v>0.2</v>
      </c>
      <c r="X470" s="4">
        <f>Table1[[#This Row],[Total Shipping]]*Table1[[#This Row],[VAT on Shipping]]</f>
        <v>72</v>
      </c>
      <c r="Y470" s="1">
        <f>Table1[[#This Row],[Revenue]]-Table1[[#This Row],[COGS]]</f>
        <v>829.19999999999982</v>
      </c>
      <c r="Z470" s="3">
        <f>(Table1[[#This Row],[Profit]]/Table1[[#This Row],[Revenue]])</f>
        <v>0.27739863508631069</v>
      </c>
      <c r="AA470" s="1">
        <f>Table1[[#This Row],[Profit]]-Table1[[#This Row],[Total Shipping]]</f>
        <v>469.19999999999982</v>
      </c>
      <c r="AB470" s="3">
        <f>Table1[[#This Row],[Operating Profit]]/Table1[[#This Row],[Revenue]]</f>
        <v>0.15696507426736245</v>
      </c>
    </row>
    <row r="471" spans="1:28" x14ac:dyDescent="0.25">
      <c r="A471" t="s">
        <v>247</v>
      </c>
      <c r="B471">
        <v>326</v>
      </c>
      <c r="C471" t="s">
        <v>71</v>
      </c>
      <c r="D471" t="s">
        <v>67</v>
      </c>
      <c r="E471" t="s">
        <v>40</v>
      </c>
      <c r="F471" t="s">
        <v>37</v>
      </c>
      <c r="G471" t="str" cm="1">
        <f t="array" ref="G471">_xlfn.SWITCH(F471,"Acme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471" t="s">
        <v>51</v>
      </c>
      <c r="I471" t="s">
        <v>75</v>
      </c>
      <c r="J471" t="str" cm="1">
        <f t="array" ref="J471">_xlfn.SWITCH(I471,"P001","Laptop","P002","Server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71" s="1" cm="1">
        <f t="array" ref="K471">_xlfn.SWITCH(Table1[[#This Row],[Product ID]],"P001",220,"P002",150,"P003",130,"P004",70,"P005",200,"P006",40,"P007",25,"P008",20,"P009",190,"P010",530)</f>
        <v>200</v>
      </c>
      <c r="L471">
        <v>3</v>
      </c>
      <c r="M471" s="1">
        <f>Table1[[#This Row],[Unit Price]]*Table1[[#This Row],[Quantity]]</f>
        <v>600</v>
      </c>
      <c r="N471" s="2">
        <v>0.08</v>
      </c>
      <c r="O471" s="1">
        <f>Table1[[#This Row],[Gross Value]]*(1-Table1[[#This Row],[Discount]])</f>
        <v>552</v>
      </c>
      <c r="P471" s="2">
        <v>0.2</v>
      </c>
      <c r="Q471" s="1">
        <f>Table1[[#This Row],[Revenue]]*Table1[[#This Row],[VAT Rate]]</f>
        <v>110.4</v>
      </c>
      <c r="R471" s="1">
        <f>Table1[[#This Row],[Revenue]]+Table1[[#This Row],[VAT Charged]]</f>
        <v>662.4</v>
      </c>
      <c r="S471" s="1" cm="1">
        <f t="array" ref="S471">_xlfn.SWITCH(Table1[[#This Row],[Product ID]],"P001",140,"P002",80,"P003",72,"P004",30,"P005",110,"P006",24,"P007",14,"P008",12,"P009",115,"P010",360)</f>
        <v>110</v>
      </c>
      <c r="T471" s="1" cm="1">
        <f t="array" ref="T471">(_xlfn.SWITCH(Table1[[#This Row],[Product ID]],"P001",140,"P002",80,"P003",72,"P004",30,"P005",110,"P006",24,"P007",14,"P008",12,"P009",115,"P010",360))*Table1[[#This Row],[Quantity]]</f>
        <v>330</v>
      </c>
      <c r="U471" s="1" cm="1">
        <f t="array" ref="U471">_xlfn.SWITCH(Table1[[#This Row],[Product ID]],"P001",15,"P002",0,"P003",8,"P004",8,"P005",0,"P006",7,"P007",7,"P008",6,"P009",45,"P010",60)</f>
        <v>0</v>
      </c>
      <c r="V471" s="1">
        <f>Table1[[#This Row],[Shipping per Unit]]*Table1[[#This Row],[Quantity]]</f>
        <v>0</v>
      </c>
      <c r="W471" s="2">
        <f>IF(Table1[[#This Row],[Total Shipping]]&gt;0.1,0.2,0)</f>
        <v>0</v>
      </c>
      <c r="X471" s="4">
        <f>Table1[[#This Row],[Total Shipping]]*Table1[[#This Row],[VAT on Shipping]]</f>
        <v>0</v>
      </c>
      <c r="Y471" s="1">
        <f>Table1[[#This Row],[Revenue]]-Table1[[#This Row],[COGS]]</f>
        <v>222</v>
      </c>
      <c r="Z471" s="3">
        <f>(Table1[[#This Row],[Profit]]/Table1[[#This Row],[Revenue]])</f>
        <v>0.40217391304347827</v>
      </c>
      <c r="AA471" s="1">
        <f>Table1[[#This Row],[Profit]]-Table1[[#This Row],[Total Shipping]]</f>
        <v>222</v>
      </c>
      <c r="AB471" s="3">
        <f>Table1[[#This Row],[Operating Profit]]/Table1[[#This Row],[Revenue]]</f>
        <v>0.40217391304347827</v>
      </c>
    </row>
    <row r="472" spans="1:28" x14ac:dyDescent="0.25">
      <c r="A472" t="s">
        <v>247</v>
      </c>
      <c r="B472">
        <v>539</v>
      </c>
      <c r="C472" t="s">
        <v>62</v>
      </c>
      <c r="D472" t="s">
        <v>30</v>
      </c>
      <c r="E472" t="s">
        <v>40</v>
      </c>
      <c r="F472" t="s">
        <v>97</v>
      </c>
      <c r="G472" t="str" cm="1">
        <f t="array" ref="G472">_xlfn.SWITCH(F472,"Acme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472" t="s">
        <v>58</v>
      </c>
      <c r="I472" t="s">
        <v>42</v>
      </c>
      <c r="J472" t="str" cm="1">
        <f t="array" ref="J472">_xlfn.SWITCH(I472,"P001","Laptop","P002","Server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72" s="1" cm="1">
        <f t="array" ref="K472">_xlfn.SWITCH(Table1[[#This Row],[Product ID]],"P001",220,"P002",150,"P003",130,"P004",70,"P005",200,"P006",40,"P007",25,"P008",20,"P009",190,"P010",530)</f>
        <v>40</v>
      </c>
      <c r="L472">
        <v>11</v>
      </c>
      <c r="M472" s="1">
        <f>Table1[[#This Row],[Unit Price]]*Table1[[#This Row],[Quantity]]</f>
        <v>440</v>
      </c>
      <c r="N472" s="2">
        <v>0.01</v>
      </c>
      <c r="O472" s="1">
        <f>Table1[[#This Row],[Gross Value]]*(1-Table1[[#This Row],[Discount]])</f>
        <v>435.6</v>
      </c>
      <c r="P472" s="2">
        <v>0.2</v>
      </c>
      <c r="Q472" s="1">
        <f>Table1[[#This Row],[Revenue]]*Table1[[#This Row],[VAT Rate]]</f>
        <v>87.12</v>
      </c>
      <c r="R472" s="1">
        <f>Table1[[#This Row],[Revenue]]+Table1[[#This Row],[VAT Charged]]</f>
        <v>522.72</v>
      </c>
      <c r="S472" s="1" cm="1">
        <f t="array" ref="S472">_xlfn.SWITCH(Table1[[#This Row],[Product ID]],"P001",140,"P002",80,"P003",72,"P004",30,"P005",110,"P006",24,"P007",14,"P008",12,"P009",115,"P010",360)</f>
        <v>24</v>
      </c>
      <c r="T472" s="1" cm="1">
        <f t="array" ref="T472">(_xlfn.SWITCH(Table1[[#This Row],[Product ID]],"P001",140,"P002",80,"P003",72,"P004",30,"P005",110,"P006",24,"P007",14,"P008",12,"P009",115,"P010",360))*Table1[[#This Row],[Quantity]]</f>
        <v>264</v>
      </c>
      <c r="U472" s="1" cm="1">
        <f t="array" ref="U472">_xlfn.SWITCH(Table1[[#This Row],[Product ID]],"P001",15,"P002",0,"P003",8,"P004",8,"P005",0,"P006",7,"P007",7,"P008",6,"P009",45,"P010",60)</f>
        <v>7</v>
      </c>
      <c r="V472" s="1">
        <f>Table1[[#This Row],[Shipping per Unit]]*Table1[[#This Row],[Quantity]]</f>
        <v>77</v>
      </c>
      <c r="W472" s="2">
        <f>IF(Table1[[#This Row],[Total Shipping]]&gt;0.1,0.2,0)</f>
        <v>0.2</v>
      </c>
      <c r="X472" s="4">
        <f>Table1[[#This Row],[Total Shipping]]*Table1[[#This Row],[VAT on Shipping]]</f>
        <v>15.4</v>
      </c>
      <c r="Y472" s="1">
        <f>Table1[[#This Row],[Revenue]]-Table1[[#This Row],[COGS]]</f>
        <v>171.60000000000002</v>
      </c>
      <c r="Z472" s="3">
        <f>(Table1[[#This Row],[Profit]]/Table1[[#This Row],[Revenue]])</f>
        <v>0.39393939393939398</v>
      </c>
      <c r="AA472" s="1">
        <f>Table1[[#This Row],[Profit]]-Table1[[#This Row],[Total Shipping]]</f>
        <v>94.600000000000023</v>
      </c>
      <c r="AB472" s="3">
        <f>Table1[[#This Row],[Operating Profit]]/Table1[[#This Row],[Revenue]]</f>
        <v>0.21717171717171721</v>
      </c>
    </row>
    <row r="473" spans="1:28" x14ac:dyDescent="0.25">
      <c r="A473" t="s">
        <v>247</v>
      </c>
      <c r="B473">
        <v>754</v>
      </c>
      <c r="C473" t="s">
        <v>38</v>
      </c>
      <c r="D473" t="s">
        <v>95</v>
      </c>
      <c r="E473" t="s">
        <v>40</v>
      </c>
      <c r="F473" t="s">
        <v>41</v>
      </c>
      <c r="G473" t="str" cm="1">
        <f t="array" ref="G473">_xlfn.SWITCH(F473,"Acme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473" t="s">
        <v>58</v>
      </c>
      <c r="I473" t="s">
        <v>91</v>
      </c>
      <c r="J473" t="str" cm="1">
        <f t="array" ref="J473">_xlfn.SWITCH(I473,"P001","Laptop","P002","Server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473" s="1" cm="1">
        <f t="array" ref="K473">_xlfn.SWITCH(Table1[[#This Row],[Product ID]],"P001",220,"P002",150,"P003",130,"P004",70,"P005",200,"P006",40,"P007",25,"P008",20,"P009",190,"P010",530)</f>
        <v>190</v>
      </c>
      <c r="L473">
        <v>12</v>
      </c>
      <c r="M473" s="1">
        <f>Table1[[#This Row],[Unit Price]]*Table1[[#This Row],[Quantity]]</f>
        <v>2280</v>
      </c>
      <c r="N473" s="2">
        <v>0.03</v>
      </c>
      <c r="O473" s="1">
        <f>Table1[[#This Row],[Gross Value]]*(1-Table1[[#This Row],[Discount]])</f>
        <v>2211.6</v>
      </c>
      <c r="P473" s="2">
        <v>0.2</v>
      </c>
      <c r="Q473" s="1">
        <f>Table1[[#This Row],[Revenue]]*Table1[[#This Row],[VAT Rate]]</f>
        <v>442.32</v>
      </c>
      <c r="R473" s="1">
        <f>Table1[[#This Row],[Revenue]]+Table1[[#This Row],[VAT Charged]]</f>
        <v>2653.92</v>
      </c>
      <c r="S473" s="1" cm="1">
        <f t="array" ref="S473">_xlfn.SWITCH(Table1[[#This Row],[Product ID]],"P001",140,"P002",80,"P003",72,"P004",30,"P005",110,"P006",24,"P007",14,"P008",12,"P009",115,"P010",360)</f>
        <v>115</v>
      </c>
      <c r="T473" s="1" cm="1">
        <f t="array" ref="T473">(_xlfn.SWITCH(Table1[[#This Row],[Product ID]],"P001",140,"P002",80,"P003",72,"P004",30,"P005",110,"P006",24,"P007",14,"P008",12,"P009",115,"P010",360))*Table1[[#This Row],[Quantity]]</f>
        <v>1380</v>
      </c>
      <c r="U473" s="1" cm="1">
        <f t="array" ref="U473">_xlfn.SWITCH(Table1[[#This Row],[Product ID]],"P001",15,"P002",0,"P003",8,"P004",8,"P005",0,"P006",7,"P007",7,"P008",6,"P009",45,"P010",60)</f>
        <v>45</v>
      </c>
      <c r="V473" s="1">
        <f>Table1[[#This Row],[Shipping per Unit]]*Table1[[#This Row],[Quantity]]</f>
        <v>540</v>
      </c>
      <c r="W473" s="2">
        <f>IF(Table1[[#This Row],[Total Shipping]]&gt;0.1,0.2,0)</f>
        <v>0.2</v>
      </c>
      <c r="X473" s="4">
        <f>Table1[[#This Row],[Total Shipping]]*Table1[[#This Row],[VAT on Shipping]]</f>
        <v>108</v>
      </c>
      <c r="Y473" s="1">
        <f>Table1[[#This Row],[Revenue]]-Table1[[#This Row],[COGS]]</f>
        <v>831.59999999999991</v>
      </c>
      <c r="Z473" s="3">
        <f>(Table1[[#This Row],[Profit]]/Table1[[#This Row],[Revenue]])</f>
        <v>0.37601736299511662</v>
      </c>
      <c r="AA473" s="1">
        <f>Table1[[#This Row],[Profit]]-Table1[[#This Row],[Total Shipping]]</f>
        <v>291.59999999999991</v>
      </c>
      <c r="AB473" s="3">
        <f>Table1[[#This Row],[Operating Profit]]/Table1[[#This Row],[Revenue]]</f>
        <v>0.1318502441671188</v>
      </c>
    </row>
    <row r="474" spans="1:28" x14ac:dyDescent="0.25">
      <c r="A474" t="s">
        <v>247</v>
      </c>
      <c r="B474">
        <v>810</v>
      </c>
      <c r="C474" t="s">
        <v>83</v>
      </c>
      <c r="D474" t="s">
        <v>39</v>
      </c>
      <c r="E474" t="s">
        <v>31</v>
      </c>
      <c r="F474" t="s">
        <v>64</v>
      </c>
      <c r="G474" t="str" cm="1">
        <f t="array" ref="G474">_xlfn.SWITCH(F474,"Acme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474" t="s">
        <v>33</v>
      </c>
      <c r="I474" t="s">
        <v>70</v>
      </c>
      <c r="J474" t="str" cm="1">
        <f t="array" ref="J474">_xlfn.SWITCH(I474,"P001","Laptop","P002","Server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74" s="1" cm="1">
        <f t="array" ref="K474">_xlfn.SWITCH(Table1[[#This Row],[Product ID]],"P001",220,"P002",150,"P003",130,"P004",70,"P005",200,"P006",40,"P007",25,"P008",20,"P009",190,"P010",530)</f>
        <v>150</v>
      </c>
      <c r="L474">
        <v>2</v>
      </c>
      <c r="M474" s="1">
        <f>Table1[[#This Row],[Unit Price]]*Table1[[#This Row],[Quantity]]</f>
        <v>300</v>
      </c>
      <c r="N474" s="2">
        <v>0.1</v>
      </c>
      <c r="O474" s="1">
        <f>Table1[[#This Row],[Gross Value]]*(1-Table1[[#This Row],[Discount]])</f>
        <v>270</v>
      </c>
      <c r="P474" s="2">
        <v>0.2</v>
      </c>
      <c r="Q474" s="1">
        <f>Table1[[#This Row],[Revenue]]*Table1[[#This Row],[VAT Rate]]</f>
        <v>54</v>
      </c>
      <c r="R474" s="1">
        <f>Table1[[#This Row],[Revenue]]+Table1[[#This Row],[VAT Charged]]</f>
        <v>324</v>
      </c>
      <c r="S474" s="1" cm="1">
        <f t="array" ref="S474">_xlfn.SWITCH(Table1[[#This Row],[Product ID]],"P001",140,"P002",80,"P003",72,"P004",30,"P005",110,"P006",24,"P007",14,"P008",12,"P009",115,"P010",360)</f>
        <v>80</v>
      </c>
      <c r="T474" s="1" cm="1">
        <f t="array" ref="T474">(_xlfn.SWITCH(Table1[[#This Row],[Product ID]],"P001",140,"P002",80,"P003",72,"P004",30,"P005",110,"P006",24,"P007",14,"P008",12,"P009",115,"P010",360))*Table1[[#This Row],[Quantity]]</f>
        <v>160</v>
      </c>
      <c r="U474" s="1" cm="1">
        <f t="array" ref="U474">_xlfn.SWITCH(Table1[[#This Row],[Product ID]],"P001",15,"P002",0,"P003",8,"P004",8,"P005",0,"P006",7,"P007",7,"P008",6,"P009",45,"P010",60)</f>
        <v>0</v>
      </c>
      <c r="V474" s="1">
        <f>Table1[[#This Row],[Shipping per Unit]]*Table1[[#This Row],[Quantity]]</f>
        <v>0</v>
      </c>
      <c r="W474" s="2">
        <f>IF(Table1[[#This Row],[Total Shipping]]&gt;0.1,0.2,0)</f>
        <v>0</v>
      </c>
      <c r="X474" s="4">
        <f>Table1[[#This Row],[Total Shipping]]*Table1[[#This Row],[VAT on Shipping]]</f>
        <v>0</v>
      </c>
      <c r="Y474" s="1">
        <f>Table1[[#This Row],[Revenue]]-Table1[[#This Row],[COGS]]</f>
        <v>110</v>
      </c>
      <c r="Z474" s="3">
        <f>(Table1[[#This Row],[Profit]]/Table1[[#This Row],[Revenue]])</f>
        <v>0.40740740740740738</v>
      </c>
      <c r="AA474" s="1">
        <f>Table1[[#This Row],[Profit]]-Table1[[#This Row],[Total Shipping]]</f>
        <v>110</v>
      </c>
      <c r="AB474" s="3">
        <f>Table1[[#This Row],[Operating Profit]]/Table1[[#This Row],[Revenue]]</f>
        <v>0.40740740740740738</v>
      </c>
    </row>
    <row r="475" spans="1:28" x14ac:dyDescent="0.25">
      <c r="A475" t="s">
        <v>248</v>
      </c>
      <c r="B475">
        <v>179</v>
      </c>
      <c r="C475" t="s">
        <v>65</v>
      </c>
      <c r="D475" t="s">
        <v>57</v>
      </c>
      <c r="E475" t="s">
        <v>31</v>
      </c>
      <c r="F475" t="s">
        <v>103</v>
      </c>
      <c r="G475" t="str" cm="1">
        <f t="array" ref="G475">_xlfn.SWITCH(F475,"Acme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475" t="s">
        <v>45</v>
      </c>
      <c r="I475" t="s">
        <v>55</v>
      </c>
      <c r="J475" t="str" cm="1">
        <f t="array" ref="J475">_xlfn.SWITCH(I475,"P001","Laptop","P002","Server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75" s="1" cm="1">
        <f t="array" ref="K475">_xlfn.SWITCH(Table1[[#This Row],[Product ID]],"P001",220,"P002",150,"P003",130,"P004",70,"P005",200,"P006",40,"P007",25,"P008",20,"P009",190,"P010",530)</f>
        <v>70</v>
      </c>
      <c r="L475">
        <v>4</v>
      </c>
      <c r="M475" s="1">
        <f>Table1[[#This Row],[Unit Price]]*Table1[[#This Row],[Quantity]]</f>
        <v>280</v>
      </c>
      <c r="N475" s="2">
        <v>0.02</v>
      </c>
      <c r="O475" s="1">
        <f>Table1[[#This Row],[Gross Value]]*(1-Table1[[#This Row],[Discount]])</f>
        <v>274.39999999999998</v>
      </c>
      <c r="P475" s="2">
        <v>0.2</v>
      </c>
      <c r="Q475" s="1">
        <f>Table1[[#This Row],[Revenue]]*Table1[[#This Row],[VAT Rate]]</f>
        <v>54.879999999999995</v>
      </c>
      <c r="R475" s="1">
        <f>Table1[[#This Row],[Revenue]]+Table1[[#This Row],[VAT Charged]]</f>
        <v>329.28</v>
      </c>
      <c r="S475" s="1" cm="1">
        <f t="array" ref="S475">_xlfn.SWITCH(Table1[[#This Row],[Product ID]],"P001",140,"P002",80,"P003",72,"P004",30,"P005",110,"P006",24,"P007",14,"P008",12,"P009",115,"P010",360)</f>
        <v>30</v>
      </c>
      <c r="T475" s="1" cm="1">
        <f t="array" ref="T475">(_xlfn.SWITCH(Table1[[#This Row],[Product ID]],"P001",140,"P002",80,"P003",72,"P004",30,"P005",110,"P006",24,"P007",14,"P008",12,"P009",115,"P010",360))*Table1[[#This Row],[Quantity]]</f>
        <v>120</v>
      </c>
      <c r="U475" s="1" cm="1">
        <f t="array" ref="U475">_xlfn.SWITCH(Table1[[#This Row],[Product ID]],"P001",15,"P002",0,"P003",8,"P004",8,"P005",0,"P006",7,"P007",7,"P008",6,"P009",45,"P010",60)</f>
        <v>8</v>
      </c>
      <c r="V475" s="1">
        <f>Table1[[#This Row],[Shipping per Unit]]*Table1[[#This Row],[Quantity]]</f>
        <v>32</v>
      </c>
      <c r="W475" s="2">
        <f>IF(Table1[[#This Row],[Total Shipping]]&gt;0.1,0.2,0)</f>
        <v>0.2</v>
      </c>
      <c r="X475" s="4">
        <f>Table1[[#This Row],[Total Shipping]]*Table1[[#This Row],[VAT on Shipping]]</f>
        <v>6.4</v>
      </c>
      <c r="Y475" s="1">
        <f>Table1[[#This Row],[Revenue]]-Table1[[#This Row],[COGS]]</f>
        <v>154.39999999999998</v>
      </c>
      <c r="Z475" s="3">
        <f>(Table1[[#This Row],[Profit]]/Table1[[#This Row],[Revenue]])</f>
        <v>0.56268221574344024</v>
      </c>
      <c r="AA475" s="1">
        <f>Table1[[#This Row],[Profit]]-Table1[[#This Row],[Total Shipping]]</f>
        <v>122.39999999999998</v>
      </c>
      <c r="AB475" s="3">
        <f>Table1[[#This Row],[Operating Profit]]/Table1[[#This Row],[Revenue]]</f>
        <v>0.44606413994169092</v>
      </c>
    </row>
    <row r="476" spans="1:28" x14ac:dyDescent="0.25">
      <c r="A476" t="s">
        <v>248</v>
      </c>
      <c r="B476">
        <v>260</v>
      </c>
      <c r="C476" t="s">
        <v>83</v>
      </c>
      <c r="D476" t="s">
        <v>48</v>
      </c>
      <c r="E476" t="s">
        <v>40</v>
      </c>
      <c r="F476" t="s">
        <v>50</v>
      </c>
      <c r="G476" t="str" cm="1">
        <f t="array" ref="G476">_xlfn.SWITCH(F476,"Acme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476" t="s">
        <v>33</v>
      </c>
      <c r="I476" t="s">
        <v>46</v>
      </c>
      <c r="J476" t="str" cm="1">
        <f t="array" ref="J476">_xlfn.SWITCH(I476,"P001","Laptop","P002","Server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76" s="1" cm="1">
        <f t="array" ref="K476">_xlfn.SWITCH(Table1[[#This Row],[Product ID]],"P001",220,"P002",150,"P003",130,"P004",70,"P005",200,"P006",40,"P007",25,"P008",20,"P009",190,"P010",530)</f>
        <v>530</v>
      </c>
      <c r="L476">
        <v>16</v>
      </c>
      <c r="M476" s="1">
        <f>Table1[[#This Row],[Unit Price]]*Table1[[#This Row],[Quantity]]</f>
        <v>8480</v>
      </c>
      <c r="N476" s="2">
        <v>0.01</v>
      </c>
      <c r="O476" s="1">
        <f>Table1[[#This Row],[Gross Value]]*(1-Table1[[#This Row],[Discount]])</f>
        <v>8395.2000000000007</v>
      </c>
      <c r="P476" s="2">
        <v>0.2</v>
      </c>
      <c r="Q476" s="1">
        <f>Table1[[#This Row],[Revenue]]*Table1[[#This Row],[VAT Rate]]</f>
        <v>1679.0400000000002</v>
      </c>
      <c r="R476" s="1">
        <f>Table1[[#This Row],[Revenue]]+Table1[[#This Row],[VAT Charged]]</f>
        <v>10074.240000000002</v>
      </c>
      <c r="S476" s="1" cm="1">
        <f t="array" ref="S476">_xlfn.SWITCH(Table1[[#This Row],[Product ID]],"P001",140,"P002",80,"P003",72,"P004",30,"P005",110,"P006",24,"P007",14,"P008",12,"P009",115,"P010",360)</f>
        <v>360</v>
      </c>
      <c r="T476" s="1" cm="1">
        <f t="array" ref="T476">(_xlfn.SWITCH(Table1[[#This Row],[Product ID]],"P001",140,"P002",80,"P003",72,"P004",30,"P005",110,"P006",24,"P007",14,"P008",12,"P009",115,"P010",360))*Table1[[#This Row],[Quantity]]</f>
        <v>5760</v>
      </c>
      <c r="U476" s="1" cm="1">
        <f t="array" ref="U476">_xlfn.SWITCH(Table1[[#This Row],[Product ID]],"P001",15,"P002",0,"P003",8,"P004",8,"P005",0,"P006",7,"P007",7,"P008",6,"P009",45,"P010",60)</f>
        <v>60</v>
      </c>
      <c r="V476" s="1">
        <f>Table1[[#This Row],[Shipping per Unit]]*Table1[[#This Row],[Quantity]]</f>
        <v>960</v>
      </c>
      <c r="W476" s="2">
        <f>IF(Table1[[#This Row],[Total Shipping]]&gt;0.1,0.2,0)</f>
        <v>0.2</v>
      </c>
      <c r="X476" s="4">
        <f>Table1[[#This Row],[Total Shipping]]*Table1[[#This Row],[VAT on Shipping]]</f>
        <v>192</v>
      </c>
      <c r="Y476" s="1">
        <f>Table1[[#This Row],[Revenue]]-Table1[[#This Row],[COGS]]</f>
        <v>2635.2000000000007</v>
      </c>
      <c r="Z476" s="3">
        <f>(Table1[[#This Row],[Profit]]/Table1[[#This Row],[Revenue]])</f>
        <v>0.31389365351629511</v>
      </c>
      <c r="AA476" s="1">
        <f>Table1[[#This Row],[Profit]]-Table1[[#This Row],[Total Shipping]]</f>
        <v>1675.2000000000007</v>
      </c>
      <c r="AB476" s="3">
        <f>Table1[[#This Row],[Operating Profit]]/Table1[[#This Row],[Revenue]]</f>
        <v>0.19954259576901093</v>
      </c>
    </row>
    <row r="477" spans="1:28" x14ac:dyDescent="0.25">
      <c r="A477" t="s">
        <v>248</v>
      </c>
      <c r="B477">
        <v>470</v>
      </c>
      <c r="C477" t="s">
        <v>71</v>
      </c>
      <c r="D477" t="s">
        <v>30</v>
      </c>
      <c r="E477" t="s">
        <v>40</v>
      </c>
      <c r="F477" t="s">
        <v>92</v>
      </c>
      <c r="G477" t="str" cm="1">
        <f t="array" ref="G477">_xlfn.SWITCH(F477,"Acme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477" t="s">
        <v>45</v>
      </c>
      <c r="I477" t="s">
        <v>46</v>
      </c>
      <c r="J477" t="str" cm="1">
        <f t="array" ref="J477">_xlfn.SWITCH(I477,"P001","Laptop","P002","Server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77" s="1" cm="1">
        <f t="array" ref="K477">_xlfn.SWITCH(Table1[[#This Row],[Product ID]],"P001",220,"P002",150,"P003",130,"P004",70,"P005",200,"P006",40,"P007",25,"P008",20,"P009",190,"P010",530)</f>
        <v>530</v>
      </c>
      <c r="L477">
        <v>4</v>
      </c>
      <c r="M477" s="1">
        <f>Table1[[#This Row],[Unit Price]]*Table1[[#This Row],[Quantity]]</f>
        <v>2120</v>
      </c>
      <c r="N477" s="2">
        <v>0.12</v>
      </c>
      <c r="O477" s="1">
        <f>Table1[[#This Row],[Gross Value]]*(1-Table1[[#This Row],[Discount]])</f>
        <v>1865.6</v>
      </c>
      <c r="P477" s="2">
        <v>0.2</v>
      </c>
      <c r="Q477" s="1">
        <f>Table1[[#This Row],[Revenue]]*Table1[[#This Row],[VAT Rate]]</f>
        <v>373.12</v>
      </c>
      <c r="R477" s="1">
        <f>Table1[[#This Row],[Revenue]]+Table1[[#This Row],[VAT Charged]]</f>
        <v>2238.7199999999998</v>
      </c>
      <c r="S477" s="1" cm="1">
        <f t="array" ref="S477">_xlfn.SWITCH(Table1[[#This Row],[Product ID]],"P001",140,"P002",80,"P003",72,"P004",30,"P005",110,"P006",24,"P007",14,"P008",12,"P009",115,"P010",360)</f>
        <v>360</v>
      </c>
      <c r="T477" s="1" cm="1">
        <f t="array" ref="T477">(_xlfn.SWITCH(Table1[[#This Row],[Product ID]],"P001",140,"P002",80,"P003",72,"P004",30,"P005",110,"P006",24,"P007",14,"P008",12,"P009",115,"P010",360))*Table1[[#This Row],[Quantity]]</f>
        <v>1440</v>
      </c>
      <c r="U477" s="1" cm="1">
        <f t="array" ref="U477">_xlfn.SWITCH(Table1[[#This Row],[Product ID]],"P001",15,"P002",0,"P003",8,"P004",8,"P005",0,"P006",7,"P007",7,"P008",6,"P009",45,"P010",60)</f>
        <v>60</v>
      </c>
      <c r="V477" s="1">
        <f>Table1[[#This Row],[Shipping per Unit]]*Table1[[#This Row],[Quantity]]</f>
        <v>240</v>
      </c>
      <c r="W477" s="2">
        <f>IF(Table1[[#This Row],[Total Shipping]]&gt;0.1,0.2,0)</f>
        <v>0.2</v>
      </c>
      <c r="X477" s="4">
        <f>Table1[[#This Row],[Total Shipping]]*Table1[[#This Row],[VAT on Shipping]]</f>
        <v>48</v>
      </c>
      <c r="Y477" s="1">
        <f>Table1[[#This Row],[Revenue]]-Table1[[#This Row],[COGS]]</f>
        <v>425.59999999999991</v>
      </c>
      <c r="Z477" s="3">
        <f>(Table1[[#This Row],[Profit]]/Table1[[#This Row],[Revenue]])</f>
        <v>0.22813036020583186</v>
      </c>
      <c r="AA477" s="1">
        <f>Table1[[#This Row],[Profit]]-Table1[[#This Row],[Total Shipping]]</f>
        <v>185.59999999999991</v>
      </c>
      <c r="AB477" s="3">
        <f>Table1[[#This Row],[Operating Profit]]/Table1[[#This Row],[Revenue]]</f>
        <v>9.9485420240137179E-2</v>
      </c>
    </row>
    <row r="478" spans="1:28" x14ac:dyDescent="0.25">
      <c r="A478" t="s">
        <v>249</v>
      </c>
      <c r="B478">
        <v>490</v>
      </c>
      <c r="C478" t="s">
        <v>83</v>
      </c>
      <c r="D478" t="s">
        <v>95</v>
      </c>
      <c r="E478" t="s">
        <v>31</v>
      </c>
      <c r="F478" t="s">
        <v>54</v>
      </c>
      <c r="G478" t="str" cm="1">
        <f t="array" ref="G478">_xlfn.SWITCH(F478,"Acme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478" t="s">
        <v>58</v>
      </c>
      <c r="I478" t="s">
        <v>52</v>
      </c>
      <c r="J478" t="str" cm="1">
        <f t="array" ref="J478">_xlfn.SWITCH(I478,"P001","Laptop","P002","Server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78" s="1" cm="1">
        <f t="array" ref="K478">_xlfn.SWITCH(Table1[[#This Row],[Product ID]],"P001",220,"P002",150,"P003",130,"P004",70,"P005",200,"P006",40,"P007",25,"P008",20,"P009",190,"P010",530)</f>
        <v>130</v>
      </c>
      <c r="L478">
        <v>10</v>
      </c>
      <c r="M478" s="1">
        <f>Table1[[#This Row],[Unit Price]]*Table1[[#This Row],[Quantity]]</f>
        <v>1300</v>
      </c>
      <c r="N478" s="2">
        <v>0.1</v>
      </c>
      <c r="O478" s="1">
        <f>Table1[[#This Row],[Gross Value]]*(1-Table1[[#This Row],[Discount]])</f>
        <v>1170</v>
      </c>
      <c r="P478" s="2">
        <v>0.2</v>
      </c>
      <c r="Q478" s="1">
        <f>Table1[[#This Row],[Revenue]]*Table1[[#This Row],[VAT Rate]]</f>
        <v>234</v>
      </c>
      <c r="R478" s="1">
        <f>Table1[[#This Row],[Revenue]]+Table1[[#This Row],[VAT Charged]]</f>
        <v>1404</v>
      </c>
      <c r="S478" s="1" cm="1">
        <f t="array" ref="S478">_xlfn.SWITCH(Table1[[#This Row],[Product ID]],"P001",140,"P002",80,"P003",72,"P004",30,"P005",110,"P006",24,"P007",14,"P008",12,"P009",115,"P010",360)</f>
        <v>72</v>
      </c>
      <c r="T478" s="1" cm="1">
        <f t="array" ref="T478">(_xlfn.SWITCH(Table1[[#This Row],[Product ID]],"P001",140,"P002",80,"P003",72,"P004",30,"P005",110,"P006",24,"P007",14,"P008",12,"P009",115,"P010",360))*Table1[[#This Row],[Quantity]]</f>
        <v>720</v>
      </c>
      <c r="U478" s="1" cm="1">
        <f t="array" ref="U478">_xlfn.SWITCH(Table1[[#This Row],[Product ID]],"P001",15,"P002",0,"P003",8,"P004",8,"P005",0,"P006",7,"P007",7,"P008",6,"P009",45,"P010",60)</f>
        <v>8</v>
      </c>
      <c r="V478" s="1">
        <f>Table1[[#This Row],[Shipping per Unit]]*Table1[[#This Row],[Quantity]]</f>
        <v>80</v>
      </c>
      <c r="W478" s="2">
        <f>IF(Table1[[#This Row],[Total Shipping]]&gt;0.1,0.2,0)</f>
        <v>0.2</v>
      </c>
      <c r="X478" s="4">
        <f>Table1[[#This Row],[Total Shipping]]*Table1[[#This Row],[VAT on Shipping]]</f>
        <v>16</v>
      </c>
      <c r="Y478" s="1">
        <f>Table1[[#This Row],[Revenue]]-Table1[[#This Row],[COGS]]</f>
        <v>450</v>
      </c>
      <c r="Z478" s="3">
        <f>(Table1[[#This Row],[Profit]]/Table1[[#This Row],[Revenue]])</f>
        <v>0.38461538461538464</v>
      </c>
      <c r="AA478" s="1">
        <f>Table1[[#This Row],[Profit]]-Table1[[#This Row],[Total Shipping]]</f>
        <v>370</v>
      </c>
      <c r="AB478" s="3">
        <f>Table1[[#This Row],[Operating Profit]]/Table1[[#This Row],[Revenue]]</f>
        <v>0.31623931623931623</v>
      </c>
    </row>
    <row r="479" spans="1:28" x14ac:dyDescent="0.25">
      <c r="A479" t="s">
        <v>250</v>
      </c>
      <c r="B479">
        <v>488</v>
      </c>
      <c r="C479" t="s">
        <v>83</v>
      </c>
      <c r="D479" t="s">
        <v>30</v>
      </c>
      <c r="E479" t="s">
        <v>40</v>
      </c>
      <c r="F479" t="s">
        <v>119</v>
      </c>
      <c r="G479" t="str" cm="1">
        <f t="array" ref="G479">_xlfn.SWITCH(F479,"Acme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479" t="s">
        <v>45</v>
      </c>
      <c r="I479" t="s">
        <v>70</v>
      </c>
      <c r="J479" t="str" cm="1">
        <f t="array" ref="J479">_xlfn.SWITCH(I479,"P001","Laptop","P002","Server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79" s="1" cm="1">
        <f t="array" ref="K479">_xlfn.SWITCH(Table1[[#This Row],[Product ID]],"P001",220,"P002",150,"P003",130,"P004",70,"P005",200,"P006",40,"P007",25,"P008",20,"P009",190,"P010",530)</f>
        <v>150</v>
      </c>
      <c r="L479">
        <v>11</v>
      </c>
      <c r="M479" s="1">
        <f>Table1[[#This Row],[Unit Price]]*Table1[[#This Row],[Quantity]]</f>
        <v>1650</v>
      </c>
      <c r="N479" s="2">
        <v>0.09</v>
      </c>
      <c r="O479" s="1">
        <f>Table1[[#This Row],[Gross Value]]*(1-Table1[[#This Row],[Discount]])</f>
        <v>1501.5</v>
      </c>
      <c r="P479" s="2">
        <v>0.2</v>
      </c>
      <c r="Q479" s="1">
        <f>Table1[[#This Row],[Revenue]]*Table1[[#This Row],[VAT Rate]]</f>
        <v>300.3</v>
      </c>
      <c r="R479" s="1">
        <f>Table1[[#This Row],[Revenue]]+Table1[[#This Row],[VAT Charged]]</f>
        <v>1801.8</v>
      </c>
      <c r="S479" s="1" cm="1">
        <f t="array" ref="S479">_xlfn.SWITCH(Table1[[#This Row],[Product ID]],"P001",140,"P002",80,"P003",72,"P004",30,"P005",110,"P006",24,"P007",14,"P008",12,"P009",115,"P010",360)</f>
        <v>80</v>
      </c>
      <c r="T479" s="1" cm="1">
        <f t="array" ref="T479">(_xlfn.SWITCH(Table1[[#This Row],[Product ID]],"P001",140,"P002",80,"P003",72,"P004",30,"P005",110,"P006",24,"P007",14,"P008",12,"P009",115,"P010",360))*Table1[[#This Row],[Quantity]]</f>
        <v>880</v>
      </c>
      <c r="U479" s="1" cm="1">
        <f t="array" ref="U479">_xlfn.SWITCH(Table1[[#This Row],[Product ID]],"P001",15,"P002",0,"P003",8,"P004",8,"P005",0,"P006",7,"P007",7,"P008",6,"P009",45,"P010",60)</f>
        <v>0</v>
      </c>
      <c r="V479" s="1">
        <f>Table1[[#This Row],[Shipping per Unit]]*Table1[[#This Row],[Quantity]]</f>
        <v>0</v>
      </c>
      <c r="W479" s="2">
        <f>IF(Table1[[#This Row],[Total Shipping]]&gt;0.1,0.2,0)</f>
        <v>0</v>
      </c>
      <c r="X479" s="4">
        <f>Table1[[#This Row],[Total Shipping]]*Table1[[#This Row],[VAT on Shipping]]</f>
        <v>0</v>
      </c>
      <c r="Y479" s="1">
        <f>Table1[[#This Row],[Revenue]]-Table1[[#This Row],[COGS]]</f>
        <v>621.5</v>
      </c>
      <c r="Z479" s="3">
        <f>(Table1[[#This Row],[Profit]]/Table1[[#This Row],[Revenue]])</f>
        <v>0.41391941391941389</v>
      </c>
      <c r="AA479" s="1">
        <f>Table1[[#This Row],[Profit]]-Table1[[#This Row],[Total Shipping]]</f>
        <v>621.5</v>
      </c>
      <c r="AB479" s="3">
        <f>Table1[[#This Row],[Operating Profit]]/Table1[[#This Row],[Revenue]]</f>
        <v>0.41391941391941389</v>
      </c>
    </row>
    <row r="480" spans="1:28" x14ac:dyDescent="0.25">
      <c r="A480" t="s">
        <v>250</v>
      </c>
      <c r="B480">
        <v>796</v>
      </c>
      <c r="C480" t="s">
        <v>62</v>
      </c>
      <c r="D480" t="s">
        <v>39</v>
      </c>
      <c r="E480" t="s">
        <v>40</v>
      </c>
      <c r="F480" t="s">
        <v>59</v>
      </c>
      <c r="G480" t="str" cm="1">
        <f t="array" ref="G480">_xlfn.SWITCH(F480,"Acme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480" t="s">
        <v>33</v>
      </c>
      <c r="I480" t="s">
        <v>52</v>
      </c>
      <c r="J480" t="str" cm="1">
        <f t="array" ref="J480">_xlfn.SWITCH(I480,"P001","Laptop","P002","Server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80" s="1" cm="1">
        <f t="array" ref="K480">_xlfn.SWITCH(Table1[[#This Row],[Product ID]],"P001",220,"P002",150,"P003",130,"P004",70,"P005",200,"P006",40,"P007",25,"P008",20,"P009",190,"P010",530)</f>
        <v>130</v>
      </c>
      <c r="L480">
        <v>17</v>
      </c>
      <c r="M480" s="1">
        <f>Table1[[#This Row],[Unit Price]]*Table1[[#This Row],[Quantity]]</f>
        <v>2210</v>
      </c>
      <c r="N480" s="2">
        <v>0.05</v>
      </c>
      <c r="O480" s="1">
        <f>Table1[[#This Row],[Gross Value]]*(1-Table1[[#This Row],[Discount]])</f>
        <v>2099.5</v>
      </c>
      <c r="P480" s="2">
        <v>0.2</v>
      </c>
      <c r="Q480" s="1">
        <f>Table1[[#This Row],[Revenue]]*Table1[[#This Row],[VAT Rate]]</f>
        <v>419.90000000000003</v>
      </c>
      <c r="R480" s="1">
        <f>Table1[[#This Row],[Revenue]]+Table1[[#This Row],[VAT Charged]]</f>
        <v>2519.4</v>
      </c>
      <c r="S480" s="1" cm="1">
        <f t="array" ref="S480">_xlfn.SWITCH(Table1[[#This Row],[Product ID]],"P001",140,"P002",80,"P003",72,"P004",30,"P005",110,"P006",24,"P007",14,"P008",12,"P009",115,"P010",360)</f>
        <v>72</v>
      </c>
      <c r="T480" s="1" cm="1">
        <f t="array" ref="T480">(_xlfn.SWITCH(Table1[[#This Row],[Product ID]],"P001",140,"P002",80,"P003",72,"P004",30,"P005",110,"P006",24,"P007",14,"P008",12,"P009",115,"P010",360))*Table1[[#This Row],[Quantity]]</f>
        <v>1224</v>
      </c>
      <c r="U480" s="1" cm="1">
        <f t="array" ref="U480">_xlfn.SWITCH(Table1[[#This Row],[Product ID]],"P001",15,"P002",0,"P003",8,"P004",8,"P005",0,"P006",7,"P007",7,"P008",6,"P009",45,"P010",60)</f>
        <v>8</v>
      </c>
      <c r="V480" s="1">
        <f>Table1[[#This Row],[Shipping per Unit]]*Table1[[#This Row],[Quantity]]</f>
        <v>136</v>
      </c>
      <c r="W480" s="2">
        <f>IF(Table1[[#This Row],[Total Shipping]]&gt;0.1,0.2,0)</f>
        <v>0.2</v>
      </c>
      <c r="X480" s="4">
        <f>Table1[[#This Row],[Total Shipping]]*Table1[[#This Row],[VAT on Shipping]]</f>
        <v>27.200000000000003</v>
      </c>
      <c r="Y480" s="1">
        <f>Table1[[#This Row],[Revenue]]-Table1[[#This Row],[COGS]]</f>
        <v>875.5</v>
      </c>
      <c r="Z480" s="3">
        <f>(Table1[[#This Row],[Profit]]/Table1[[#This Row],[Revenue]])</f>
        <v>0.41700404858299595</v>
      </c>
      <c r="AA480" s="1">
        <f>Table1[[#This Row],[Profit]]-Table1[[#This Row],[Total Shipping]]</f>
        <v>739.5</v>
      </c>
      <c r="AB480" s="3">
        <f>Table1[[#This Row],[Operating Profit]]/Table1[[#This Row],[Revenue]]</f>
        <v>0.35222672064777327</v>
      </c>
    </row>
    <row r="481" spans="1:28" x14ac:dyDescent="0.25">
      <c r="A481" t="s">
        <v>251</v>
      </c>
      <c r="B481">
        <v>198</v>
      </c>
      <c r="C481" t="s">
        <v>71</v>
      </c>
      <c r="D481" t="s">
        <v>48</v>
      </c>
      <c r="E481" t="s">
        <v>31</v>
      </c>
      <c r="F481" t="s">
        <v>87</v>
      </c>
      <c r="G481" t="str" cm="1">
        <f t="array" ref="G481">_xlfn.SWITCH(F481,"Acme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481" t="s">
        <v>58</v>
      </c>
      <c r="I481" t="s">
        <v>75</v>
      </c>
      <c r="J481" t="str" cm="1">
        <f t="array" ref="J481">_xlfn.SWITCH(I481,"P001","Laptop","P002","Server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81" s="1" cm="1">
        <f t="array" ref="K481">_xlfn.SWITCH(Table1[[#This Row],[Product ID]],"P001",220,"P002",150,"P003",130,"P004",70,"P005",200,"P006",40,"P007",25,"P008",20,"P009",190,"P010",530)</f>
        <v>200</v>
      </c>
      <c r="L481">
        <v>11</v>
      </c>
      <c r="M481" s="1">
        <f>Table1[[#This Row],[Unit Price]]*Table1[[#This Row],[Quantity]]</f>
        <v>2200</v>
      </c>
      <c r="N481" s="2">
        <v>0.01</v>
      </c>
      <c r="O481" s="1">
        <f>Table1[[#This Row],[Gross Value]]*(1-Table1[[#This Row],[Discount]])</f>
        <v>2178</v>
      </c>
      <c r="P481" s="2">
        <v>0.2</v>
      </c>
      <c r="Q481" s="1">
        <f>Table1[[#This Row],[Revenue]]*Table1[[#This Row],[VAT Rate]]</f>
        <v>435.6</v>
      </c>
      <c r="R481" s="1">
        <f>Table1[[#This Row],[Revenue]]+Table1[[#This Row],[VAT Charged]]</f>
        <v>2613.6</v>
      </c>
      <c r="S481" s="1" cm="1">
        <f t="array" ref="S481">_xlfn.SWITCH(Table1[[#This Row],[Product ID]],"P001",140,"P002",80,"P003",72,"P004",30,"P005",110,"P006",24,"P007",14,"P008",12,"P009",115,"P010",360)</f>
        <v>110</v>
      </c>
      <c r="T481" s="1" cm="1">
        <f t="array" ref="T481">(_xlfn.SWITCH(Table1[[#This Row],[Product ID]],"P001",140,"P002",80,"P003",72,"P004",30,"P005",110,"P006",24,"P007",14,"P008",12,"P009",115,"P010",360))*Table1[[#This Row],[Quantity]]</f>
        <v>1210</v>
      </c>
      <c r="U481" s="1" cm="1">
        <f t="array" ref="U481">_xlfn.SWITCH(Table1[[#This Row],[Product ID]],"P001",15,"P002",0,"P003",8,"P004",8,"P005",0,"P006",7,"P007",7,"P008",6,"P009",45,"P010",60)</f>
        <v>0</v>
      </c>
      <c r="V481" s="1">
        <f>Table1[[#This Row],[Shipping per Unit]]*Table1[[#This Row],[Quantity]]</f>
        <v>0</v>
      </c>
      <c r="W481" s="2">
        <f>IF(Table1[[#This Row],[Total Shipping]]&gt;0.1,0.2,0)</f>
        <v>0</v>
      </c>
      <c r="X481" s="4">
        <f>Table1[[#This Row],[Total Shipping]]*Table1[[#This Row],[VAT on Shipping]]</f>
        <v>0</v>
      </c>
      <c r="Y481" s="1">
        <f>Table1[[#This Row],[Revenue]]-Table1[[#This Row],[COGS]]</f>
        <v>968</v>
      </c>
      <c r="Z481" s="3">
        <f>(Table1[[#This Row],[Profit]]/Table1[[#This Row],[Revenue]])</f>
        <v>0.44444444444444442</v>
      </c>
      <c r="AA481" s="1">
        <f>Table1[[#This Row],[Profit]]-Table1[[#This Row],[Total Shipping]]</f>
        <v>968</v>
      </c>
      <c r="AB481" s="3">
        <f>Table1[[#This Row],[Operating Profit]]/Table1[[#This Row],[Revenue]]</f>
        <v>0.44444444444444442</v>
      </c>
    </row>
    <row r="482" spans="1:28" x14ac:dyDescent="0.25">
      <c r="A482" t="s">
        <v>251</v>
      </c>
      <c r="B482">
        <v>225</v>
      </c>
      <c r="C482" t="s">
        <v>38</v>
      </c>
      <c r="D482" t="s">
        <v>63</v>
      </c>
      <c r="E482" t="s">
        <v>40</v>
      </c>
      <c r="F482" t="s">
        <v>119</v>
      </c>
      <c r="G482" t="str" cm="1">
        <f t="array" ref="G482">_xlfn.SWITCH(F482,"Acme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482" t="s">
        <v>33</v>
      </c>
      <c r="I482" t="s">
        <v>52</v>
      </c>
      <c r="J482" t="str" cm="1">
        <f t="array" ref="J482">_xlfn.SWITCH(I482,"P001","Laptop","P002","Server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82" s="1" cm="1">
        <f t="array" ref="K482">_xlfn.SWITCH(Table1[[#This Row],[Product ID]],"P001",220,"P002",150,"P003",130,"P004",70,"P005",200,"P006",40,"P007",25,"P008",20,"P009",190,"P010",530)</f>
        <v>130</v>
      </c>
      <c r="L482">
        <v>7</v>
      </c>
      <c r="M482" s="1">
        <f>Table1[[#This Row],[Unit Price]]*Table1[[#This Row],[Quantity]]</f>
        <v>910</v>
      </c>
      <c r="N482" s="2">
        <v>0.05</v>
      </c>
      <c r="O482" s="1">
        <f>Table1[[#This Row],[Gross Value]]*(1-Table1[[#This Row],[Discount]])</f>
        <v>864.5</v>
      </c>
      <c r="P482" s="2">
        <v>0.2</v>
      </c>
      <c r="Q482" s="1">
        <f>Table1[[#This Row],[Revenue]]*Table1[[#This Row],[VAT Rate]]</f>
        <v>172.9</v>
      </c>
      <c r="R482" s="1">
        <f>Table1[[#This Row],[Revenue]]+Table1[[#This Row],[VAT Charged]]</f>
        <v>1037.4000000000001</v>
      </c>
      <c r="S482" s="1" cm="1">
        <f t="array" ref="S482">_xlfn.SWITCH(Table1[[#This Row],[Product ID]],"P001",140,"P002",80,"P003",72,"P004",30,"P005",110,"P006",24,"P007",14,"P008",12,"P009",115,"P010",360)</f>
        <v>72</v>
      </c>
      <c r="T482" s="1" cm="1">
        <f t="array" ref="T482">(_xlfn.SWITCH(Table1[[#This Row],[Product ID]],"P001",140,"P002",80,"P003",72,"P004",30,"P005",110,"P006",24,"P007",14,"P008",12,"P009",115,"P010",360))*Table1[[#This Row],[Quantity]]</f>
        <v>504</v>
      </c>
      <c r="U482" s="1" cm="1">
        <f t="array" ref="U482">_xlfn.SWITCH(Table1[[#This Row],[Product ID]],"P001",15,"P002",0,"P003",8,"P004",8,"P005",0,"P006",7,"P007",7,"P008",6,"P009",45,"P010",60)</f>
        <v>8</v>
      </c>
      <c r="V482" s="1">
        <f>Table1[[#This Row],[Shipping per Unit]]*Table1[[#This Row],[Quantity]]</f>
        <v>56</v>
      </c>
      <c r="W482" s="2">
        <f>IF(Table1[[#This Row],[Total Shipping]]&gt;0.1,0.2,0)</f>
        <v>0.2</v>
      </c>
      <c r="X482" s="4">
        <f>Table1[[#This Row],[Total Shipping]]*Table1[[#This Row],[VAT on Shipping]]</f>
        <v>11.200000000000001</v>
      </c>
      <c r="Y482" s="1">
        <f>Table1[[#This Row],[Revenue]]-Table1[[#This Row],[COGS]]</f>
        <v>360.5</v>
      </c>
      <c r="Z482" s="3">
        <f>(Table1[[#This Row],[Profit]]/Table1[[#This Row],[Revenue]])</f>
        <v>0.41700404858299595</v>
      </c>
      <c r="AA482" s="1">
        <f>Table1[[#This Row],[Profit]]-Table1[[#This Row],[Total Shipping]]</f>
        <v>304.5</v>
      </c>
      <c r="AB482" s="3">
        <f>Table1[[#This Row],[Operating Profit]]/Table1[[#This Row],[Revenue]]</f>
        <v>0.35222672064777327</v>
      </c>
    </row>
    <row r="483" spans="1:28" x14ac:dyDescent="0.25">
      <c r="A483" t="s">
        <v>251</v>
      </c>
      <c r="B483">
        <v>257</v>
      </c>
      <c r="C483" t="s">
        <v>56</v>
      </c>
      <c r="D483" t="s">
        <v>36</v>
      </c>
      <c r="E483" t="s">
        <v>40</v>
      </c>
      <c r="F483" t="s">
        <v>54</v>
      </c>
      <c r="G483" t="str" cm="1">
        <f t="array" ref="G483">_xlfn.SWITCH(F483,"Acme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483" t="s">
        <v>45</v>
      </c>
      <c r="I483" t="s">
        <v>60</v>
      </c>
      <c r="J483" t="str" cm="1">
        <f t="array" ref="J483">_xlfn.SWITCH(I483,"P001","Laptop","P002","Server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83" s="1" cm="1">
        <f t="array" ref="K483">_xlfn.SWITCH(Table1[[#This Row],[Product ID]],"P001",220,"P002",150,"P003",130,"P004",70,"P005",200,"P006",40,"P007",25,"P008",20,"P009",190,"P010",530)</f>
        <v>25</v>
      </c>
      <c r="L483">
        <v>9</v>
      </c>
      <c r="M483" s="1">
        <f>Table1[[#This Row],[Unit Price]]*Table1[[#This Row],[Quantity]]</f>
        <v>225</v>
      </c>
      <c r="N483" s="2">
        <v>0.03</v>
      </c>
      <c r="O483" s="1">
        <f>Table1[[#This Row],[Gross Value]]*(1-Table1[[#This Row],[Discount]])</f>
        <v>218.25</v>
      </c>
      <c r="P483" s="2">
        <v>0.2</v>
      </c>
      <c r="Q483" s="1">
        <f>Table1[[#This Row],[Revenue]]*Table1[[#This Row],[VAT Rate]]</f>
        <v>43.650000000000006</v>
      </c>
      <c r="R483" s="1">
        <f>Table1[[#This Row],[Revenue]]+Table1[[#This Row],[VAT Charged]]</f>
        <v>261.89999999999998</v>
      </c>
      <c r="S483" s="1" cm="1">
        <f t="array" ref="S483">_xlfn.SWITCH(Table1[[#This Row],[Product ID]],"P001",140,"P002",80,"P003",72,"P004",30,"P005",110,"P006",24,"P007",14,"P008",12,"P009",115,"P010",360)</f>
        <v>14</v>
      </c>
      <c r="T483" s="1" cm="1">
        <f t="array" ref="T483">(_xlfn.SWITCH(Table1[[#This Row],[Product ID]],"P001",140,"P002",80,"P003",72,"P004",30,"P005",110,"P006",24,"P007",14,"P008",12,"P009",115,"P010",360))*Table1[[#This Row],[Quantity]]</f>
        <v>126</v>
      </c>
      <c r="U483" s="1" cm="1">
        <f t="array" ref="U483">_xlfn.SWITCH(Table1[[#This Row],[Product ID]],"P001",15,"P002",0,"P003",8,"P004",8,"P005",0,"P006",7,"P007",7,"P008",6,"P009",45,"P010",60)</f>
        <v>7</v>
      </c>
      <c r="V483" s="1">
        <f>Table1[[#This Row],[Shipping per Unit]]*Table1[[#This Row],[Quantity]]</f>
        <v>63</v>
      </c>
      <c r="W483" s="2">
        <f>IF(Table1[[#This Row],[Total Shipping]]&gt;0.1,0.2,0)</f>
        <v>0.2</v>
      </c>
      <c r="X483" s="4">
        <f>Table1[[#This Row],[Total Shipping]]*Table1[[#This Row],[VAT on Shipping]]</f>
        <v>12.600000000000001</v>
      </c>
      <c r="Y483" s="1">
        <f>Table1[[#This Row],[Revenue]]-Table1[[#This Row],[COGS]]</f>
        <v>92.25</v>
      </c>
      <c r="Z483" s="3">
        <f>(Table1[[#This Row],[Profit]]/Table1[[#This Row],[Revenue]])</f>
        <v>0.42268041237113402</v>
      </c>
      <c r="AA483" s="1">
        <f>Table1[[#This Row],[Profit]]-Table1[[#This Row],[Total Shipping]]</f>
        <v>29.25</v>
      </c>
      <c r="AB483" s="3">
        <f>Table1[[#This Row],[Operating Profit]]/Table1[[#This Row],[Revenue]]</f>
        <v>0.13402061855670103</v>
      </c>
    </row>
    <row r="484" spans="1:28" x14ac:dyDescent="0.25">
      <c r="A484" t="s">
        <v>252</v>
      </c>
      <c r="B484">
        <v>38</v>
      </c>
      <c r="C484" t="s">
        <v>65</v>
      </c>
      <c r="D484" t="s">
        <v>67</v>
      </c>
      <c r="E484" t="s">
        <v>31</v>
      </c>
      <c r="F484" t="s">
        <v>98</v>
      </c>
      <c r="G484" t="str" cm="1">
        <f t="array" ref="G484">_xlfn.SWITCH(F484,"Acme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484" t="s">
        <v>33</v>
      </c>
      <c r="I484" t="s">
        <v>52</v>
      </c>
      <c r="J484" t="str" cm="1">
        <f t="array" ref="J484">_xlfn.SWITCH(I484,"P001","Laptop","P002","Server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484" s="1" cm="1">
        <f t="array" ref="K484">_xlfn.SWITCH(Table1[[#This Row],[Product ID]],"P001",220,"P002",150,"P003",130,"P004",70,"P005",200,"P006",40,"P007",25,"P008",20,"P009",190,"P010",530)</f>
        <v>130</v>
      </c>
      <c r="L484">
        <v>11</v>
      </c>
      <c r="M484" s="1">
        <f>Table1[[#This Row],[Unit Price]]*Table1[[#This Row],[Quantity]]</f>
        <v>1430</v>
      </c>
      <c r="N484" s="2">
        <v>0.1</v>
      </c>
      <c r="O484" s="1">
        <f>Table1[[#This Row],[Gross Value]]*(1-Table1[[#This Row],[Discount]])</f>
        <v>1287</v>
      </c>
      <c r="P484" s="2">
        <v>0.2</v>
      </c>
      <c r="Q484" s="1">
        <f>Table1[[#This Row],[Revenue]]*Table1[[#This Row],[VAT Rate]]</f>
        <v>257.40000000000003</v>
      </c>
      <c r="R484" s="1">
        <f>Table1[[#This Row],[Revenue]]+Table1[[#This Row],[VAT Charged]]</f>
        <v>1544.4</v>
      </c>
      <c r="S484" s="1" cm="1">
        <f t="array" ref="S484">_xlfn.SWITCH(Table1[[#This Row],[Product ID]],"P001",140,"P002",80,"P003",72,"P004",30,"P005",110,"P006",24,"P007",14,"P008",12,"P009",115,"P010",360)</f>
        <v>72</v>
      </c>
      <c r="T484" s="1" cm="1">
        <f t="array" ref="T484">(_xlfn.SWITCH(Table1[[#This Row],[Product ID]],"P001",140,"P002",80,"P003",72,"P004",30,"P005",110,"P006",24,"P007",14,"P008",12,"P009",115,"P010",360))*Table1[[#This Row],[Quantity]]</f>
        <v>792</v>
      </c>
      <c r="U484" s="1" cm="1">
        <f t="array" ref="U484">_xlfn.SWITCH(Table1[[#This Row],[Product ID]],"P001",15,"P002",0,"P003",8,"P004",8,"P005",0,"P006",7,"P007",7,"P008",6,"P009",45,"P010",60)</f>
        <v>8</v>
      </c>
      <c r="V484" s="1">
        <f>Table1[[#This Row],[Shipping per Unit]]*Table1[[#This Row],[Quantity]]</f>
        <v>88</v>
      </c>
      <c r="W484" s="2">
        <f>IF(Table1[[#This Row],[Total Shipping]]&gt;0.1,0.2,0)</f>
        <v>0.2</v>
      </c>
      <c r="X484" s="4">
        <f>Table1[[#This Row],[Total Shipping]]*Table1[[#This Row],[VAT on Shipping]]</f>
        <v>17.600000000000001</v>
      </c>
      <c r="Y484" s="1">
        <f>Table1[[#This Row],[Revenue]]-Table1[[#This Row],[COGS]]</f>
        <v>495</v>
      </c>
      <c r="Z484" s="3">
        <f>(Table1[[#This Row],[Profit]]/Table1[[#This Row],[Revenue]])</f>
        <v>0.38461538461538464</v>
      </c>
      <c r="AA484" s="1">
        <f>Table1[[#This Row],[Profit]]-Table1[[#This Row],[Total Shipping]]</f>
        <v>407</v>
      </c>
      <c r="AB484" s="3">
        <f>Table1[[#This Row],[Operating Profit]]/Table1[[#This Row],[Revenue]]</f>
        <v>0.31623931623931623</v>
      </c>
    </row>
    <row r="485" spans="1:28" x14ac:dyDescent="0.25">
      <c r="A485" t="s">
        <v>252</v>
      </c>
      <c r="B485">
        <v>104</v>
      </c>
      <c r="C485" t="s">
        <v>71</v>
      </c>
      <c r="D485" t="s">
        <v>95</v>
      </c>
      <c r="E485" t="s">
        <v>49</v>
      </c>
      <c r="F485" t="s">
        <v>79</v>
      </c>
      <c r="G485" t="str" cm="1">
        <f t="array" ref="G485">_xlfn.SWITCH(F485,"Acme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485" t="s">
        <v>45</v>
      </c>
      <c r="I485" t="s">
        <v>75</v>
      </c>
      <c r="J485" t="str" cm="1">
        <f t="array" ref="J485">_xlfn.SWITCH(I485,"P001","Laptop","P002","Server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85" s="1" cm="1">
        <f t="array" ref="K485">_xlfn.SWITCH(Table1[[#This Row],[Product ID]],"P001",220,"P002",150,"P003",130,"P004",70,"P005",200,"P006",40,"P007",25,"P008",20,"P009",190,"P010",530)</f>
        <v>200</v>
      </c>
      <c r="L485">
        <v>13</v>
      </c>
      <c r="M485" s="1">
        <f>Table1[[#This Row],[Unit Price]]*Table1[[#This Row],[Quantity]]</f>
        <v>2600</v>
      </c>
      <c r="N485" s="2">
        <v>0.02</v>
      </c>
      <c r="O485" s="1">
        <f>Table1[[#This Row],[Gross Value]]*(1-Table1[[#This Row],[Discount]])</f>
        <v>2548</v>
      </c>
      <c r="P485" s="2">
        <v>0.2</v>
      </c>
      <c r="Q485" s="1">
        <f>Table1[[#This Row],[Revenue]]*Table1[[#This Row],[VAT Rate]]</f>
        <v>509.6</v>
      </c>
      <c r="R485" s="1">
        <f>Table1[[#This Row],[Revenue]]+Table1[[#This Row],[VAT Charged]]</f>
        <v>3057.6</v>
      </c>
      <c r="S485" s="1" cm="1">
        <f t="array" ref="S485">_xlfn.SWITCH(Table1[[#This Row],[Product ID]],"P001",140,"P002",80,"P003",72,"P004",30,"P005",110,"P006",24,"P007",14,"P008",12,"P009",115,"P010",360)</f>
        <v>110</v>
      </c>
      <c r="T485" s="1" cm="1">
        <f t="array" ref="T485">(_xlfn.SWITCH(Table1[[#This Row],[Product ID]],"P001",140,"P002",80,"P003",72,"P004",30,"P005",110,"P006",24,"P007",14,"P008",12,"P009",115,"P010",360))*Table1[[#This Row],[Quantity]]</f>
        <v>1430</v>
      </c>
      <c r="U485" s="1" cm="1">
        <f t="array" ref="U485">_xlfn.SWITCH(Table1[[#This Row],[Product ID]],"P001",15,"P002",0,"P003",8,"P004",8,"P005",0,"P006",7,"P007",7,"P008",6,"P009",45,"P010",60)</f>
        <v>0</v>
      </c>
      <c r="V485" s="1">
        <f>Table1[[#This Row],[Shipping per Unit]]*Table1[[#This Row],[Quantity]]</f>
        <v>0</v>
      </c>
      <c r="W485" s="2">
        <f>IF(Table1[[#This Row],[Total Shipping]]&gt;0.1,0.2,0)</f>
        <v>0</v>
      </c>
      <c r="X485" s="4">
        <f>Table1[[#This Row],[Total Shipping]]*Table1[[#This Row],[VAT on Shipping]]</f>
        <v>0</v>
      </c>
      <c r="Y485" s="1">
        <f>Table1[[#This Row],[Revenue]]-Table1[[#This Row],[COGS]]</f>
        <v>1118</v>
      </c>
      <c r="Z485" s="3">
        <f>(Table1[[#This Row],[Profit]]/Table1[[#This Row],[Revenue]])</f>
        <v>0.43877551020408162</v>
      </c>
      <c r="AA485" s="1">
        <f>Table1[[#This Row],[Profit]]-Table1[[#This Row],[Total Shipping]]</f>
        <v>1118</v>
      </c>
      <c r="AB485" s="3">
        <f>Table1[[#This Row],[Operating Profit]]/Table1[[#This Row],[Revenue]]</f>
        <v>0.43877551020408162</v>
      </c>
    </row>
    <row r="486" spans="1:28" x14ac:dyDescent="0.25">
      <c r="A486" t="s">
        <v>252</v>
      </c>
      <c r="B486">
        <v>160</v>
      </c>
      <c r="C486" t="s">
        <v>56</v>
      </c>
      <c r="D486" t="s">
        <v>72</v>
      </c>
      <c r="E486" t="s">
        <v>31</v>
      </c>
      <c r="F486" t="s">
        <v>102</v>
      </c>
      <c r="G486" t="str" cm="1">
        <f t="array" ref="G486">_xlfn.SWITCH(F486,"Acme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486" t="s">
        <v>33</v>
      </c>
      <c r="I486" t="s">
        <v>46</v>
      </c>
      <c r="J486" t="str" cm="1">
        <f t="array" ref="J486">_xlfn.SWITCH(I486,"P001","Laptop","P002","Server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86" s="1" cm="1">
        <f t="array" ref="K486">_xlfn.SWITCH(Table1[[#This Row],[Product ID]],"P001",220,"P002",150,"P003",130,"P004",70,"P005",200,"P006",40,"P007",25,"P008",20,"P009",190,"P010",530)</f>
        <v>530</v>
      </c>
      <c r="L486">
        <v>15</v>
      </c>
      <c r="M486" s="1">
        <f>Table1[[#This Row],[Unit Price]]*Table1[[#This Row],[Quantity]]</f>
        <v>7950</v>
      </c>
      <c r="N486" s="2">
        <v>0.12</v>
      </c>
      <c r="O486" s="1">
        <f>Table1[[#This Row],[Gross Value]]*(1-Table1[[#This Row],[Discount]])</f>
        <v>6996</v>
      </c>
      <c r="P486" s="2">
        <v>0.2</v>
      </c>
      <c r="Q486" s="1">
        <f>Table1[[#This Row],[Revenue]]*Table1[[#This Row],[VAT Rate]]</f>
        <v>1399.2</v>
      </c>
      <c r="R486" s="1">
        <f>Table1[[#This Row],[Revenue]]+Table1[[#This Row],[VAT Charged]]</f>
        <v>8395.2000000000007</v>
      </c>
      <c r="S486" s="1" cm="1">
        <f t="array" ref="S486">_xlfn.SWITCH(Table1[[#This Row],[Product ID]],"P001",140,"P002",80,"P003",72,"P004",30,"P005",110,"P006",24,"P007",14,"P008",12,"P009",115,"P010",360)</f>
        <v>360</v>
      </c>
      <c r="T486" s="1" cm="1">
        <f t="array" ref="T486">(_xlfn.SWITCH(Table1[[#This Row],[Product ID]],"P001",140,"P002",80,"P003",72,"P004",30,"P005",110,"P006",24,"P007",14,"P008",12,"P009",115,"P010",360))*Table1[[#This Row],[Quantity]]</f>
        <v>5400</v>
      </c>
      <c r="U486" s="1" cm="1">
        <f t="array" ref="U486">_xlfn.SWITCH(Table1[[#This Row],[Product ID]],"P001",15,"P002",0,"P003",8,"P004",8,"P005",0,"P006",7,"P007",7,"P008",6,"P009",45,"P010",60)</f>
        <v>60</v>
      </c>
      <c r="V486" s="1">
        <f>Table1[[#This Row],[Shipping per Unit]]*Table1[[#This Row],[Quantity]]</f>
        <v>900</v>
      </c>
      <c r="W486" s="2">
        <f>IF(Table1[[#This Row],[Total Shipping]]&gt;0.1,0.2,0)</f>
        <v>0.2</v>
      </c>
      <c r="X486" s="4">
        <f>Table1[[#This Row],[Total Shipping]]*Table1[[#This Row],[VAT on Shipping]]</f>
        <v>180</v>
      </c>
      <c r="Y486" s="1">
        <f>Table1[[#This Row],[Revenue]]-Table1[[#This Row],[COGS]]</f>
        <v>1596</v>
      </c>
      <c r="Z486" s="3">
        <f>(Table1[[#This Row],[Profit]]/Table1[[#This Row],[Revenue]])</f>
        <v>0.22813036020583191</v>
      </c>
      <c r="AA486" s="1">
        <f>Table1[[#This Row],[Profit]]-Table1[[#This Row],[Total Shipping]]</f>
        <v>696</v>
      </c>
      <c r="AB486" s="3">
        <f>Table1[[#This Row],[Operating Profit]]/Table1[[#This Row],[Revenue]]</f>
        <v>9.9485420240137221E-2</v>
      </c>
    </row>
    <row r="487" spans="1:28" x14ac:dyDescent="0.25">
      <c r="A487" t="s">
        <v>252</v>
      </c>
      <c r="B487">
        <v>194</v>
      </c>
      <c r="C487" t="s">
        <v>83</v>
      </c>
      <c r="D487" t="s">
        <v>36</v>
      </c>
      <c r="E487" t="s">
        <v>49</v>
      </c>
      <c r="F487" t="s">
        <v>84</v>
      </c>
      <c r="G487" t="str" cm="1">
        <f t="array" ref="G487">_xlfn.SWITCH(F487,"Acme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487" t="s">
        <v>104</v>
      </c>
      <c r="I487" t="s">
        <v>42</v>
      </c>
      <c r="J487" t="str" cm="1">
        <f t="array" ref="J487">_xlfn.SWITCH(I487,"P001","Laptop","P002","Server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87" s="1" cm="1">
        <f t="array" ref="K487">_xlfn.SWITCH(Table1[[#This Row],[Product ID]],"P001",220,"P002",150,"P003",130,"P004",70,"P005",200,"P006",40,"P007",25,"P008",20,"P009",190,"P010",530)</f>
        <v>40</v>
      </c>
      <c r="L487">
        <v>1</v>
      </c>
      <c r="M487" s="1">
        <f>Table1[[#This Row],[Unit Price]]*Table1[[#This Row],[Quantity]]</f>
        <v>40</v>
      </c>
      <c r="N487" s="2">
        <v>0.05</v>
      </c>
      <c r="O487" s="1">
        <f>Table1[[#This Row],[Gross Value]]*(1-Table1[[#This Row],[Discount]])</f>
        <v>38</v>
      </c>
      <c r="P487" s="2">
        <v>0.2</v>
      </c>
      <c r="Q487" s="1">
        <f>Table1[[#This Row],[Revenue]]*Table1[[#This Row],[VAT Rate]]</f>
        <v>7.6000000000000005</v>
      </c>
      <c r="R487" s="1">
        <f>Table1[[#This Row],[Revenue]]+Table1[[#This Row],[VAT Charged]]</f>
        <v>45.6</v>
      </c>
      <c r="S487" s="1" cm="1">
        <f t="array" ref="S487">_xlfn.SWITCH(Table1[[#This Row],[Product ID]],"P001",140,"P002",80,"P003",72,"P004",30,"P005",110,"P006",24,"P007",14,"P008",12,"P009",115,"P010",360)</f>
        <v>24</v>
      </c>
      <c r="T487" s="1" cm="1">
        <f t="array" ref="T487">(_xlfn.SWITCH(Table1[[#This Row],[Product ID]],"P001",140,"P002",80,"P003",72,"P004",30,"P005",110,"P006",24,"P007",14,"P008",12,"P009",115,"P010",360))*Table1[[#This Row],[Quantity]]</f>
        <v>24</v>
      </c>
      <c r="U487" s="1" cm="1">
        <f t="array" ref="U487">_xlfn.SWITCH(Table1[[#This Row],[Product ID]],"P001",15,"P002",0,"P003",8,"P004",8,"P005",0,"P006",7,"P007",7,"P008",6,"P009",45,"P010",60)</f>
        <v>7</v>
      </c>
      <c r="V487" s="1">
        <f>Table1[[#This Row],[Shipping per Unit]]*Table1[[#This Row],[Quantity]]</f>
        <v>7</v>
      </c>
      <c r="W487" s="2">
        <f>IF(Table1[[#This Row],[Total Shipping]]&gt;0.1,0.2,0)</f>
        <v>0.2</v>
      </c>
      <c r="X487" s="4">
        <f>Table1[[#This Row],[Total Shipping]]*Table1[[#This Row],[VAT on Shipping]]</f>
        <v>1.4000000000000001</v>
      </c>
      <c r="Y487" s="1">
        <f>Table1[[#This Row],[Revenue]]-Table1[[#This Row],[COGS]]</f>
        <v>14</v>
      </c>
      <c r="Z487" s="3">
        <f>(Table1[[#This Row],[Profit]]/Table1[[#This Row],[Revenue]])</f>
        <v>0.36842105263157893</v>
      </c>
      <c r="AA487" s="1">
        <f>Table1[[#This Row],[Profit]]-Table1[[#This Row],[Total Shipping]]</f>
        <v>7</v>
      </c>
      <c r="AB487" s="3">
        <f>Table1[[#This Row],[Operating Profit]]/Table1[[#This Row],[Revenue]]</f>
        <v>0.18421052631578946</v>
      </c>
    </row>
    <row r="488" spans="1:28" x14ac:dyDescent="0.25">
      <c r="A488" t="s">
        <v>252</v>
      </c>
      <c r="B488">
        <v>575</v>
      </c>
      <c r="C488" t="s">
        <v>56</v>
      </c>
      <c r="D488" t="s">
        <v>67</v>
      </c>
      <c r="E488" t="s">
        <v>31</v>
      </c>
      <c r="F488" t="s">
        <v>44</v>
      </c>
      <c r="G488" t="str" cm="1">
        <f t="array" ref="G488">_xlfn.SWITCH(F488,"Acme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488" t="s">
        <v>58</v>
      </c>
      <c r="I488" t="s">
        <v>46</v>
      </c>
      <c r="J488" t="str" cm="1">
        <f t="array" ref="J488">_xlfn.SWITCH(I488,"P001","Laptop","P002","Server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88" s="1" cm="1">
        <f t="array" ref="K488">_xlfn.SWITCH(Table1[[#This Row],[Product ID]],"P001",220,"P002",150,"P003",130,"P004",70,"P005",200,"P006",40,"P007",25,"P008",20,"P009",190,"P010",530)</f>
        <v>530</v>
      </c>
      <c r="L488">
        <v>13</v>
      </c>
      <c r="M488" s="1">
        <f>Table1[[#This Row],[Unit Price]]*Table1[[#This Row],[Quantity]]</f>
        <v>6890</v>
      </c>
      <c r="N488" s="2">
        <v>7.0000000000000007E-2</v>
      </c>
      <c r="O488" s="1">
        <f>Table1[[#This Row],[Gross Value]]*(1-Table1[[#This Row],[Discount]])</f>
        <v>6407.7</v>
      </c>
      <c r="P488" s="2">
        <v>0.2</v>
      </c>
      <c r="Q488" s="1">
        <f>Table1[[#This Row],[Revenue]]*Table1[[#This Row],[VAT Rate]]</f>
        <v>1281.54</v>
      </c>
      <c r="R488" s="1">
        <f>Table1[[#This Row],[Revenue]]+Table1[[#This Row],[VAT Charged]]</f>
        <v>7689.24</v>
      </c>
      <c r="S488" s="1" cm="1">
        <f t="array" ref="S488">_xlfn.SWITCH(Table1[[#This Row],[Product ID]],"P001",140,"P002",80,"P003",72,"P004",30,"P005",110,"P006",24,"P007",14,"P008",12,"P009",115,"P010",360)</f>
        <v>360</v>
      </c>
      <c r="T488" s="1" cm="1">
        <f t="array" ref="T488">(_xlfn.SWITCH(Table1[[#This Row],[Product ID]],"P001",140,"P002",80,"P003",72,"P004",30,"P005",110,"P006",24,"P007",14,"P008",12,"P009",115,"P010",360))*Table1[[#This Row],[Quantity]]</f>
        <v>4680</v>
      </c>
      <c r="U488" s="1" cm="1">
        <f t="array" ref="U488">_xlfn.SWITCH(Table1[[#This Row],[Product ID]],"P001",15,"P002",0,"P003",8,"P004",8,"P005",0,"P006",7,"P007",7,"P008",6,"P009",45,"P010",60)</f>
        <v>60</v>
      </c>
      <c r="V488" s="1">
        <f>Table1[[#This Row],[Shipping per Unit]]*Table1[[#This Row],[Quantity]]</f>
        <v>780</v>
      </c>
      <c r="W488" s="2">
        <f>IF(Table1[[#This Row],[Total Shipping]]&gt;0.1,0.2,0)</f>
        <v>0.2</v>
      </c>
      <c r="X488" s="4">
        <f>Table1[[#This Row],[Total Shipping]]*Table1[[#This Row],[VAT on Shipping]]</f>
        <v>156</v>
      </c>
      <c r="Y488" s="1">
        <f>Table1[[#This Row],[Revenue]]-Table1[[#This Row],[COGS]]</f>
        <v>1727.6999999999998</v>
      </c>
      <c r="Z488" s="3">
        <f>(Table1[[#This Row],[Profit]]/Table1[[#This Row],[Revenue]])</f>
        <v>0.26962872793670112</v>
      </c>
      <c r="AA488" s="1">
        <f>Table1[[#This Row],[Profit]]-Table1[[#This Row],[Total Shipping]]</f>
        <v>947.69999999999982</v>
      </c>
      <c r="AB488" s="3">
        <f>Table1[[#This Row],[Operating Profit]]/Table1[[#This Row],[Revenue]]</f>
        <v>0.14790018259281798</v>
      </c>
    </row>
    <row r="489" spans="1:28" x14ac:dyDescent="0.25">
      <c r="A489" t="s">
        <v>252</v>
      </c>
      <c r="B489">
        <v>916</v>
      </c>
      <c r="C489" t="s">
        <v>38</v>
      </c>
      <c r="D489" t="s">
        <v>53</v>
      </c>
      <c r="E489" t="s">
        <v>31</v>
      </c>
      <c r="F489" t="s">
        <v>113</v>
      </c>
      <c r="G489" t="str" cm="1">
        <f t="array" ref="G489">_xlfn.SWITCH(F489,"Acme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489" t="s">
        <v>51</v>
      </c>
      <c r="I489" t="s">
        <v>68</v>
      </c>
      <c r="J489" t="str" cm="1">
        <f t="array" ref="J489">_xlfn.SWITCH(I489,"P001","Laptop","P002","Server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489" s="1" cm="1">
        <f t="array" ref="K489">_xlfn.SWITCH(Table1[[#This Row],[Product ID]],"P001",220,"P002",150,"P003",130,"P004",70,"P005",200,"P006",40,"P007",25,"P008",20,"P009",190,"P010",530)</f>
        <v>220</v>
      </c>
      <c r="L489">
        <v>12</v>
      </c>
      <c r="M489" s="1">
        <f>Table1[[#This Row],[Unit Price]]*Table1[[#This Row],[Quantity]]</f>
        <v>2640</v>
      </c>
      <c r="N489" s="2">
        <v>7.0000000000000007E-2</v>
      </c>
      <c r="O489" s="1">
        <f>Table1[[#This Row],[Gross Value]]*(1-Table1[[#This Row],[Discount]])</f>
        <v>2455.1999999999998</v>
      </c>
      <c r="P489" s="2">
        <v>0.2</v>
      </c>
      <c r="Q489" s="1">
        <f>Table1[[#This Row],[Revenue]]*Table1[[#This Row],[VAT Rate]]</f>
        <v>491.03999999999996</v>
      </c>
      <c r="R489" s="1">
        <f>Table1[[#This Row],[Revenue]]+Table1[[#This Row],[VAT Charged]]</f>
        <v>2946.24</v>
      </c>
      <c r="S489" s="1" cm="1">
        <f t="array" ref="S489">_xlfn.SWITCH(Table1[[#This Row],[Product ID]],"P001",140,"P002",80,"P003",72,"P004",30,"P005",110,"P006",24,"P007",14,"P008",12,"P009",115,"P010",360)</f>
        <v>140</v>
      </c>
      <c r="T489" s="1" cm="1">
        <f t="array" ref="T489">(_xlfn.SWITCH(Table1[[#This Row],[Product ID]],"P001",140,"P002",80,"P003",72,"P004",30,"P005",110,"P006",24,"P007",14,"P008",12,"P009",115,"P010",360))*Table1[[#This Row],[Quantity]]</f>
        <v>1680</v>
      </c>
      <c r="U489" s="1" cm="1">
        <f t="array" ref="U489">_xlfn.SWITCH(Table1[[#This Row],[Product ID]],"P001",15,"P002",0,"P003",8,"P004",8,"P005",0,"P006",7,"P007",7,"P008",6,"P009",45,"P010",60)</f>
        <v>15</v>
      </c>
      <c r="V489" s="1">
        <f>Table1[[#This Row],[Shipping per Unit]]*Table1[[#This Row],[Quantity]]</f>
        <v>180</v>
      </c>
      <c r="W489" s="2">
        <f>IF(Table1[[#This Row],[Total Shipping]]&gt;0.1,0.2,0)</f>
        <v>0.2</v>
      </c>
      <c r="X489" s="4">
        <f>Table1[[#This Row],[Total Shipping]]*Table1[[#This Row],[VAT on Shipping]]</f>
        <v>36</v>
      </c>
      <c r="Y489" s="1">
        <f>Table1[[#This Row],[Revenue]]-Table1[[#This Row],[COGS]]</f>
        <v>775.19999999999982</v>
      </c>
      <c r="Z489" s="3">
        <f>(Table1[[#This Row],[Profit]]/Table1[[#This Row],[Revenue]])</f>
        <v>0.31573802541544471</v>
      </c>
      <c r="AA489" s="1">
        <f>Table1[[#This Row],[Profit]]-Table1[[#This Row],[Total Shipping]]</f>
        <v>595.19999999999982</v>
      </c>
      <c r="AB489" s="3">
        <f>Table1[[#This Row],[Operating Profit]]/Table1[[#This Row],[Revenue]]</f>
        <v>0.24242424242424238</v>
      </c>
    </row>
    <row r="490" spans="1:28" x14ac:dyDescent="0.25">
      <c r="A490" t="s">
        <v>252</v>
      </c>
      <c r="B490">
        <v>965</v>
      </c>
      <c r="C490" t="s">
        <v>71</v>
      </c>
      <c r="D490" t="s">
        <v>57</v>
      </c>
      <c r="E490" t="s">
        <v>40</v>
      </c>
      <c r="F490" t="s">
        <v>87</v>
      </c>
      <c r="G490" t="str" cm="1">
        <f t="array" ref="G490">_xlfn.SWITCH(F490,"Acme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490" t="s">
        <v>33</v>
      </c>
      <c r="I490" t="s">
        <v>70</v>
      </c>
      <c r="J490" t="str" cm="1">
        <f t="array" ref="J490">_xlfn.SWITCH(I490,"P001","Laptop","P002","Server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90" s="1" cm="1">
        <f t="array" ref="K490">_xlfn.SWITCH(Table1[[#This Row],[Product ID]],"P001",220,"P002",150,"P003",130,"P004",70,"P005",200,"P006",40,"P007",25,"P008",20,"P009",190,"P010",530)</f>
        <v>150</v>
      </c>
      <c r="L490">
        <v>1</v>
      </c>
      <c r="M490" s="1">
        <f>Table1[[#This Row],[Unit Price]]*Table1[[#This Row],[Quantity]]</f>
        <v>150</v>
      </c>
      <c r="N490" s="2">
        <v>0.1</v>
      </c>
      <c r="O490" s="1">
        <f>Table1[[#This Row],[Gross Value]]*(1-Table1[[#This Row],[Discount]])</f>
        <v>135</v>
      </c>
      <c r="P490" s="2">
        <v>0.2</v>
      </c>
      <c r="Q490" s="1">
        <f>Table1[[#This Row],[Revenue]]*Table1[[#This Row],[VAT Rate]]</f>
        <v>27</v>
      </c>
      <c r="R490" s="1">
        <f>Table1[[#This Row],[Revenue]]+Table1[[#This Row],[VAT Charged]]</f>
        <v>162</v>
      </c>
      <c r="S490" s="1" cm="1">
        <f t="array" ref="S490">_xlfn.SWITCH(Table1[[#This Row],[Product ID]],"P001",140,"P002",80,"P003",72,"P004",30,"P005",110,"P006",24,"P007",14,"P008",12,"P009",115,"P010",360)</f>
        <v>80</v>
      </c>
      <c r="T490" s="1" cm="1">
        <f t="array" ref="T490">(_xlfn.SWITCH(Table1[[#This Row],[Product ID]],"P001",140,"P002",80,"P003",72,"P004",30,"P005",110,"P006",24,"P007",14,"P008",12,"P009",115,"P010",360))*Table1[[#This Row],[Quantity]]</f>
        <v>80</v>
      </c>
      <c r="U490" s="1" cm="1">
        <f t="array" ref="U490">_xlfn.SWITCH(Table1[[#This Row],[Product ID]],"P001",15,"P002",0,"P003",8,"P004",8,"P005",0,"P006",7,"P007",7,"P008",6,"P009",45,"P010",60)</f>
        <v>0</v>
      </c>
      <c r="V490" s="1">
        <f>Table1[[#This Row],[Shipping per Unit]]*Table1[[#This Row],[Quantity]]</f>
        <v>0</v>
      </c>
      <c r="W490" s="2">
        <f>IF(Table1[[#This Row],[Total Shipping]]&gt;0.1,0.2,0)</f>
        <v>0</v>
      </c>
      <c r="X490" s="4">
        <f>Table1[[#This Row],[Total Shipping]]*Table1[[#This Row],[VAT on Shipping]]</f>
        <v>0</v>
      </c>
      <c r="Y490" s="1">
        <f>Table1[[#This Row],[Revenue]]-Table1[[#This Row],[COGS]]</f>
        <v>55</v>
      </c>
      <c r="Z490" s="3">
        <f>(Table1[[#This Row],[Profit]]/Table1[[#This Row],[Revenue]])</f>
        <v>0.40740740740740738</v>
      </c>
      <c r="AA490" s="1">
        <f>Table1[[#This Row],[Profit]]-Table1[[#This Row],[Total Shipping]]</f>
        <v>55</v>
      </c>
      <c r="AB490" s="3">
        <f>Table1[[#This Row],[Operating Profit]]/Table1[[#This Row],[Revenue]]</f>
        <v>0.40740740740740738</v>
      </c>
    </row>
    <row r="491" spans="1:28" x14ac:dyDescent="0.25">
      <c r="A491" t="s">
        <v>253</v>
      </c>
      <c r="B491">
        <v>265</v>
      </c>
      <c r="C491" t="s">
        <v>56</v>
      </c>
      <c r="D491" t="s">
        <v>67</v>
      </c>
      <c r="E491" t="s">
        <v>31</v>
      </c>
      <c r="F491" t="s">
        <v>54</v>
      </c>
      <c r="G491" t="str" cm="1">
        <f t="array" ref="G491">_xlfn.SWITCH(F491,"Acme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491" t="s">
        <v>33</v>
      </c>
      <c r="I491" t="s">
        <v>68</v>
      </c>
      <c r="J491" t="str" cm="1">
        <f t="array" ref="J491">_xlfn.SWITCH(I491,"P001","Laptop","P002","Server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491" s="1" cm="1">
        <f t="array" ref="K491">_xlfn.SWITCH(Table1[[#This Row],[Product ID]],"P001",220,"P002",150,"P003",130,"P004",70,"P005",200,"P006",40,"P007",25,"P008",20,"P009",190,"P010",530)</f>
        <v>220</v>
      </c>
      <c r="L491">
        <v>14</v>
      </c>
      <c r="M491" s="1">
        <f>Table1[[#This Row],[Unit Price]]*Table1[[#This Row],[Quantity]]</f>
        <v>3080</v>
      </c>
      <c r="N491" s="2">
        <v>7.0000000000000007E-2</v>
      </c>
      <c r="O491" s="1">
        <f>Table1[[#This Row],[Gross Value]]*(1-Table1[[#This Row],[Discount]])</f>
        <v>2864.3999999999996</v>
      </c>
      <c r="P491" s="2">
        <v>0.2</v>
      </c>
      <c r="Q491" s="1">
        <f>Table1[[#This Row],[Revenue]]*Table1[[#This Row],[VAT Rate]]</f>
        <v>572.88</v>
      </c>
      <c r="R491" s="1">
        <f>Table1[[#This Row],[Revenue]]+Table1[[#This Row],[VAT Charged]]</f>
        <v>3437.2799999999997</v>
      </c>
      <c r="S491" s="1" cm="1">
        <f t="array" ref="S491">_xlfn.SWITCH(Table1[[#This Row],[Product ID]],"P001",140,"P002",80,"P003",72,"P004",30,"P005",110,"P006",24,"P007",14,"P008",12,"P009",115,"P010",360)</f>
        <v>140</v>
      </c>
      <c r="T491" s="1" cm="1">
        <f t="array" ref="T491">(_xlfn.SWITCH(Table1[[#This Row],[Product ID]],"P001",140,"P002",80,"P003",72,"P004",30,"P005",110,"P006",24,"P007",14,"P008",12,"P009",115,"P010",360))*Table1[[#This Row],[Quantity]]</f>
        <v>1960</v>
      </c>
      <c r="U491" s="1" cm="1">
        <f t="array" ref="U491">_xlfn.SWITCH(Table1[[#This Row],[Product ID]],"P001",15,"P002",0,"P003",8,"P004",8,"P005",0,"P006",7,"P007",7,"P008",6,"P009",45,"P010",60)</f>
        <v>15</v>
      </c>
      <c r="V491" s="1">
        <f>Table1[[#This Row],[Shipping per Unit]]*Table1[[#This Row],[Quantity]]</f>
        <v>210</v>
      </c>
      <c r="W491" s="2">
        <f>IF(Table1[[#This Row],[Total Shipping]]&gt;0.1,0.2,0)</f>
        <v>0.2</v>
      </c>
      <c r="X491" s="4">
        <f>Table1[[#This Row],[Total Shipping]]*Table1[[#This Row],[VAT on Shipping]]</f>
        <v>42</v>
      </c>
      <c r="Y491" s="1">
        <f>Table1[[#This Row],[Revenue]]-Table1[[#This Row],[COGS]]</f>
        <v>904.39999999999964</v>
      </c>
      <c r="Z491" s="3">
        <f>(Table1[[#This Row],[Profit]]/Table1[[#This Row],[Revenue]])</f>
        <v>0.31573802541544466</v>
      </c>
      <c r="AA491" s="1">
        <f>Table1[[#This Row],[Profit]]-Table1[[#This Row],[Total Shipping]]</f>
        <v>694.39999999999964</v>
      </c>
      <c r="AB491" s="3">
        <f>Table1[[#This Row],[Operating Profit]]/Table1[[#This Row],[Revenue]]</f>
        <v>0.24242424242424232</v>
      </c>
    </row>
    <row r="492" spans="1:28" x14ac:dyDescent="0.25">
      <c r="A492" t="s">
        <v>253</v>
      </c>
      <c r="B492">
        <v>466</v>
      </c>
      <c r="C492" t="s">
        <v>62</v>
      </c>
      <c r="D492" t="s">
        <v>95</v>
      </c>
      <c r="E492" t="s">
        <v>31</v>
      </c>
      <c r="F492" t="s">
        <v>126</v>
      </c>
      <c r="G492" t="str" cm="1">
        <f t="array" ref="G492">_xlfn.SWITCH(F492,"Acme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492" t="s">
        <v>33</v>
      </c>
      <c r="I492" t="s">
        <v>42</v>
      </c>
      <c r="J492" t="str" cm="1">
        <f t="array" ref="J492">_xlfn.SWITCH(I492,"P001","Laptop","P002","Server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92" s="1" cm="1">
        <f t="array" ref="K492">_xlfn.SWITCH(Table1[[#This Row],[Product ID]],"P001",220,"P002",150,"P003",130,"P004",70,"P005",200,"P006",40,"P007",25,"P008",20,"P009",190,"P010",530)</f>
        <v>40</v>
      </c>
      <c r="L492">
        <v>5</v>
      </c>
      <c r="M492" s="1">
        <f>Table1[[#This Row],[Unit Price]]*Table1[[#This Row],[Quantity]]</f>
        <v>200</v>
      </c>
      <c r="N492" s="2">
        <v>0.02</v>
      </c>
      <c r="O492" s="1">
        <f>Table1[[#This Row],[Gross Value]]*(1-Table1[[#This Row],[Discount]])</f>
        <v>196</v>
      </c>
      <c r="P492" s="2">
        <v>0.2</v>
      </c>
      <c r="Q492" s="1">
        <f>Table1[[#This Row],[Revenue]]*Table1[[#This Row],[VAT Rate]]</f>
        <v>39.200000000000003</v>
      </c>
      <c r="R492" s="1">
        <f>Table1[[#This Row],[Revenue]]+Table1[[#This Row],[VAT Charged]]</f>
        <v>235.2</v>
      </c>
      <c r="S492" s="1" cm="1">
        <f t="array" ref="S492">_xlfn.SWITCH(Table1[[#This Row],[Product ID]],"P001",140,"P002",80,"P003",72,"P004",30,"P005",110,"P006",24,"P007",14,"P008",12,"P009",115,"P010",360)</f>
        <v>24</v>
      </c>
      <c r="T492" s="1" cm="1">
        <f t="array" ref="T492">(_xlfn.SWITCH(Table1[[#This Row],[Product ID]],"P001",140,"P002",80,"P003",72,"P004",30,"P005",110,"P006",24,"P007",14,"P008",12,"P009",115,"P010",360))*Table1[[#This Row],[Quantity]]</f>
        <v>120</v>
      </c>
      <c r="U492" s="1" cm="1">
        <f t="array" ref="U492">_xlfn.SWITCH(Table1[[#This Row],[Product ID]],"P001",15,"P002",0,"P003",8,"P004",8,"P005",0,"P006",7,"P007",7,"P008",6,"P009",45,"P010",60)</f>
        <v>7</v>
      </c>
      <c r="V492" s="1">
        <f>Table1[[#This Row],[Shipping per Unit]]*Table1[[#This Row],[Quantity]]</f>
        <v>35</v>
      </c>
      <c r="W492" s="2">
        <f>IF(Table1[[#This Row],[Total Shipping]]&gt;0.1,0.2,0)</f>
        <v>0.2</v>
      </c>
      <c r="X492" s="4">
        <f>Table1[[#This Row],[Total Shipping]]*Table1[[#This Row],[VAT on Shipping]]</f>
        <v>7</v>
      </c>
      <c r="Y492" s="1">
        <f>Table1[[#This Row],[Revenue]]-Table1[[#This Row],[COGS]]</f>
        <v>76</v>
      </c>
      <c r="Z492" s="3">
        <f>(Table1[[#This Row],[Profit]]/Table1[[#This Row],[Revenue]])</f>
        <v>0.38775510204081631</v>
      </c>
      <c r="AA492" s="1">
        <f>Table1[[#This Row],[Profit]]-Table1[[#This Row],[Total Shipping]]</f>
        <v>41</v>
      </c>
      <c r="AB492" s="3">
        <f>Table1[[#This Row],[Operating Profit]]/Table1[[#This Row],[Revenue]]</f>
        <v>0.20918367346938777</v>
      </c>
    </row>
    <row r="493" spans="1:28" x14ac:dyDescent="0.25">
      <c r="A493" t="s">
        <v>253</v>
      </c>
      <c r="B493">
        <v>705</v>
      </c>
      <c r="C493" t="s">
        <v>56</v>
      </c>
      <c r="D493" t="s">
        <v>72</v>
      </c>
      <c r="E493" t="s">
        <v>49</v>
      </c>
      <c r="F493" t="s">
        <v>66</v>
      </c>
      <c r="G493" t="str" cm="1">
        <f t="array" ref="G493">_xlfn.SWITCH(F493,"Acme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493" t="s">
        <v>45</v>
      </c>
      <c r="I493" t="s">
        <v>55</v>
      </c>
      <c r="J493" t="str" cm="1">
        <f t="array" ref="J493">_xlfn.SWITCH(I493,"P001","Laptop","P002","Server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493" s="1" cm="1">
        <f t="array" ref="K493">_xlfn.SWITCH(Table1[[#This Row],[Product ID]],"P001",220,"P002",150,"P003",130,"P004",70,"P005",200,"P006",40,"P007",25,"P008",20,"P009",190,"P010",530)</f>
        <v>70</v>
      </c>
      <c r="L493">
        <v>5</v>
      </c>
      <c r="M493" s="1">
        <f>Table1[[#This Row],[Unit Price]]*Table1[[#This Row],[Quantity]]</f>
        <v>350</v>
      </c>
      <c r="N493" s="2">
        <v>0.09</v>
      </c>
      <c r="O493" s="1">
        <f>Table1[[#This Row],[Gross Value]]*(1-Table1[[#This Row],[Discount]])</f>
        <v>318.5</v>
      </c>
      <c r="P493" s="2">
        <v>0.2</v>
      </c>
      <c r="Q493" s="1">
        <f>Table1[[#This Row],[Revenue]]*Table1[[#This Row],[VAT Rate]]</f>
        <v>63.7</v>
      </c>
      <c r="R493" s="1">
        <f>Table1[[#This Row],[Revenue]]+Table1[[#This Row],[VAT Charged]]</f>
        <v>382.2</v>
      </c>
      <c r="S493" s="1" cm="1">
        <f t="array" ref="S493">_xlfn.SWITCH(Table1[[#This Row],[Product ID]],"P001",140,"P002",80,"P003",72,"P004",30,"P005",110,"P006",24,"P007",14,"P008",12,"P009",115,"P010",360)</f>
        <v>30</v>
      </c>
      <c r="T493" s="1" cm="1">
        <f t="array" ref="T493">(_xlfn.SWITCH(Table1[[#This Row],[Product ID]],"P001",140,"P002",80,"P003",72,"P004",30,"P005",110,"P006",24,"P007",14,"P008",12,"P009",115,"P010",360))*Table1[[#This Row],[Quantity]]</f>
        <v>150</v>
      </c>
      <c r="U493" s="1" cm="1">
        <f t="array" ref="U493">_xlfn.SWITCH(Table1[[#This Row],[Product ID]],"P001",15,"P002",0,"P003",8,"P004",8,"P005",0,"P006",7,"P007",7,"P008",6,"P009",45,"P010",60)</f>
        <v>8</v>
      </c>
      <c r="V493" s="1">
        <f>Table1[[#This Row],[Shipping per Unit]]*Table1[[#This Row],[Quantity]]</f>
        <v>40</v>
      </c>
      <c r="W493" s="2">
        <f>IF(Table1[[#This Row],[Total Shipping]]&gt;0.1,0.2,0)</f>
        <v>0.2</v>
      </c>
      <c r="X493" s="4">
        <f>Table1[[#This Row],[Total Shipping]]*Table1[[#This Row],[VAT on Shipping]]</f>
        <v>8</v>
      </c>
      <c r="Y493" s="1">
        <f>Table1[[#This Row],[Revenue]]-Table1[[#This Row],[COGS]]</f>
        <v>168.5</v>
      </c>
      <c r="Z493" s="3">
        <f>(Table1[[#This Row],[Profit]]/Table1[[#This Row],[Revenue]])</f>
        <v>0.52904238618524335</v>
      </c>
      <c r="AA493" s="1">
        <f>Table1[[#This Row],[Profit]]-Table1[[#This Row],[Total Shipping]]</f>
        <v>128.5</v>
      </c>
      <c r="AB493" s="3">
        <f>Table1[[#This Row],[Operating Profit]]/Table1[[#This Row],[Revenue]]</f>
        <v>0.40345368916797486</v>
      </c>
    </row>
    <row r="494" spans="1:28" x14ac:dyDescent="0.25">
      <c r="A494" t="s">
        <v>254</v>
      </c>
      <c r="B494">
        <v>5</v>
      </c>
      <c r="C494" t="s">
        <v>29</v>
      </c>
      <c r="D494" t="s">
        <v>48</v>
      </c>
      <c r="E494" t="s">
        <v>31</v>
      </c>
      <c r="F494" t="s">
        <v>113</v>
      </c>
      <c r="G494" t="str" cm="1">
        <f t="array" ref="G494">_xlfn.SWITCH(F494,"Acme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494" t="s">
        <v>33</v>
      </c>
      <c r="I494" t="s">
        <v>70</v>
      </c>
      <c r="J494" t="str" cm="1">
        <f t="array" ref="J494">_xlfn.SWITCH(I494,"P001","Laptop","P002","Server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494" s="1" cm="1">
        <f t="array" ref="K494">_xlfn.SWITCH(Table1[[#This Row],[Product ID]],"P001",220,"P002",150,"P003",130,"P004",70,"P005",200,"P006",40,"P007",25,"P008",20,"P009",190,"P010",530)</f>
        <v>150</v>
      </c>
      <c r="L494">
        <v>1</v>
      </c>
      <c r="M494" s="1">
        <f>Table1[[#This Row],[Unit Price]]*Table1[[#This Row],[Quantity]]</f>
        <v>150</v>
      </c>
      <c r="N494" s="2">
        <v>0.12</v>
      </c>
      <c r="O494" s="1">
        <f>Table1[[#This Row],[Gross Value]]*(1-Table1[[#This Row],[Discount]])</f>
        <v>132</v>
      </c>
      <c r="P494" s="2">
        <v>0.2</v>
      </c>
      <c r="Q494" s="1">
        <f>Table1[[#This Row],[Revenue]]*Table1[[#This Row],[VAT Rate]]</f>
        <v>26.400000000000002</v>
      </c>
      <c r="R494" s="1">
        <f>Table1[[#This Row],[Revenue]]+Table1[[#This Row],[VAT Charged]]</f>
        <v>158.4</v>
      </c>
      <c r="S494" s="1" cm="1">
        <f t="array" ref="S494">_xlfn.SWITCH(Table1[[#This Row],[Product ID]],"P001",140,"P002",80,"P003",72,"P004",30,"P005",110,"P006",24,"P007",14,"P008",12,"P009",115,"P010",360)</f>
        <v>80</v>
      </c>
      <c r="T494" s="1" cm="1">
        <f t="array" ref="T494">(_xlfn.SWITCH(Table1[[#This Row],[Product ID]],"P001",140,"P002",80,"P003",72,"P004",30,"P005",110,"P006",24,"P007",14,"P008",12,"P009",115,"P010",360))*Table1[[#This Row],[Quantity]]</f>
        <v>80</v>
      </c>
      <c r="U494" s="1" cm="1">
        <f t="array" ref="U494">_xlfn.SWITCH(Table1[[#This Row],[Product ID]],"P001",15,"P002",0,"P003",8,"P004",8,"P005",0,"P006",7,"P007",7,"P008",6,"P009",45,"P010",60)</f>
        <v>0</v>
      </c>
      <c r="V494" s="1">
        <f>Table1[[#This Row],[Shipping per Unit]]*Table1[[#This Row],[Quantity]]</f>
        <v>0</v>
      </c>
      <c r="W494" s="2">
        <f>IF(Table1[[#This Row],[Total Shipping]]&gt;0.1,0.2,0)</f>
        <v>0</v>
      </c>
      <c r="X494" s="4">
        <f>Table1[[#This Row],[Total Shipping]]*Table1[[#This Row],[VAT on Shipping]]</f>
        <v>0</v>
      </c>
      <c r="Y494" s="1">
        <f>Table1[[#This Row],[Revenue]]-Table1[[#This Row],[COGS]]</f>
        <v>52</v>
      </c>
      <c r="Z494" s="3">
        <f>(Table1[[#This Row],[Profit]]/Table1[[#This Row],[Revenue]])</f>
        <v>0.39393939393939392</v>
      </c>
      <c r="AA494" s="1">
        <f>Table1[[#This Row],[Profit]]-Table1[[#This Row],[Total Shipping]]</f>
        <v>52</v>
      </c>
      <c r="AB494" s="3">
        <f>Table1[[#This Row],[Operating Profit]]/Table1[[#This Row],[Revenue]]</f>
        <v>0.39393939393939392</v>
      </c>
    </row>
    <row r="495" spans="1:28" x14ac:dyDescent="0.25">
      <c r="A495" t="s">
        <v>254</v>
      </c>
      <c r="B495">
        <v>731</v>
      </c>
      <c r="C495" t="s">
        <v>71</v>
      </c>
      <c r="D495" t="s">
        <v>53</v>
      </c>
      <c r="E495" t="s">
        <v>40</v>
      </c>
      <c r="F495" t="s">
        <v>64</v>
      </c>
      <c r="G495" t="str" cm="1">
        <f t="array" ref="G495">_xlfn.SWITCH(F495,"Acme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495" t="s">
        <v>33</v>
      </c>
      <c r="I495" t="s">
        <v>75</v>
      </c>
      <c r="J495" t="str" cm="1">
        <f t="array" ref="J495">_xlfn.SWITCH(I495,"P001","Laptop","P002","Server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495" s="1" cm="1">
        <f t="array" ref="K495">_xlfn.SWITCH(Table1[[#This Row],[Product ID]],"P001",220,"P002",150,"P003",130,"P004",70,"P005",200,"P006",40,"P007",25,"P008",20,"P009",190,"P010",530)</f>
        <v>200</v>
      </c>
      <c r="L495">
        <v>7</v>
      </c>
      <c r="M495" s="1">
        <f>Table1[[#This Row],[Unit Price]]*Table1[[#This Row],[Quantity]]</f>
        <v>1400</v>
      </c>
      <c r="N495" s="2">
        <v>0.08</v>
      </c>
      <c r="O495" s="1">
        <f>Table1[[#This Row],[Gross Value]]*(1-Table1[[#This Row],[Discount]])</f>
        <v>1288</v>
      </c>
      <c r="P495" s="2">
        <v>0.2</v>
      </c>
      <c r="Q495" s="1">
        <f>Table1[[#This Row],[Revenue]]*Table1[[#This Row],[VAT Rate]]</f>
        <v>257.60000000000002</v>
      </c>
      <c r="R495" s="1">
        <f>Table1[[#This Row],[Revenue]]+Table1[[#This Row],[VAT Charged]]</f>
        <v>1545.6</v>
      </c>
      <c r="S495" s="1" cm="1">
        <f t="array" ref="S495">_xlfn.SWITCH(Table1[[#This Row],[Product ID]],"P001",140,"P002",80,"P003",72,"P004",30,"P005",110,"P006",24,"P007",14,"P008",12,"P009",115,"P010",360)</f>
        <v>110</v>
      </c>
      <c r="T495" s="1" cm="1">
        <f t="array" ref="T495">(_xlfn.SWITCH(Table1[[#This Row],[Product ID]],"P001",140,"P002",80,"P003",72,"P004",30,"P005",110,"P006",24,"P007",14,"P008",12,"P009",115,"P010",360))*Table1[[#This Row],[Quantity]]</f>
        <v>770</v>
      </c>
      <c r="U495" s="1" cm="1">
        <f t="array" ref="U495">_xlfn.SWITCH(Table1[[#This Row],[Product ID]],"P001",15,"P002",0,"P003",8,"P004",8,"P005",0,"P006",7,"P007",7,"P008",6,"P009",45,"P010",60)</f>
        <v>0</v>
      </c>
      <c r="V495" s="1">
        <f>Table1[[#This Row],[Shipping per Unit]]*Table1[[#This Row],[Quantity]]</f>
        <v>0</v>
      </c>
      <c r="W495" s="2">
        <f>IF(Table1[[#This Row],[Total Shipping]]&gt;0.1,0.2,0)</f>
        <v>0</v>
      </c>
      <c r="X495" s="4">
        <f>Table1[[#This Row],[Total Shipping]]*Table1[[#This Row],[VAT on Shipping]]</f>
        <v>0</v>
      </c>
      <c r="Y495" s="1">
        <f>Table1[[#This Row],[Revenue]]-Table1[[#This Row],[COGS]]</f>
        <v>518</v>
      </c>
      <c r="Z495" s="3">
        <f>(Table1[[#This Row],[Profit]]/Table1[[#This Row],[Revenue]])</f>
        <v>0.40217391304347827</v>
      </c>
      <c r="AA495" s="1">
        <f>Table1[[#This Row],[Profit]]-Table1[[#This Row],[Total Shipping]]</f>
        <v>518</v>
      </c>
      <c r="AB495" s="3">
        <f>Table1[[#This Row],[Operating Profit]]/Table1[[#This Row],[Revenue]]</f>
        <v>0.40217391304347827</v>
      </c>
    </row>
    <row r="496" spans="1:28" x14ac:dyDescent="0.25">
      <c r="A496" t="s">
        <v>255</v>
      </c>
      <c r="B496">
        <v>11</v>
      </c>
      <c r="C496" t="s">
        <v>35</v>
      </c>
      <c r="D496" t="s">
        <v>36</v>
      </c>
      <c r="E496" t="s">
        <v>31</v>
      </c>
      <c r="F496" t="s">
        <v>119</v>
      </c>
      <c r="G496" t="str" cm="1">
        <f t="array" ref="G496">_xlfn.SWITCH(F496,"Acme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496" t="s">
        <v>58</v>
      </c>
      <c r="I496" t="s">
        <v>46</v>
      </c>
      <c r="J496" t="str" cm="1">
        <f t="array" ref="J496">_xlfn.SWITCH(I496,"P001","Laptop","P002","Server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496" s="1" cm="1">
        <f t="array" ref="K496">_xlfn.SWITCH(Table1[[#This Row],[Product ID]],"P001",220,"P002",150,"P003",130,"P004",70,"P005",200,"P006",40,"P007",25,"P008",20,"P009",190,"P010",530)</f>
        <v>530</v>
      </c>
      <c r="L496">
        <v>14</v>
      </c>
      <c r="M496" s="1">
        <f>Table1[[#This Row],[Unit Price]]*Table1[[#This Row],[Quantity]]</f>
        <v>7420</v>
      </c>
      <c r="N496" s="2">
        <v>0.02</v>
      </c>
      <c r="O496" s="1">
        <f>Table1[[#This Row],[Gross Value]]*(1-Table1[[#This Row],[Discount]])</f>
        <v>7271.5999999999995</v>
      </c>
      <c r="P496" s="2">
        <v>0.2</v>
      </c>
      <c r="Q496" s="1">
        <f>Table1[[#This Row],[Revenue]]*Table1[[#This Row],[VAT Rate]]</f>
        <v>1454.32</v>
      </c>
      <c r="R496" s="1">
        <f>Table1[[#This Row],[Revenue]]+Table1[[#This Row],[VAT Charged]]</f>
        <v>8725.92</v>
      </c>
      <c r="S496" s="1" cm="1">
        <f t="array" ref="S496">_xlfn.SWITCH(Table1[[#This Row],[Product ID]],"P001",140,"P002",80,"P003",72,"P004",30,"P005",110,"P006",24,"P007",14,"P008",12,"P009",115,"P010",360)</f>
        <v>360</v>
      </c>
      <c r="T496" s="1" cm="1">
        <f t="array" ref="T496">(_xlfn.SWITCH(Table1[[#This Row],[Product ID]],"P001",140,"P002",80,"P003",72,"P004",30,"P005",110,"P006",24,"P007",14,"P008",12,"P009",115,"P010",360))*Table1[[#This Row],[Quantity]]</f>
        <v>5040</v>
      </c>
      <c r="U496" s="1" cm="1">
        <f t="array" ref="U496">_xlfn.SWITCH(Table1[[#This Row],[Product ID]],"P001",15,"P002",0,"P003",8,"P004",8,"P005",0,"P006",7,"P007",7,"P008",6,"P009",45,"P010",60)</f>
        <v>60</v>
      </c>
      <c r="V496" s="1">
        <f>Table1[[#This Row],[Shipping per Unit]]*Table1[[#This Row],[Quantity]]</f>
        <v>840</v>
      </c>
      <c r="W496" s="2">
        <f>IF(Table1[[#This Row],[Total Shipping]]&gt;0.1,0.2,0)</f>
        <v>0.2</v>
      </c>
      <c r="X496" s="4">
        <f>Table1[[#This Row],[Total Shipping]]*Table1[[#This Row],[VAT on Shipping]]</f>
        <v>168</v>
      </c>
      <c r="Y496" s="1">
        <f>Table1[[#This Row],[Revenue]]-Table1[[#This Row],[COGS]]</f>
        <v>2231.5999999999995</v>
      </c>
      <c r="Z496" s="3">
        <f>(Table1[[#This Row],[Profit]]/Table1[[#This Row],[Revenue]])</f>
        <v>0.30689256834809392</v>
      </c>
      <c r="AA496" s="1">
        <f>Table1[[#This Row],[Profit]]-Table1[[#This Row],[Total Shipping]]</f>
        <v>1391.5999999999995</v>
      </c>
      <c r="AB496" s="3">
        <f>Table1[[#This Row],[Operating Profit]]/Table1[[#This Row],[Revenue]]</f>
        <v>0.19137466307277623</v>
      </c>
    </row>
    <row r="497" spans="1:28" x14ac:dyDescent="0.25">
      <c r="A497" t="s">
        <v>255</v>
      </c>
      <c r="B497">
        <v>339</v>
      </c>
      <c r="C497" t="s">
        <v>83</v>
      </c>
      <c r="D497" t="s">
        <v>39</v>
      </c>
      <c r="E497" t="s">
        <v>40</v>
      </c>
      <c r="F497" t="s">
        <v>50</v>
      </c>
      <c r="G497" t="str" cm="1">
        <f t="array" ref="G497">_xlfn.SWITCH(F497,"Acme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497" t="s">
        <v>69</v>
      </c>
      <c r="I497" t="s">
        <v>42</v>
      </c>
      <c r="J497" t="str" cm="1">
        <f t="array" ref="J497">_xlfn.SWITCH(I497,"P001","Laptop","P002","Server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497" s="1" cm="1">
        <f t="array" ref="K497">_xlfn.SWITCH(Table1[[#This Row],[Product ID]],"P001",220,"P002",150,"P003",130,"P004",70,"P005",200,"P006",40,"P007",25,"P008",20,"P009",190,"P010",530)</f>
        <v>40</v>
      </c>
      <c r="L497">
        <v>18</v>
      </c>
      <c r="M497" s="1">
        <f>Table1[[#This Row],[Unit Price]]*Table1[[#This Row],[Quantity]]</f>
        <v>720</v>
      </c>
      <c r="N497" s="2">
        <v>0.06</v>
      </c>
      <c r="O497" s="1">
        <f>Table1[[#This Row],[Gross Value]]*(1-Table1[[#This Row],[Discount]])</f>
        <v>676.8</v>
      </c>
      <c r="P497" s="2">
        <v>0.2</v>
      </c>
      <c r="Q497" s="1">
        <f>Table1[[#This Row],[Revenue]]*Table1[[#This Row],[VAT Rate]]</f>
        <v>135.35999999999999</v>
      </c>
      <c r="R497" s="1">
        <f>Table1[[#This Row],[Revenue]]+Table1[[#This Row],[VAT Charged]]</f>
        <v>812.16</v>
      </c>
      <c r="S497" s="1" cm="1">
        <f t="array" ref="S497">_xlfn.SWITCH(Table1[[#This Row],[Product ID]],"P001",140,"P002",80,"P003",72,"P004",30,"P005",110,"P006",24,"P007",14,"P008",12,"P009",115,"P010",360)</f>
        <v>24</v>
      </c>
      <c r="T497" s="1" cm="1">
        <f t="array" ref="T497">(_xlfn.SWITCH(Table1[[#This Row],[Product ID]],"P001",140,"P002",80,"P003",72,"P004",30,"P005",110,"P006",24,"P007",14,"P008",12,"P009",115,"P010",360))*Table1[[#This Row],[Quantity]]</f>
        <v>432</v>
      </c>
      <c r="U497" s="1" cm="1">
        <f t="array" ref="U497">_xlfn.SWITCH(Table1[[#This Row],[Product ID]],"P001",15,"P002",0,"P003",8,"P004",8,"P005",0,"P006",7,"P007",7,"P008",6,"P009",45,"P010",60)</f>
        <v>7</v>
      </c>
      <c r="V497" s="1">
        <f>Table1[[#This Row],[Shipping per Unit]]*Table1[[#This Row],[Quantity]]</f>
        <v>126</v>
      </c>
      <c r="W497" s="2">
        <f>IF(Table1[[#This Row],[Total Shipping]]&gt;0.1,0.2,0)</f>
        <v>0.2</v>
      </c>
      <c r="X497" s="4">
        <f>Table1[[#This Row],[Total Shipping]]*Table1[[#This Row],[VAT on Shipping]]</f>
        <v>25.200000000000003</v>
      </c>
      <c r="Y497" s="1">
        <f>Table1[[#This Row],[Revenue]]-Table1[[#This Row],[COGS]]</f>
        <v>244.79999999999995</v>
      </c>
      <c r="Z497" s="3">
        <f>(Table1[[#This Row],[Profit]]/Table1[[#This Row],[Revenue]])</f>
        <v>0.36170212765957444</v>
      </c>
      <c r="AA497" s="1">
        <f>Table1[[#This Row],[Profit]]-Table1[[#This Row],[Total Shipping]]</f>
        <v>118.79999999999995</v>
      </c>
      <c r="AB497" s="3">
        <f>Table1[[#This Row],[Operating Profit]]/Table1[[#This Row],[Revenue]]</f>
        <v>0.17553191489361697</v>
      </c>
    </row>
    <row r="498" spans="1:28" x14ac:dyDescent="0.25">
      <c r="A498" t="s">
        <v>256</v>
      </c>
      <c r="B498">
        <v>474</v>
      </c>
      <c r="C498" t="s">
        <v>62</v>
      </c>
      <c r="D498" t="s">
        <v>39</v>
      </c>
      <c r="E498" t="s">
        <v>40</v>
      </c>
      <c r="F498" t="s">
        <v>119</v>
      </c>
      <c r="G498" t="str" cm="1">
        <f t="array" ref="G498">_xlfn.SWITCH(F498,"Acme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498" t="s">
        <v>104</v>
      </c>
      <c r="I498" t="s">
        <v>34</v>
      </c>
      <c r="J498" t="str" cm="1">
        <f t="array" ref="J498">_xlfn.SWITCH(I498,"P001","Laptop","P002","Server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498" s="1" cm="1">
        <f t="array" ref="K498">_xlfn.SWITCH(Table1[[#This Row],[Product ID]],"P001",220,"P002",150,"P003",130,"P004",70,"P005",200,"P006",40,"P007",25,"P008",20,"P009",190,"P010",530)</f>
        <v>20</v>
      </c>
      <c r="L498">
        <v>9</v>
      </c>
      <c r="M498" s="1">
        <f>Table1[[#This Row],[Unit Price]]*Table1[[#This Row],[Quantity]]</f>
        <v>180</v>
      </c>
      <c r="N498" s="2">
        <v>0.03</v>
      </c>
      <c r="O498" s="1">
        <f>Table1[[#This Row],[Gross Value]]*(1-Table1[[#This Row],[Discount]])</f>
        <v>174.6</v>
      </c>
      <c r="P498" s="2">
        <v>0.2</v>
      </c>
      <c r="Q498" s="1">
        <f>Table1[[#This Row],[Revenue]]*Table1[[#This Row],[VAT Rate]]</f>
        <v>34.92</v>
      </c>
      <c r="R498" s="1">
        <f>Table1[[#This Row],[Revenue]]+Table1[[#This Row],[VAT Charged]]</f>
        <v>209.51999999999998</v>
      </c>
      <c r="S498" s="1" cm="1">
        <f t="array" ref="S498">_xlfn.SWITCH(Table1[[#This Row],[Product ID]],"P001",140,"P002",80,"P003",72,"P004",30,"P005",110,"P006",24,"P007",14,"P008",12,"P009",115,"P010",360)</f>
        <v>12</v>
      </c>
      <c r="T498" s="1" cm="1">
        <f t="array" ref="T498">(_xlfn.SWITCH(Table1[[#This Row],[Product ID]],"P001",140,"P002",80,"P003",72,"P004",30,"P005",110,"P006",24,"P007",14,"P008",12,"P009",115,"P010",360))*Table1[[#This Row],[Quantity]]</f>
        <v>108</v>
      </c>
      <c r="U498" s="1" cm="1">
        <f t="array" ref="U498">_xlfn.SWITCH(Table1[[#This Row],[Product ID]],"P001",15,"P002",0,"P003",8,"P004",8,"P005",0,"P006",7,"P007",7,"P008",6,"P009",45,"P010",60)</f>
        <v>6</v>
      </c>
      <c r="V498" s="1">
        <f>Table1[[#This Row],[Shipping per Unit]]*Table1[[#This Row],[Quantity]]</f>
        <v>54</v>
      </c>
      <c r="W498" s="2">
        <f>IF(Table1[[#This Row],[Total Shipping]]&gt;0.1,0.2,0)</f>
        <v>0.2</v>
      </c>
      <c r="X498" s="4">
        <f>Table1[[#This Row],[Total Shipping]]*Table1[[#This Row],[VAT on Shipping]]</f>
        <v>10.8</v>
      </c>
      <c r="Y498" s="1">
        <f>Table1[[#This Row],[Revenue]]-Table1[[#This Row],[COGS]]</f>
        <v>66.599999999999994</v>
      </c>
      <c r="Z498" s="3">
        <f>(Table1[[#This Row],[Profit]]/Table1[[#This Row],[Revenue]])</f>
        <v>0.38144329896907214</v>
      </c>
      <c r="AA498" s="1">
        <f>Table1[[#This Row],[Profit]]-Table1[[#This Row],[Total Shipping]]</f>
        <v>12.599999999999994</v>
      </c>
      <c r="AB498" s="3">
        <f>Table1[[#This Row],[Operating Profit]]/Table1[[#This Row],[Revenue]]</f>
        <v>7.2164948453608213E-2</v>
      </c>
    </row>
    <row r="499" spans="1:28" x14ac:dyDescent="0.25">
      <c r="A499" t="s">
        <v>256</v>
      </c>
      <c r="B499">
        <v>617</v>
      </c>
      <c r="C499" t="s">
        <v>71</v>
      </c>
      <c r="D499" t="s">
        <v>72</v>
      </c>
      <c r="E499" t="s">
        <v>31</v>
      </c>
      <c r="F499" t="s">
        <v>103</v>
      </c>
      <c r="G499" t="str" cm="1">
        <f t="array" ref="G499">_xlfn.SWITCH(F499,"Acme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499" t="s">
        <v>33</v>
      </c>
      <c r="I499" t="s">
        <v>60</v>
      </c>
      <c r="J499" t="str" cm="1">
        <f t="array" ref="J499">_xlfn.SWITCH(I499,"P001","Laptop","P002","Server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499" s="1" cm="1">
        <f t="array" ref="K499">_xlfn.SWITCH(Table1[[#This Row],[Product ID]],"P001",220,"P002",150,"P003",130,"P004",70,"P005",200,"P006",40,"P007",25,"P008",20,"P009",190,"P010",530)</f>
        <v>25</v>
      </c>
      <c r="L499">
        <v>5</v>
      </c>
      <c r="M499" s="1">
        <f>Table1[[#This Row],[Unit Price]]*Table1[[#This Row],[Quantity]]</f>
        <v>125</v>
      </c>
      <c r="N499" s="2">
        <v>0.05</v>
      </c>
      <c r="O499" s="1">
        <f>Table1[[#This Row],[Gross Value]]*(1-Table1[[#This Row],[Discount]])</f>
        <v>118.75</v>
      </c>
      <c r="P499" s="2">
        <v>0.2</v>
      </c>
      <c r="Q499" s="1">
        <f>Table1[[#This Row],[Revenue]]*Table1[[#This Row],[VAT Rate]]</f>
        <v>23.75</v>
      </c>
      <c r="R499" s="1">
        <f>Table1[[#This Row],[Revenue]]+Table1[[#This Row],[VAT Charged]]</f>
        <v>142.5</v>
      </c>
      <c r="S499" s="1" cm="1">
        <f t="array" ref="S499">_xlfn.SWITCH(Table1[[#This Row],[Product ID]],"P001",140,"P002",80,"P003",72,"P004",30,"P005",110,"P006",24,"P007",14,"P008",12,"P009",115,"P010",360)</f>
        <v>14</v>
      </c>
      <c r="T499" s="1" cm="1">
        <f t="array" ref="T499">(_xlfn.SWITCH(Table1[[#This Row],[Product ID]],"P001",140,"P002",80,"P003",72,"P004",30,"P005",110,"P006",24,"P007",14,"P008",12,"P009",115,"P010",360))*Table1[[#This Row],[Quantity]]</f>
        <v>70</v>
      </c>
      <c r="U499" s="1" cm="1">
        <f t="array" ref="U499">_xlfn.SWITCH(Table1[[#This Row],[Product ID]],"P001",15,"P002",0,"P003",8,"P004",8,"P005",0,"P006",7,"P007",7,"P008",6,"P009",45,"P010",60)</f>
        <v>7</v>
      </c>
      <c r="V499" s="1">
        <f>Table1[[#This Row],[Shipping per Unit]]*Table1[[#This Row],[Quantity]]</f>
        <v>35</v>
      </c>
      <c r="W499" s="2">
        <f>IF(Table1[[#This Row],[Total Shipping]]&gt;0.1,0.2,0)</f>
        <v>0.2</v>
      </c>
      <c r="X499" s="4">
        <f>Table1[[#This Row],[Total Shipping]]*Table1[[#This Row],[VAT on Shipping]]</f>
        <v>7</v>
      </c>
      <c r="Y499" s="1">
        <f>Table1[[#This Row],[Revenue]]-Table1[[#This Row],[COGS]]</f>
        <v>48.75</v>
      </c>
      <c r="Z499" s="3">
        <f>(Table1[[#This Row],[Profit]]/Table1[[#This Row],[Revenue]])</f>
        <v>0.41052631578947368</v>
      </c>
      <c r="AA499" s="1">
        <f>Table1[[#This Row],[Profit]]-Table1[[#This Row],[Total Shipping]]</f>
        <v>13.75</v>
      </c>
      <c r="AB499" s="3">
        <f>Table1[[#This Row],[Operating Profit]]/Table1[[#This Row],[Revenue]]</f>
        <v>0.11578947368421053</v>
      </c>
    </row>
    <row r="500" spans="1:28" x14ac:dyDescent="0.25">
      <c r="A500" t="s">
        <v>257</v>
      </c>
      <c r="B500">
        <v>53</v>
      </c>
      <c r="C500" t="s">
        <v>29</v>
      </c>
      <c r="D500" t="s">
        <v>72</v>
      </c>
      <c r="E500" t="s">
        <v>49</v>
      </c>
      <c r="F500" t="s">
        <v>41</v>
      </c>
      <c r="G500" t="str" cm="1">
        <f t="array" ref="G500">_xlfn.SWITCH(F500,"Acme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500" t="s">
        <v>69</v>
      </c>
      <c r="I500" t="s">
        <v>55</v>
      </c>
      <c r="J500" t="str" cm="1">
        <f t="array" ref="J500">_xlfn.SWITCH(I500,"P001","Laptop","P002","Server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00" s="1" cm="1">
        <f t="array" ref="K500">_xlfn.SWITCH(Table1[[#This Row],[Product ID]],"P001",220,"P002",150,"P003",130,"P004",70,"P005",200,"P006",40,"P007",25,"P008",20,"P009",190,"P010",530)</f>
        <v>70</v>
      </c>
      <c r="L500">
        <v>16</v>
      </c>
      <c r="M500" s="1">
        <f>Table1[[#This Row],[Unit Price]]*Table1[[#This Row],[Quantity]]</f>
        <v>1120</v>
      </c>
      <c r="N500" s="2">
        <v>0.04</v>
      </c>
      <c r="O500" s="1">
        <f>Table1[[#This Row],[Gross Value]]*(1-Table1[[#This Row],[Discount]])</f>
        <v>1075.2</v>
      </c>
      <c r="P500" s="2">
        <v>0.2</v>
      </c>
      <c r="Q500" s="1">
        <f>Table1[[#This Row],[Revenue]]*Table1[[#This Row],[VAT Rate]]</f>
        <v>215.04000000000002</v>
      </c>
      <c r="R500" s="1">
        <f>Table1[[#This Row],[Revenue]]+Table1[[#This Row],[VAT Charged]]</f>
        <v>1290.24</v>
      </c>
      <c r="S500" s="1" cm="1">
        <f t="array" ref="S500">_xlfn.SWITCH(Table1[[#This Row],[Product ID]],"P001",140,"P002",80,"P003",72,"P004",30,"P005",110,"P006",24,"P007",14,"P008",12,"P009",115,"P010",360)</f>
        <v>30</v>
      </c>
      <c r="T500" s="1" cm="1">
        <f t="array" ref="T500">(_xlfn.SWITCH(Table1[[#This Row],[Product ID]],"P001",140,"P002",80,"P003",72,"P004",30,"P005",110,"P006",24,"P007",14,"P008",12,"P009",115,"P010",360))*Table1[[#This Row],[Quantity]]</f>
        <v>480</v>
      </c>
      <c r="U500" s="1" cm="1">
        <f t="array" ref="U500">_xlfn.SWITCH(Table1[[#This Row],[Product ID]],"P001",15,"P002",0,"P003",8,"P004",8,"P005",0,"P006",7,"P007",7,"P008",6,"P009",45,"P010",60)</f>
        <v>8</v>
      </c>
      <c r="V500" s="1">
        <f>Table1[[#This Row],[Shipping per Unit]]*Table1[[#This Row],[Quantity]]</f>
        <v>128</v>
      </c>
      <c r="W500" s="2">
        <f>IF(Table1[[#This Row],[Total Shipping]]&gt;0.1,0.2,0)</f>
        <v>0.2</v>
      </c>
      <c r="X500" s="4">
        <f>Table1[[#This Row],[Total Shipping]]*Table1[[#This Row],[VAT on Shipping]]</f>
        <v>25.6</v>
      </c>
      <c r="Y500" s="1">
        <f>Table1[[#This Row],[Revenue]]-Table1[[#This Row],[COGS]]</f>
        <v>595.20000000000005</v>
      </c>
      <c r="Z500" s="3">
        <f>(Table1[[#This Row],[Profit]]/Table1[[#This Row],[Revenue]])</f>
        <v>0.5535714285714286</v>
      </c>
      <c r="AA500" s="1">
        <f>Table1[[#This Row],[Profit]]-Table1[[#This Row],[Total Shipping]]</f>
        <v>467.20000000000005</v>
      </c>
      <c r="AB500" s="3">
        <f>Table1[[#This Row],[Operating Profit]]/Table1[[#This Row],[Revenue]]</f>
        <v>0.43452380952380953</v>
      </c>
    </row>
    <row r="501" spans="1:28" x14ac:dyDescent="0.25">
      <c r="A501" t="s">
        <v>257</v>
      </c>
      <c r="B501">
        <v>98</v>
      </c>
      <c r="C501" t="s">
        <v>62</v>
      </c>
      <c r="D501" t="s">
        <v>48</v>
      </c>
      <c r="E501" t="s">
        <v>31</v>
      </c>
      <c r="F501" t="s">
        <v>76</v>
      </c>
      <c r="G501" t="str" cm="1">
        <f t="array" ref="G501">_xlfn.SWITCH(F501,"Acme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501" t="s">
        <v>45</v>
      </c>
      <c r="I501" t="s">
        <v>42</v>
      </c>
      <c r="J501" t="str" cm="1">
        <f t="array" ref="J501">_xlfn.SWITCH(I501,"P001","Laptop","P002","Server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01" s="1" cm="1">
        <f t="array" ref="K501">_xlfn.SWITCH(Table1[[#This Row],[Product ID]],"P001",220,"P002",150,"P003",130,"P004",70,"P005",200,"P006",40,"P007",25,"P008",20,"P009",190,"P010",530)</f>
        <v>40</v>
      </c>
      <c r="L501">
        <v>2</v>
      </c>
      <c r="M501" s="1">
        <f>Table1[[#This Row],[Unit Price]]*Table1[[#This Row],[Quantity]]</f>
        <v>80</v>
      </c>
      <c r="N501" s="2">
        <v>0.12</v>
      </c>
      <c r="O501" s="1">
        <f>Table1[[#This Row],[Gross Value]]*(1-Table1[[#This Row],[Discount]])</f>
        <v>70.400000000000006</v>
      </c>
      <c r="P501" s="2">
        <v>0.2</v>
      </c>
      <c r="Q501" s="1">
        <f>Table1[[#This Row],[Revenue]]*Table1[[#This Row],[VAT Rate]]</f>
        <v>14.080000000000002</v>
      </c>
      <c r="R501" s="1">
        <f>Table1[[#This Row],[Revenue]]+Table1[[#This Row],[VAT Charged]]</f>
        <v>84.48</v>
      </c>
      <c r="S501" s="1" cm="1">
        <f t="array" ref="S501">_xlfn.SWITCH(Table1[[#This Row],[Product ID]],"P001",140,"P002",80,"P003",72,"P004",30,"P005",110,"P006",24,"P007",14,"P008",12,"P009",115,"P010",360)</f>
        <v>24</v>
      </c>
      <c r="T501" s="1" cm="1">
        <f t="array" ref="T501">(_xlfn.SWITCH(Table1[[#This Row],[Product ID]],"P001",140,"P002",80,"P003",72,"P004",30,"P005",110,"P006",24,"P007",14,"P008",12,"P009",115,"P010",360))*Table1[[#This Row],[Quantity]]</f>
        <v>48</v>
      </c>
      <c r="U501" s="1" cm="1">
        <f t="array" ref="U501">_xlfn.SWITCH(Table1[[#This Row],[Product ID]],"P001",15,"P002",0,"P003",8,"P004",8,"P005",0,"P006",7,"P007",7,"P008",6,"P009",45,"P010",60)</f>
        <v>7</v>
      </c>
      <c r="V501" s="1">
        <f>Table1[[#This Row],[Shipping per Unit]]*Table1[[#This Row],[Quantity]]</f>
        <v>14</v>
      </c>
      <c r="W501" s="2">
        <f>IF(Table1[[#This Row],[Total Shipping]]&gt;0.1,0.2,0)</f>
        <v>0.2</v>
      </c>
      <c r="X501" s="4">
        <f>Table1[[#This Row],[Total Shipping]]*Table1[[#This Row],[VAT on Shipping]]</f>
        <v>2.8000000000000003</v>
      </c>
      <c r="Y501" s="1">
        <f>Table1[[#This Row],[Revenue]]-Table1[[#This Row],[COGS]]</f>
        <v>22.400000000000006</v>
      </c>
      <c r="Z501" s="3">
        <f>(Table1[[#This Row],[Profit]]/Table1[[#This Row],[Revenue]])</f>
        <v>0.31818181818181823</v>
      </c>
      <c r="AA501" s="1">
        <f>Table1[[#This Row],[Profit]]-Table1[[#This Row],[Total Shipping]]</f>
        <v>8.4000000000000057</v>
      </c>
      <c r="AB501" s="3">
        <f>Table1[[#This Row],[Operating Profit]]/Table1[[#This Row],[Revenue]]</f>
        <v>0.11931818181818189</v>
      </c>
    </row>
    <row r="502" spans="1:28" x14ac:dyDescent="0.25">
      <c r="A502" t="s">
        <v>257</v>
      </c>
      <c r="B502">
        <v>139</v>
      </c>
      <c r="C502" t="s">
        <v>62</v>
      </c>
      <c r="D502" t="s">
        <v>39</v>
      </c>
      <c r="E502" t="s">
        <v>31</v>
      </c>
      <c r="F502" t="s">
        <v>87</v>
      </c>
      <c r="G502" t="str" cm="1">
        <f t="array" ref="G502">_xlfn.SWITCH(F502,"Acme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502" t="s">
        <v>104</v>
      </c>
      <c r="I502" t="s">
        <v>68</v>
      </c>
      <c r="J502" t="str" cm="1">
        <f t="array" ref="J502">_xlfn.SWITCH(I502,"P001","Laptop","P002","Server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502" s="1" cm="1">
        <f t="array" ref="K502">_xlfn.SWITCH(Table1[[#This Row],[Product ID]],"P001",220,"P002",150,"P003",130,"P004",70,"P005",200,"P006",40,"P007",25,"P008",20,"P009",190,"P010",530)</f>
        <v>220</v>
      </c>
      <c r="L502">
        <v>17</v>
      </c>
      <c r="M502" s="1">
        <f>Table1[[#This Row],[Unit Price]]*Table1[[#This Row],[Quantity]]</f>
        <v>3740</v>
      </c>
      <c r="N502" s="2">
        <v>7.0000000000000007E-2</v>
      </c>
      <c r="O502" s="1">
        <f>Table1[[#This Row],[Gross Value]]*(1-Table1[[#This Row],[Discount]])</f>
        <v>3478.2</v>
      </c>
      <c r="P502" s="2">
        <v>0.2</v>
      </c>
      <c r="Q502" s="1">
        <f>Table1[[#This Row],[Revenue]]*Table1[[#This Row],[VAT Rate]]</f>
        <v>695.64</v>
      </c>
      <c r="R502" s="1">
        <f>Table1[[#This Row],[Revenue]]+Table1[[#This Row],[VAT Charged]]</f>
        <v>4173.84</v>
      </c>
      <c r="S502" s="1" cm="1">
        <f t="array" ref="S502">_xlfn.SWITCH(Table1[[#This Row],[Product ID]],"P001",140,"P002",80,"P003",72,"P004",30,"P005",110,"P006",24,"P007",14,"P008",12,"P009",115,"P010",360)</f>
        <v>140</v>
      </c>
      <c r="T502" s="1" cm="1">
        <f t="array" ref="T502">(_xlfn.SWITCH(Table1[[#This Row],[Product ID]],"P001",140,"P002",80,"P003",72,"P004",30,"P005",110,"P006",24,"P007",14,"P008",12,"P009",115,"P010",360))*Table1[[#This Row],[Quantity]]</f>
        <v>2380</v>
      </c>
      <c r="U502" s="1" cm="1">
        <f t="array" ref="U502">_xlfn.SWITCH(Table1[[#This Row],[Product ID]],"P001",15,"P002",0,"P003",8,"P004",8,"P005",0,"P006",7,"P007",7,"P008",6,"P009",45,"P010",60)</f>
        <v>15</v>
      </c>
      <c r="V502" s="1">
        <f>Table1[[#This Row],[Shipping per Unit]]*Table1[[#This Row],[Quantity]]</f>
        <v>255</v>
      </c>
      <c r="W502" s="2">
        <f>IF(Table1[[#This Row],[Total Shipping]]&gt;0.1,0.2,0)</f>
        <v>0.2</v>
      </c>
      <c r="X502" s="4">
        <f>Table1[[#This Row],[Total Shipping]]*Table1[[#This Row],[VAT on Shipping]]</f>
        <v>51</v>
      </c>
      <c r="Y502" s="1">
        <f>Table1[[#This Row],[Revenue]]-Table1[[#This Row],[COGS]]</f>
        <v>1098.1999999999998</v>
      </c>
      <c r="Z502" s="3">
        <f>(Table1[[#This Row],[Profit]]/Table1[[#This Row],[Revenue]])</f>
        <v>0.31573802541544471</v>
      </c>
      <c r="AA502" s="1">
        <f>Table1[[#This Row],[Profit]]-Table1[[#This Row],[Total Shipping]]</f>
        <v>843.19999999999982</v>
      </c>
      <c r="AB502" s="3">
        <f>Table1[[#This Row],[Operating Profit]]/Table1[[#This Row],[Revenue]]</f>
        <v>0.24242424242424238</v>
      </c>
    </row>
    <row r="503" spans="1:28" x14ac:dyDescent="0.25">
      <c r="A503" t="s">
        <v>257</v>
      </c>
      <c r="B503">
        <v>541</v>
      </c>
      <c r="C503" t="s">
        <v>83</v>
      </c>
      <c r="D503" t="s">
        <v>57</v>
      </c>
      <c r="E503" t="s">
        <v>31</v>
      </c>
      <c r="F503" t="s">
        <v>37</v>
      </c>
      <c r="G503" t="str" cm="1">
        <f t="array" ref="G503">_xlfn.SWITCH(F503,"Acme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503" t="s">
        <v>45</v>
      </c>
      <c r="I503" t="s">
        <v>70</v>
      </c>
      <c r="J503" t="str" cm="1">
        <f t="array" ref="J503">_xlfn.SWITCH(I503,"P001","Laptop","P002","Server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503" s="1" cm="1">
        <f t="array" ref="K503">_xlfn.SWITCH(Table1[[#This Row],[Product ID]],"P001",220,"P002",150,"P003",130,"P004",70,"P005",200,"P006",40,"P007",25,"P008",20,"P009",190,"P010",530)</f>
        <v>150</v>
      </c>
      <c r="L503">
        <v>8</v>
      </c>
      <c r="M503" s="1">
        <f>Table1[[#This Row],[Unit Price]]*Table1[[#This Row],[Quantity]]</f>
        <v>1200</v>
      </c>
      <c r="N503" s="2">
        <v>0.05</v>
      </c>
      <c r="O503" s="1">
        <f>Table1[[#This Row],[Gross Value]]*(1-Table1[[#This Row],[Discount]])</f>
        <v>1140</v>
      </c>
      <c r="P503" s="2">
        <v>0.2</v>
      </c>
      <c r="Q503" s="1">
        <f>Table1[[#This Row],[Revenue]]*Table1[[#This Row],[VAT Rate]]</f>
        <v>228</v>
      </c>
      <c r="R503" s="1">
        <f>Table1[[#This Row],[Revenue]]+Table1[[#This Row],[VAT Charged]]</f>
        <v>1368</v>
      </c>
      <c r="S503" s="1" cm="1">
        <f t="array" ref="S503">_xlfn.SWITCH(Table1[[#This Row],[Product ID]],"P001",140,"P002",80,"P003",72,"P004",30,"P005",110,"P006",24,"P007",14,"P008",12,"P009",115,"P010",360)</f>
        <v>80</v>
      </c>
      <c r="T503" s="1" cm="1">
        <f t="array" ref="T503">(_xlfn.SWITCH(Table1[[#This Row],[Product ID]],"P001",140,"P002",80,"P003",72,"P004",30,"P005",110,"P006",24,"P007",14,"P008",12,"P009",115,"P010",360))*Table1[[#This Row],[Quantity]]</f>
        <v>640</v>
      </c>
      <c r="U503" s="1" cm="1">
        <f t="array" ref="U503">_xlfn.SWITCH(Table1[[#This Row],[Product ID]],"P001",15,"P002",0,"P003",8,"P004",8,"P005",0,"P006",7,"P007",7,"P008",6,"P009",45,"P010",60)</f>
        <v>0</v>
      </c>
      <c r="V503" s="1">
        <f>Table1[[#This Row],[Shipping per Unit]]*Table1[[#This Row],[Quantity]]</f>
        <v>0</v>
      </c>
      <c r="W503" s="2">
        <f>IF(Table1[[#This Row],[Total Shipping]]&gt;0.1,0.2,0)</f>
        <v>0</v>
      </c>
      <c r="X503" s="4">
        <f>Table1[[#This Row],[Total Shipping]]*Table1[[#This Row],[VAT on Shipping]]</f>
        <v>0</v>
      </c>
      <c r="Y503" s="1">
        <f>Table1[[#This Row],[Revenue]]-Table1[[#This Row],[COGS]]</f>
        <v>500</v>
      </c>
      <c r="Z503" s="3">
        <f>(Table1[[#This Row],[Profit]]/Table1[[#This Row],[Revenue]])</f>
        <v>0.43859649122807015</v>
      </c>
      <c r="AA503" s="1">
        <f>Table1[[#This Row],[Profit]]-Table1[[#This Row],[Total Shipping]]</f>
        <v>500</v>
      </c>
      <c r="AB503" s="3">
        <f>Table1[[#This Row],[Operating Profit]]/Table1[[#This Row],[Revenue]]</f>
        <v>0.43859649122807015</v>
      </c>
    </row>
    <row r="504" spans="1:28" x14ac:dyDescent="0.25">
      <c r="A504" t="s">
        <v>258</v>
      </c>
      <c r="B504">
        <v>424</v>
      </c>
      <c r="C504" t="s">
        <v>65</v>
      </c>
      <c r="D504" t="s">
        <v>72</v>
      </c>
      <c r="E504" t="s">
        <v>31</v>
      </c>
      <c r="F504" t="s">
        <v>92</v>
      </c>
      <c r="G504" t="str" cm="1">
        <f t="array" ref="G504">_xlfn.SWITCH(F504,"Acme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504" t="s">
        <v>33</v>
      </c>
      <c r="I504" t="s">
        <v>55</v>
      </c>
      <c r="J504" t="str" cm="1">
        <f t="array" ref="J504">_xlfn.SWITCH(I504,"P001","Laptop","P002","Server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04" s="1" cm="1">
        <f t="array" ref="K504">_xlfn.SWITCH(Table1[[#This Row],[Product ID]],"P001",220,"P002",150,"P003",130,"P004",70,"P005",200,"P006",40,"P007",25,"P008",20,"P009",190,"P010",530)</f>
        <v>70</v>
      </c>
      <c r="L504">
        <v>20</v>
      </c>
      <c r="M504" s="1">
        <f>Table1[[#This Row],[Unit Price]]*Table1[[#This Row],[Quantity]]</f>
        <v>1400</v>
      </c>
      <c r="N504" s="2">
        <v>0.05</v>
      </c>
      <c r="O504" s="1">
        <f>Table1[[#This Row],[Gross Value]]*(1-Table1[[#This Row],[Discount]])</f>
        <v>1330</v>
      </c>
      <c r="P504" s="2">
        <v>0.2</v>
      </c>
      <c r="Q504" s="1">
        <f>Table1[[#This Row],[Revenue]]*Table1[[#This Row],[VAT Rate]]</f>
        <v>266</v>
      </c>
      <c r="R504" s="1">
        <f>Table1[[#This Row],[Revenue]]+Table1[[#This Row],[VAT Charged]]</f>
        <v>1596</v>
      </c>
      <c r="S504" s="1" cm="1">
        <f t="array" ref="S504">_xlfn.SWITCH(Table1[[#This Row],[Product ID]],"P001",140,"P002",80,"P003",72,"P004",30,"P005",110,"P006",24,"P007",14,"P008",12,"P009",115,"P010",360)</f>
        <v>30</v>
      </c>
      <c r="T504" s="1" cm="1">
        <f t="array" ref="T504">(_xlfn.SWITCH(Table1[[#This Row],[Product ID]],"P001",140,"P002",80,"P003",72,"P004",30,"P005",110,"P006",24,"P007",14,"P008",12,"P009",115,"P010",360))*Table1[[#This Row],[Quantity]]</f>
        <v>600</v>
      </c>
      <c r="U504" s="1" cm="1">
        <f t="array" ref="U504">_xlfn.SWITCH(Table1[[#This Row],[Product ID]],"P001",15,"P002",0,"P003",8,"P004",8,"P005",0,"P006",7,"P007",7,"P008",6,"P009",45,"P010",60)</f>
        <v>8</v>
      </c>
      <c r="V504" s="1">
        <f>Table1[[#This Row],[Shipping per Unit]]*Table1[[#This Row],[Quantity]]</f>
        <v>160</v>
      </c>
      <c r="W504" s="2">
        <f>IF(Table1[[#This Row],[Total Shipping]]&gt;0.1,0.2,0)</f>
        <v>0.2</v>
      </c>
      <c r="X504" s="4">
        <f>Table1[[#This Row],[Total Shipping]]*Table1[[#This Row],[VAT on Shipping]]</f>
        <v>32</v>
      </c>
      <c r="Y504" s="1">
        <f>Table1[[#This Row],[Revenue]]-Table1[[#This Row],[COGS]]</f>
        <v>730</v>
      </c>
      <c r="Z504" s="3">
        <f>(Table1[[#This Row],[Profit]]/Table1[[#This Row],[Revenue]])</f>
        <v>0.54887218045112784</v>
      </c>
      <c r="AA504" s="1">
        <f>Table1[[#This Row],[Profit]]-Table1[[#This Row],[Total Shipping]]</f>
        <v>570</v>
      </c>
      <c r="AB504" s="3">
        <f>Table1[[#This Row],[Operating Profit]]/Table1[[#This Row],[Revenue]]</f>
        <v>0.42857142857142855</v>
      </c>
    </row>
    <row r="505" spans="1:28" x14ac:dyDescent="0.25">
      <c r="A505" t="s">
        <v>259</v>
      </c>
      <c r="B505">
        <v>247</v>
      </c>
      <c r="C505" t="s">
        <v>62</v>
      </c>
      <c r="D505" t="s">
        <v>72</v>
      </c>
      <c r="E505" t="s">
        <v>31</v>
      </c>
      <c r="F505" t="s">
        <v>50</v>
      </c>
      <c r="G505" t="str" cm="1">
        <f t="array" ref="G505">_xlfn.SWITCH(F505,"Acme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505" t="s">
        <v>33</v>
      </c>
      <c r="I505" t="s">
        <v>46</v>
      </c>
      <c r="J505" t="str" cm="1">
        <f t="array" ref="J505">_xlfn.SWITCH(I505,"P001","Laptop","P002","Server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05" s="1" cm="1">
        <f t="array" ref="K505">_xlfn.SWITCH(Table1[[#This Row],[Product ID]],"P001",220,"P002",150,"P003",130,"P004",70,"P005",200,"P006",40,"P007",25,"P008",20,"P009",190,"P010",530)</f>
        <v>530</v>
      </c>
      <c r="L505">
        <v>9</v>
      </c>
      <c r="M505" s="1">
        <f>Table1[[#This Row],[Unit Price]]*Table1[[#This Row],[Quantity]]</f>
        <v>4770</v>
      </c>
      <c r="N505" s="2">
        <v>0.06</v>
      </c>
      <c r="O505" s="1">
        <f>Table1[[#This Row],[Gross Value]]*(1-Table1[[#This Row],[Discount]])</f>
        <v>4483.8</v>
      </c>
      <c r="P505" s="2">
        <v>0.2</v>
      </c>
      <c r="Q505" s="1">
        <f>Table1[[#This Row],[Revenue]]*Table1[[#This Row],[VAT Rate]]</f>
        <v>896.7600000000001</v>
      </c>
      <c r="R505" s="1">
        <f>Table1[[#This Row],[Revenue]]+Table1[[#This Row],[VAT Charged]]</f>
        <v>5380.56</v>
      </c>
      <c r="S505" s="1" cm="1">
        <f t="array" ref="S505">_xlfn.SWITCH(Table1[[#This Row],[Product ID]],"P001",140,"P002",80,"P003",72,"P004",30,"P005",110,"P006",24,"P007",14,"P008",12,"P009",115,"P010",360)</f>
        <v>360</v>
      </c>
      <c r="T505" s="1" cm="1">
        <f t="array" ref="T505">(_xlfn.SWITCH(Table1[[#This Row],[Product ID]],"P001",140,"P002",80,"P003",72,"P004",30,"P005",110,"P006",24,"P007",14,"P008",12,"P009",115,"P010",360))*Table1[[#This Row],[Quantity]]</f>
        <v>3240</v>
      </c>
      <c r="U505" s="1" cm="1">
        <f t="array" ref="U505">_xlfn.SWITCH(Table1[[#This Row],[Product ID]],"P001",15,"P002",0,"P003",8,"P004",8,"P005",0,"P006",7,"P007",7,"P008",6,"P009",45,"P010",60)</f>
        <v>60</v>
      </c>
      <c r="V505" s="1">
        <f>Table1[[#This Row],[Shipping per Unit]]*Table1[[#This Row],[Quantity]]</f>
        <v>540</v>
      </c>
      <c r="W505" s="2">
        <f>IF(Table1[[#This Row],[Total Shipping]]&gt;0.1,0.2,0)</f>
        <v>0.2</v>
      </c>
      <c r="X505" s="4">
        <f>Table1[[#This Row],[Total Shipping]]*Table1[[#This Row],[VAT on Shipping]]</f>
        <v>108</v>
      </c>
      <c r="Y505" s="1">
        <f>Table1[[#This Row],[Revenue]]-Table1[[#This Row],[COGS]]</f>
        <v>1243.8000000000002</v>
      </c>
      <c r="Z505" s="3">
        <f>(Table1[[#This Row],[Profit]]/Table1[[#This Row],[Revenue]])</f>
        <v>0.27739863508631074</v>
      </c>
      <c r="AA505" s="1">
        <f>Table1[[#This Row],[Profit]]-Table1[[#This Row],[Total Shipping]]</f>
        <v>703.80000000000018</v>
      </c>
      <c r="AB505" s="3">
        <f>Table1[[#This Row],[Operating Profit]]/Table1[[#This Row],[Revenue]]</f>
        <v>0.15696507426736253</v>
      </c>
    </row>
    <row r="506" spans="1:28" x14ac:dyDescent="0.25">
      <c r="A506" t="s">
        <v>259</v>
      </c>
      <c r="B506">
        <v>408</v>
      </c>
      <c r="C506" t="s">
        <v>65</v>
      </c>
      <c r="D506" t="s">
        <v>72</v>
      </c>
      <c r="E506" t="s">
        <v>31</v>
      </c>
      <c r="F506" t="s">
        <v>32</v>
      </c>
      <c r="G506" t="str" cm="1">
        <f t="array" ref="G506">_xlfn.SWITCH(F506,"Acme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506" t="s">
        <v>45</v>
      </c>
      <c r="I506" t="s">
        <v>52</v>
      </c>
      <c r="J506" t="str" cm="1">
        <f t="array" ref="J506">_xlfn.SWITCH(I506,"P001","Laptop","P002","Server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06" s="1" cm="1">
        <f t="array" ref="K506">_xlfn.SWITCH(Table1[[#This Row],[Product ID]],"P001",220,"P002",150,"P003",130,"P004",70,"P005",200,"P006",40,"P007",25,"P008",20,"P009",190,"P010",530)</f>
        <v>130</v>
      </c>
      <c r="L506">
        <v>11</v>
      </c>
      <c r="M506" s="1">
        <f>Table1[[#This Row],[Unit Price]]*Table1[[#This Row],[Quantity]]</f>
        <v>1430</v>
      </c>
      <c r="N506" s="2">
        <v>0.12</v>
      </c>
      <c r="O506" s="1">
        <f>Table1[[#This Row],[Gross Value]]*(1-Table1[[#This Row],[Discount]])</f>
        <v>1258.4000000000001</v>
      </c>
      <c r="P506" s="2">
        <v>0.2</v>
      </c>
      <c r="Q506" s="1">
        <f>Table1[[#This Row],[Revenue]]*Table1[[#This Row],[VAT Rate]]</f>
        <v>251.68000000000004</v>
      </c>
      <c r="R506" s="1">
        <f>Table1[[#This Row],[Revenue]]+Table1[[#This Row],[VAT Charged]]</f>
        <v>1510.0800000000002</v>
      </c>
      <c r="S506" s="1" cm="1">
        <f t="array" ref="S506">_xlfn.SWITCH(Table1[[#This Row],[Product ID]],"P001",140,"P002",80,"P003",72,"P004",30,"P005",110,"P006",24,"P007",14,"P008",12,"P009",115,"P010",360)</f>
        <v>72</v>
      </c>
      <c r="T506" s="1" cm="1">
        <f t="array" ref="T506">(_xlfn.SWITCH(Table1[[#This Row],[Product ID]],"P001",140,"P002",80,"P003",72,"P004",30,"P005",110,"P006",24,"P007",14,"P008",12,"P009",115,"P010",360))*Table1[[#This Row],[Quantity]]</f>
        <v>792</v>
      </c>
      <c r="U506" s="1" cm="1">
        <f t="array" ref="U506">_xlfn.SWITCH(Table1[[#This Row],[Product ID]],"P001",15,"P002",0,"P003",8,"P004",8,"P005",0,"P006",7,"P007",7,"P008",6,"P009",45,"P010",60)</f>
        <v>8</v>
      </c>
      <c r="V506" s="1">
        <f>Table1[[#This Row],[Shipping per Unit]]*Table1[[#This Row],[Quantity]]</f>
        <v>88</v>
      </c>
      <c r="W506" s="2">
        <f>IF(Table1[[#This Row],[Total Shipping]]&gt;0.1,0.2,0)</f>
        <v>0.2</v>
      </c>
      <c r="X506" s="4">
        <f>Table1[[#This Row],[Total Shipping]]*Table1[[#This Row],[VAT on Shipping]]</f>
        <v>17.600000000000001</v>
      </c>
      <c r="Y506" s="1">
        <f>Table1[[#This Row],[Revenue]]-Table1[[#This Row],[COGS]]</f>
        <v>466.40000000000009</v>
      </c>
      <c r="Z506" s="3">
        <f>(Table1[[#This Row],[Profit]]/Table1[[#This Row],[Revenue]])</f>
        <v>0.37062937062937068</v>
      </c>
      <c r="AA506" s="1">
        <f>Table1[[#This Row],[Profit]]-Table1[[#This Row],[Total Shipping]]</f>
        <v>378.40000000000009</v>
      </c>
      <c r="AB506" s="3">
        <f>Table1[[#This Row],[Operating Profit]]/Table1[[#This Row],[Revenue]]</f>
        <v>0.30069930069930073</v>
      </c>
    </row>
    <row r="507" spans="1:28" x14ac:dyDescent="0.25">
      <c r="A507" t="s">
        <v>260</v>
      </c>
      <c r="B507">
        <v>334</v>
      </c>
      <c r="C507" t="s">
        <v>83</v>
      </c>
      <c r="D507" t="s">
        <v>48</v>
      </c>
      <c r="E507" t="s">
        <v>31</v>
      </c>
      <c r="F507" t="s">
        <v>102</v>
      </c>
      <c r="G507" t="str" cm="1">
        <f t="array" ref="G507">_xlfn.SWITCH(F507,"Acme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507" t="s">
        <v>51</v>
      </c>
      <c r="I507" t="s">
        <v>55</v>
      </c>
      <c r="J507" t="str" cm="1">
        <f t="array" ref="J507">_xlfn.SWITCH(I507,"P001","Laptop","P002","Server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07" s="1" cm="1">
        <f t="array" ref="K507">_xlfn.SWITCH(Table1[[#This Row],[Product ID]],"P001",220,"P002",150,"P003",130,"P004",70,"P005",200,"P006",40,"P007",25,"P008",20,"P009",190,"P010",530)</f>
        <v>70</v>
      </c>
      <c r="L507">
        <v>3</v>
      </c>
      <c r="M507" s="1">
        <f>Table1[[#This Row],[Unit Price]]*Table1[[#This Row],[Quantity]]</f>
        <v>210</v>
      </c>
      <c r="N507" s="2">
        <v>0.02</v>
      </c>
      <c r="O507" s="1">
        <f>Table1[[#This Row],[Gross Value]]*(1-Table1[[#This Row],[Discount]])</f>
        <v>205.79999999999998</v>
      </c>
      <c r="P507" s="2">
        <v>0.2</v>
      </c>
      <c r="Q507" s="1">
        <f>Table1[[#This Row],[Revenue]]*Table1[[#This Row],[VAT Rate]]</f>
        <v>41.16</v>
      </c>
      <c r="R507" s="1">
        <f>Table1[[#This Row],[Revenue]]+Table1[[#This Row],[VAT Charged]]</f>
        <v>246.95999999999998</v>
      </c>
      <c r="S507" s="1" cm="1">
        <f t="array" ref="S507">_xlfn.SWITCH(Table1[[#This Row],[Product ID]],"P001",140,"P002",80,"P003",72,"P004",30,"P005",110,"P006",24,"P007",14,"P008",12,"P009",115,"P010",360)</f>
        <v>30</v>
      </c>
      <c r="T507" s="1" cm="1">
        <f t="array" ref="T507">(_xlfn.SWITCH(Table1[[#This Row],[Product ID]],"P001",140,"P002",80,"P003",72,"P004",30,"P005",110,"P006",24,"P007",14,"P008",12,"P009",115,"P010",360))*Table1[[#This Row],[Quantity]]</f>
        <v>90</v>
      </c>
      <c r="U507" s="1" cm="1">
        <f t="array" ref="U507">_xlfn.SWITCH(Table1[[#This Row],[Product ID]],"P001",15,"P002",0,"P003",8,"P004",8,"P005",0,"P006",7,"P007",7,"P008",6,"P009",45,"P010",60)</f>
        <v>8</v>
      </c>
      <c r="V507" s="1">
        <f>Table1[[#This Row],[Shipping per Unit]]*Table1[[#This Row],[Quantity]]</f>
        <v>24</v>
      </c>
      <c r="W507" s="2">
        <f>IF(Table1[[#This Row],[Total Shipping]]&gt;0.1,0.2,0)</f>
        <v>0.2</v>
      </c>
      <c r="X507" s="4">
        <f>Table1[[#This Row],[Total Shipping]]*Table1[[#This Row],[VAT on Shipping]]</f>
        <v>4.8000000000000007</v>
      </c>
      <c r="Y507" s="1">
        <f>Table1[[#This Row],[Revenue]]-Table1[[#This Row],[COGS]]</f>
        <v>115.79999999999998</v>
      </c>
      <c r="Z507" s="3">
        <f>(Table1[[#This Row],[Profit]]/Table1[[#This Row],[Revenue]])</f>
        <v>0.56268221574344024</v>
      </c>
      <c r="AA507" s="1">
        <f>Table1[[#This Row],[Profit]]-Table1[[#This Row],[Total Shipping]]</f>
        <v>91.799999999999983</v>
      </c>
      <c r="AB507" s="3">
        <f>Table1[[#This Row],[Operating Profit]]/Table1[[#This Row],[Revenue]]</f>
        <v>0.44606413994169092</v>
      </c>
    </row>
    <row r="508" spans="1:28" x14ac:dyDescent="0.25">
      <c r="A508" t="s">
        <v>260</v>
      </c>
      <c r="B508">
        <v>423</v>
      </c>
      <c r="C508" t="s">
        <v>56</v>
      </c>
      <c r="D508" t="s">
        <v>67</v>
      </c>
      <c r="E508" t="s">
        <v>31</v>
      </c>
      <c r="F508" t="s">
        <v>59</v>
      </c>
      <c r="G508" t="str" cm="1">
        <f t="array" ref="G508">_xlfn.SWITCH(F508,"Acme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508" t="s">
        <v>33</v>
      </c>
      <c r="I508" t="s">
        <v>75</v>
      </c>
      <c r="J508" t="str" cm="1">
        <f t="array" ref="J508">_xlfn.SWITCH(I508,"P001","Laptop","P002","Server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08" s="1" cm="1">
        <f t="array" ref="K508">_xlfn.SWITCH(Table1[[#This Row],[Product ID]],"P001",220,"P002",150,"P003",130,"P004",70,"P005",200,"P006",40,"P007",25,"P008",20,"P009",190,"P010",530)</f>
        <v>200</v>
      </c>
      <c r="L508">
        <v>12</v>
      </c>
      <c r="M508" s="1">
        <f>Table1[[#This Row],[Unit Price]]*Table1[[#This Row],[Quantity]]</f>
        <v>2400</v>
      </c>
      <c r="N508" s="2">
        <v>0.05</v>
      </c>
      <c r="O508" s="1">
        <f>Table1[[#This Row],[Gross Value]]*(1-Table1[[#This Row],[Discount]])</f>
        <v>2280</v>
      </c>
      <c r="P508" s="2">
        <v>0.2</v>
      </c>
      <c r="Q508" s="1">
        <f>Table1[[#This Row],[Revenue]]*Table1[[#This Row],[VAT Rate]]</f>
        <v>456</v>
      </c>
      <c r="R508" s="1">
        <f>Table1[[#This Row],[Revenue]]+Table1[[#This Row],[VAT Charged]]</f>
        <v>2736</v>
      </c>
      <c r="S508" s="1" cm="1">
        <f t="array" ref="S508">_xlfn.SWITCH(Table1[[#This Row],[Product ID]],"P001",140,"P002",80,"P003",72,"P004",30,"P005",110,"P006",24,"P007",14,"P008",12,"P009",115,"P010",360)</f>
        <v>110</v>
      </c>
      <c r="T508" s="1" cm="1">
        <f t="array" ref="T508">(_xlfn.SWITCH(Table1[[#This Row],[Product ID]],"P001",140,"P002",80,"P003",72,"P004",30,"P005",110,"P006",24,"P007",14,"P008",12,"P009",115,"P010",360))*Table1[[#This Row],[Quantity]]</f>
        <v>1320</v>
      </c>
      <c r="U508" s="1" cm="1">
        <f t="array" ref="U508">_xlfn.SWITCH(Table1[[#This Row],[Product ID]],"P001",15,"P002",0,"P003",8,"P004",8,"P005",0,"P006",7,"P007",7,"P008",6,"P009",45,"P010",60)</f>
        <v>0</v>
      </c>
      <c r="V508" s="1">
        <f>Table1[[#This Row],[Shipping per Unit]]*Table1[[#This Row],[Quantity]]</f>
        <v>0</v>
      </c>
      <c r="W508" s="2">
        <f>IF(Table1[[#This Row],[Total Shipping]]&gt;0.1,0.2,0)</f>
        <v>0</v>
      </c>
      <c r="X508" s="4">
        <f>Table1[[#This Row],[Total Shipping]]*Table1[[#This Row],[VAT on Shipping]]</f>
        <v>0</v>
      </c>
      <c r="Y508" s="1">
        <f>Table1[[#This Row],[Revenue]]-Table1[[#This Row],[COGS]]</f>
        <v>960</v>
      </c>
      <c r="Z508" s="3">
        <f>(Table1[[#This Row],[Profit]]/Table1[[#This Row],[Revenue]])</f>
        <v>0.42105263157894735</v>
      </c>
      <c r="AA508" s="1">
        <f>Table1[[#This Row],[Profit]]-Table1[[#This Row],[Total Shipping]]</f>
        <v>960</v>
      </c>
      <c r="AB508" s="3">
        <f>Table1[[#This Row],[Operating Profit]]/Table1[[#This Row],[Revenue]]</f>
        <v>0.42105263157894735</v>
      </c>
    </row>
    <row r="509" spans="1:28" x14ac:dyDescent="0.25">
      <c r="A509" t="s">
        <v>260</v>
      </c>
      <c r="B509">
        <v>676</v>
      </c>
      <c r="C509" t="s">
        <v>38</v>
      </c>
      <c r="D509" t="s">
        <v>53</v>
      </c>
      <c r="E509" t="s">
        <v>40</v>
      </c>
      <c r="F509" t="s">
        <v>97</v>
      </c>
      <c r="G509" t="str" cm="1">
        <f t="array" ref="G509">_xlfn.SWITCH(F509,"Acme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509" t="s">
        <v>33</v>
      </c>
      <c r="I509" t="s">
        <v>75</v>
      </c>
      <c r="J509" t="str" cm="1">
        <f t="array" ref="J509">_xlfn.SWITCH(I509,"P001","Laptop","P002","Server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09" s="1" cm="1">
        <f t="array" ref="K509">_xlfn.SWITCH(Table1[[#This Row],[Product ID]],"P001",220,"P002",150,"P003",130,"P004",70,"P005",200,"P006",40,"P007",25,"P008",20,"P009",190,"P010",530)</f>
        <v>200</v>
      </c>
      <c r="L509">
        <v>19</v>
      </c>
      <c r="M509" s="1">
        <f>Table1[[#This Row],[Unit Price]]*Table1[[#This Row],[Quantity]]</f>
        <v>3800</v>
      </c>
      <c r="N509" s="2">
        <v>0.1</v>
      </c>
      <c r="O509" s="1">
        <f>Table1[[#This Row],[Gross Value]]*(1-Table1[[#This Row],[Discount]])</f>
        <v>3420</v>
      </c>
      <c r="P509" s="2">
        <v>0.2</v>
      </c>
      <c r="Q509" s="1">
        <f>Table1[[#This Row],[Revenue]]*Table1[[#This Row],[VAT Rate]]</f>
        <v>684</v>
      </c>
      <c r="R509" s="1">
        <f>Table1[[#This Row],[Revenue]]+Table1[[#This Row],[VAT Charged]]</f>
        <v>4104</v>
      </c>
      <c r="S509" s="1" cm="1">
        <f t="array" ref="S509">_xlfn.SWITCH(Table1[[#This Row],[Product ID]],"P001",140,"P002",80,"P003",72,"P004",30,"P005",110,"P006",24,"P007",14,"P008",12,"P009",115,"P010",360)</f>
        <v>110</v>
      </c>
      <c r="T509" s="1" cm="1">
        <f t="array" ref="T509">(_xlfn.SWITCH(Table1[[#This Row],[Product ID]],"P001",140,"P002",80,"P003",72,"P004",30,"P005",110,"P006",24,"P007",14,"P008",12,"P009",115,"P010",360))*Table1[[#This Row],[Quantity]]</f>
        <v>2090</v>
      </c>
      <c r="U509" s="1" cm="1">
        <f t="array" ref="U509">_xlfn.SWITCH(Table1[[#This Row],[Product ID]],"P001",15,"P002",0,"P003",8,"P004",8,"P005",0,"P006",7,"P007",7,"P008",6,"P009",45,"P010",60)</f>
        <v>0</v>
      </c>
      <c r="V509" s="1">
        <f>Table1[[#This Row],[Shipping per Unit]]*Table1[[#This Row],[Quantity]]</f>
        <v>0</v>
      </c>
      <c r="W509" s="2">
        <f>IF(Table1[[#This Row],[Total Shipping]]&gt;0.1,0.2,0)</f>
        <v>0</v>
      </c>
      <c r="X509" s="4">
        <f>Table1[[#This Row],[Total Shipping]]*Table1[[#This Row],[VAT on Shipping]]</f>
        <v>0</v>
      </c>
      <c r="Y509" s="1">
        <f>Table1[[#This Row],[Revenue]]-Table1[[#This Row],[COGS]]</f>
        <v>1330</v>
      </c>
      <c r="Z509" s="3">
        <f>(Table1[[#This Row],[Profit]]/Table1[[#This Row],[Revenue]])</f>
        <v>0.3888888888888889</v>
      </c>
      <c r="AA509" s="1">
        <f>Table1[[#This Row],[Profit]]-Table1[[#This Row],[Total Shipping]]</f>
        <v>1330</v>
      </c>
      <c r="AB509" s="3">
        <f>Table1[[#This Row],[Operating Profit]]/Table1[[#This Row],[Revenue]]</f>
        <v>0.3888888888888889</v>
      </c>
    </row>
    <row r="510" spans="1:28" x14ac:dyDescent="0.25">
      <c r="A510" t="s">
        <v>261</v>
      </c>
      <c r="B510">
        <v>322</v>
      </c>
      <c r="C510" t="s">
        <v>65</v>
      </c>
      <c r="D510" t="s">
        <v>63</v>
      </c>
      <c r="E510" t="s">
        <v>40</v>
      </c>
      <c r="F510" t="s">
        <v>87</v>
      </c>
      <c r="G510" t="str" cm="1">
        <f t="array" ref="G510">_xlfn.SWITCH(F510,"Acme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510" t="s">
        <v>58</v>
      </c>
      <c r="I510" t="s">
        <v>46</v>
      </c>
      <c r="J510" t="str" cm="1">
        <f t="array" ref="J510">_xlfn.SWITCH(I510,"P001","Laptop","P002","Server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10" s="1" cm="1">
        <f t="array" ref="K510">_xlfn.SWITCH(Table1[[#This Row],[Product ID]],"P001",220,"P002",150,"P003",130,"P004",70,"P005",200,"P006",40,"P007",25,"P008",20,"P009",190,"P010",530)</f>
        <v>530</v>
      </c>
      <c r="L510">
        <v>6</v>
      </c>
      <c r="M510" s="1">
        <f>Table1[[#This Row],[Unit Price]]*Table1[[#This Row],[Quantity]]</f>
        <v>3180</v>
      </c>
      <c r="N510" s="2">
        <v>0.01</v>
      </c>
      <c r="O510" s="1">
        <f>Table1[[#This Row],[Gross Value]]*(1-Table1[[#This Row],[Discount]])</f>
        <v>3148.2</v>
      </c>
      <c r="P510" s="2">
        <v>0.2</v>
      </c>
      <c r="Q510" s="1">
        <f>Table1[[#This Row],[Revenue]]*Table1[[#This Row],[VAT Rate]]</f>
        <v>629.64</v>
      </c>
      <c r="R510" s="1">
        <f>Table1[[#This Row],[Revenue]]+Table1[[#This Row],[VAT Charged]]</f>
        <v>3777.8399999999997</v>
      </c>
      <c r="S510" s="1" cm="1">
        <f t="array" ref="S510">_xlfn.SWITCH(Table1[[#This Row],[Product ID]],"P001",140,"P002",80,"P003",72,"P004",30,"P005",110,"P006",24,"P007",14,"P008",12,"P009",115,"P010",360)</f>
        <v>360</v>
      </c>
      <c r="T510" s="1" cm="1">
        <f t="array" ref="T510">(_xlfn.SWITCH(Table1[[#This Row],[Product ID]],"P001",140,"P002",80,"P003",72,"P004",30,"P005",110,"P006",24,"P007",14,"P008",12,"P009",115,"P010",360))*Table1[[#This Row],[Quantity]]</f>
        <v>2160</v>
      </c>
      <c r="U510" s="1" cm="1">
        <f t="array" ref="U510">_xlfn.SWITCH(Table1[[#This Row],[Product ID]],"P001",15,"P002",0,"P003",8,"P004",8,"P005",0,"P006",7,"P007",7,"P008",6,"P009",45,"P010",60)</f>
        <v>60</v>
      </c>
      <c r="V510" s="1">
        <f>Table1[[#This Row],[Shipping per Unit]]*Table1[[#This Row],[Quantity]]</f>
        <v>360</v>
      </c>
      <c r="W510" s="2">
        <f>IF(Table1[[#This Row],[Total Shipping]]&gt;0.1,0.2,0)</f>
        <v>0.2</v>
      </c>
      <c r="X510" s="4">
        <f>Table1[[#This Row],[Total Shipping]]*Table1[[#This Row],[VAT on Shipping]]</f>
        <v>72</v>
      </c>
      <c r="Y510" s="1">
        <f>Table1[[#This Row],[Revenue]]-Table1[[#This Row],[COGS]]</f>
        <v>988.19999999999982</v>
      </c>
      <c r="Z510" s="3">
        <f>(Table1[[#This Row],[Profit]]/Table1[[#This Row],[Revenue]])</f>
        <v>0.313893653516295</v>
      </c>
      <c r="AA510" s="1">
        <f>Table1[[#This Row],[Profit]]-Table1[[#This Row],[Total Shipping]]</f>
        <v>628.19999999999982</v>
      </c>
      <c r="AB510" s="3">
        <f>Table1[[#This Row],[Operating Profit]]/Table1[[#This Row],[Revenue]]</f>
        <v>0.19954259576901082</v>
      </c>
    </row>
    <row r="511" spans="1:28" x14ac:dyDescent="0.25">
      <c r="A511" t="s">
        <v>261</v>
      </c>
      <c r="B511">
        <v>968</v>
      </c>
      <c r="C511" t="s">
        <v>71</v>
      </c>
      <c r="D511" t="s">
        <v>36</v>
      </c>
      <c r="E511" t="s">
        <v>40</v>
      </c>
      <c r="F511" t="s">
        <v>37</v>
      </c>
      <c r="G511" t="str" cm="1">
        <f t="array" ref="G511">_xlfn.SWITCH(F511,"Acme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511" t="s">
        <v>104</v>
      </c>
      <c r="I511" t="s">
        <v>46</v>
      </c>
      <c r="J511" t="str" cm="1">
        <f t="array" ref="J511">_xlfn.SWITCH(I511,"P001","Laptop","P002","Server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11" s="1" cm="1">
        <f t="array" ref="K511">_xlfn.SWITCH(Table1[[#This Row],[Product ID]],"P001",220,"P002",150,"P003",130,"P004",70,"P005",200,"P006",40,"P007",25,"P008",20,"P009",190,"P010",530)</f>
        <v>530</v>
      </c>
      <c r="L511">
        <v>15</v>
      </c>
      <c r="M511" s="1">
        <f>Table1[[#This Row],[Unit Price]]*Table1[[#This Row],[Quantity]]</f>
        <v>7950</v>
      </c>
      <c r="N511" s="2">
        <v>0.1</v>
      </c>
      <c r="O511" s="1">
        <f>Table1[[#This Row],[Gross Value]]*(1-Table1[[#This Row],[Discount]])</f>
        <v>7155</v>
      </c>
      <c r="P511" s="2">
        <v>0.2</v>
      </c>
      <c r="Q511" s="1">
        <f>Table1[[#This Row],[Revenue]]*Table1[[#This Row],[VAT Rate]]</f>
        <v>1431</v>
      </c>
      <c r="R511" s="1">
        <f>Table1[[#This Row],[Revenue]]+Table1[[#This Row],[VAT Charged]]</f>
        <v>8586</v>
      </c>
      <c r="S511" s="1" cm="1">
        <f t="array" ref="S511">_xlfn.SWITCH(Table1[[#This Row],[Product ID]],"P001",140,"P002",80,"P003",72,"P004",30,"P005",110,"P006",24,"P007",14,"P008",12,"P009",115,"P010",360)</f>
        <v>360</v>
      </c>
      <c r="T511" s="1" cm="1">
        <f t="array" ref="T511">(_xlfn.SWITCH(Table1[[#This Row],[Product ID]],"P001",140,"P002",80,"P003",72,"P004",30,"P005",110,"P006",24,"P007",14,"P008",12,"P009",115,"P010",360))*Table1[[#This Row],[Quantity]]</f>
        <v>5400</v>
      </c>
      <c r="U511" s="1" cm="1">
        <f t="array" ref="U511">_xlfn.SWITCH(Table1[[#This Row],[Product ID]],"P001",15,"P002",0,"P003",8,"P004",8,"P005",0,"P006",7,"P007",7,"P008",6,"P009",45,"P010",60)</f>
        <v>60</v>
      </c>
      <c r="V511" s="1">
        <f>Table1[[#This Row],[Shipping per Unit]]*Table1[[#This Row],[Quantity]]</f>
        <v>900</v>
      </c>
      <c r="W511" s="2">
        <f>IF(Table1[[#This Row],[Total Shipping]]&gt;0.1,0.2,0)</f>
        <v>0.2</v>
      </c>
      <c r="X511" s="4">
        <f>Table1[[#This Row],[Total Shipping]]*Table1[[#This Row],[VAT on Shipping]]</f>
        <v>180</v>
      </c>
      <c r="Y511" s="1">
        <f>Table1[[#This Row],[Revenue]]-Table1[[#This Row],[COGS]]</f>
        <v>1755</v>
      </c>
      <c r="Z511" s="3">
        <f>(Table1[[#This Row],[Profit]]/Table1[[#This Row],[Revenue]])</f>
        <v>0.24528301886792453</v>
      </c>
      <c r="AA511" s="1">
        <f>Table1[[#This Row],[Profit]]-Table1[[#This Row],[Total Shipping]]</f>
        <v>855</v>
      </c>
      <c r="AB511" s="3">
        <f>Table1[[#This Row],[Operating Profit]]/Table1[[#This Row],[Revenue]]</f>
        <v>0.11949685534591195</v>
      </c>
    </row>
    <row r="512" spans="1:28" x14ac:dyDescent="0.25">
      <c r="A512" t="s">
        <v>262</v>
      </c>
      <c r="B512">
        <v>100</v>
      </c>
      <c r="C512" t="s">
        <v>83</v>
      </c>
      <c r="D512" t="s">
        <v>39</v>
      </c>
      <c r="E512" t="s">
        <v>40</v>
      </c>
      <c r="F512" t="s">
        <v>84</v>
      </c>
      <c r="G512" t="str" cm="1">
        <f t="array" ref="G512">_xlfn.SWITCH(F512,"Acme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512" t="s">
        <v>58</v>
      </c>
      <c r="I512" t="s">
        <v>55</v>
      </c>
      <c r="J512" t="str" cm="1">
        <f t="array" ref="J512">_xlfn.SWITCH(I512,"P001","Laptop","P002","Server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12" s="1" cm="1">
        <f t="array" ref="K512">_xlfn.SWITCH(Table1[[#This Row],[Product ID]],"P001",220,"P002",150,"P003",130,"P004",70,"P005",200,"P006",40,"P007",25,"P008",20,"P009",190,"P010",530)</f>
        <v>70</v>
      </c>
      <c r="L512">
        <v>5</v>
      </c>
      <c r="M512" s="1">
        <f>Table1[[#This Row],[Unit Price]]*Table1[[#This Row],[Quantity]]</f>
        <v>350</v>
      </c>
      <c r="N512" s="2">
        <v>0.1</v>
      </c>
      <c r="O512" s="1">
        <f>Table1[[#This Row],[Gross Value]]*(1-Table1[[#This Row],[Discount]])</f>
        <v>315</v>
      </c>
      <c r="P512" s="2">
        <v>0.2</v>
      </c>
      <c r="Q512" s="1">
        <f>Table1[[#This Row],[Revenue]]*Table1[[#This Row],[VAT Rate]]</f>
        <v>63</v>
      </c>
      <c r="R512" s="1">
        <f>Table1[[#This Row],[Revenue]]+Table1[[#This Row],[VAT Charged]]</f>
        <v>378</v>
      </c>
      <c r="S512" s="1" cm="1">
        <f t="array" ref="S512">_xlfn.SWITCH(Table1[[#This Row],[Product ID]],"P001",140,"P002",80,"P003",72,"P004",30,"P005",110,"P006",24,"P007",14,"P008",12,"P009",115,"P010",360)</f>
        <v>30</v>
      </c>
      <c r="T512" s="1" cm="1">
        <f t="array" ref="T512">(_xlfn.SWITCH(Table1[[#This Row],[Product ID]],"P001",140,"P002",80,"P003",72,"P004",30,"P005",110,"P006",24,"P007",14,"P008",12,"P009",115,"P010",360))*Table1[[#This Row],[Quantity]]</f>
        <v>150</v>
      </c>
      <c r="U512" s="1" cm="1">
        <f t="array" ref="U512">_xlfn.SWITCH(Table1[[#This Row],[Product ID]],"P001",15,"P002",0,"P003",8,"P004",8,"P005",0,"P006",7,"P007",7,"P008",6,"P009",45,"P010",60)</f>
        <v>8</v>
      </c>
      <c r="V512" s="1">
        <f>Table1[[#This Row],[Shipping per Unit]]*Table1[[#This Row],[Quantity]]</f>
        <v>40</v>
      </c>
      <c r="W512" s="2">
        <f>IF(Table1[[#This Row],[Total Shipping]]&gt;0.1,0.2,0)</f>
        <v>0.2</v>
      </c>
      <c r="X512" s="4">
        <f>Table1[[#This Row],[Total Shipping]]*Table1[[#This Row],[VAT on Shipping]]</f>
        <v>8</v>
      </c>
      <c r="Y512" s="1">
        <f>Table1[[#This Row],[Revenue]]-Table1[[#This Row],[COGS]]</f>
        <v>165</v>
      </c>
      <c r="Z512" s="3">
        <f>(Table1[[#This Row],[Profit]]/Table1[[#This Row],[Revenue]])</f>
        <v>0.52380952380952384</v>
      </c>
      <c r="AA512" s="1">
        <f>Table1[[#This Row],[Profit]]-Table1[[#This Row],[Total Shipping]]</f>
        <v>125</v>
      </c>
      <c r="AB512" s="3">
        <f>Table1[[#This Row],[Operating Profit]]/Table1[[#This Row],[Revenue]]</f>
        <v>0.3968253968253968</v>
      </c>
    </row>
    <row r="513" spans="1:28" x14ac:dyDescent="0.25">
      <c r="A513" t="s">
        <v>262</v>
      </c>
      <c r="B513">
        <v>711</v>
      </c>
      <c r="C513" t="s">
        <v>38</v>
      </c>
      <c r="D513" t="s">
        <v>67</v>
      </c>
      <c r="E513" t="s">
        <v>40</v>
      </c>
      <c r="F513" t="s">
        <v>86</v>
      </c>
      <c r="G513" t="str" cm="1">
        <f t="array" ref="G513">_xlfn.SWITCH(F513,"Acme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513" t="s">
        <v>58</v>
      </c>
      <c r="I513" t="s">
        <v>91</v>
      </c>
      <c r="J513" t="str" cm="1">
        <f t="array" ref="J513">_xlfn.SWITCH(I513,"P001","Laptop","P002","Server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513" s="1" cm="1">
        <f t="array" ref="K513">_xlfn.SWITCH(Table1[[#This Row],[Product ID]],"P001",220,"P002",150,"P003",130,"P004",70,"P005",200,"P006",40,"P007",25,"P008",20,"P009",190,"P010",530)</f>
        <v>190</v>
      </c>
      <c r="L513">
        <v>11</v>
      </c>
      <c r="M513" s="1">
        <f>Table1[[#This Row],[Unit Price]]*Table1[[#This Row],[Quantity]]</f>
        <v>2090</v>
      </c>
      <c r="N513" s="2">
        <v>0.06</v>
      </c>
      <c r="O513" s="1">
        <f>Table1[[#This Row],[Gross Value]]*(1-Table1[[#This Row],[Discount]])</f>
        <v>1964.6</v>
      </c>
      <c r="P513" s="2">
        <v>0.2</v>
      </c>
      <c r="Q513" s="1">
        <f>Table1[[#This Row],[Revenue]]*Table1[[#This Row],[VAT Rate]]</f>
        <v>392.92</v>
      </c>
      <c r="R513" s="1">
        <f>Table1[[#This Row],[Revenue]]+Table1[[#This Row],[VAT Charged]]</f>
        <v>2357.52</v>
      </c>
      <c r="S513" s="1" cm="1">
        <f t="array" ref="S513">_xlfn.SWITCH(Table1[[#This Row],[Product ID]],"P001",140,"P002",80,"P003",72,"P004",30,"P005",110,"P006",24,"P007",14,"P008",12,"P009",115,"P010",360)</f>
        <v>115</v>
      </c>
      <c r="T513" s="1" cm="1">
        <f t="array" ref="T513">(_xlfn.SWITCH(Table1[[#This Row],[Product ID]],"P001",140,"P002",80,"P003",72,"P004",30,"P005",110,"P006",24,"P007",14,"P008",12,"P009",115,"P010",360))*Table1[[#This Row],[Quantity]]</f>
        <v>1265</v>
      </c>
      <c r="U513" s="1" cm="1">
        <f t="array" ref="U513">_xlfn.SWITCH(Table1[[#This Row],[Product ID]],"P001",15,"P002",0,"P003",8,"P004",8,"P005",0,"P006",7,"P007",7,"P008",6,"P009",45,"P010",60)</f>
        <v>45</v>
      </c>
      <c r="V513" s="1">
        <f>Table1[[#This Row],[Shipping per Unit]]*Table1[[#This Row],[Quantity]]</f>
        <v>495</v>
      </c>
      <c r="W513" s="2">
        <f>IF(Table1[[#This Row],[Total Shipping]]&gt;0.1,0.2,0)</f>
        <v>0.2</v>
      </c>
      <c r="X513" s="4">
        <f>Table1[[#This Row],[Total Shipping]]*Table1[[#This Row],[VAT on Shipping]]</f>
        <v>99</v>
      </c>
      <c r="Y513" s="1">
        <f>Table1[[#This Row],[Revenue]]-Table1[[#This Row],[COGS]]</f>
        <v>699.59999999999991</v>
      </c>
      <c r="Z513" s="3">
        <f>(Table1[[#This Row],[Profit]]/Table1[[#This Row],[Revenue]])</f>
        <v>0.35610302351623735</v>
      </c>
      <c r="AA513" s="1">
        <f>Table1[[#This Row],[Profit]]-Table1[[#This Row],[Total Shipping]]</f>
        <v>204.59999999999991</v>
      </c>
      <c r="AB513" s="3">
        <f>Table1[[#This Row],[Operating Profit]]/Table1[[#This Row],[Revenue]]</f>
        <v>0.10414333706606939</v>
      </c>
    </row>
    <row r="514" spans="1:28" x14ac:dyDescent="0.25">
      <c r="A514" t="s">
        <v>263</v>
      </c>
      <c r="B514">
        <v>25</v>
      </c>
      <c r="C514" t="s">
        <v>71</v>
      </c>
      <c r="D514" t="s">
        <v>53</v>
      </c>
      <c r="E514" t="s">
        <v>31</v>
      </c>
      <c r="F514" t="s">
        <v>126</v>
      </c>
      <c r="G514" t="str" cm="1">
        <f t="array" ref="G514">_xlfn.SWITCH(F514,"Acme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514" t="s">
        <v>58</v>
      </c>
      <c r="I514" t="s">
        <v>52</v>
      </c>
      <c r="J514" t="str" cm="1">
        <f t="array" ref="J514">_xlfn.SWITCH(I514,"P001","Laptop","P002","Server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14" s="1" cm="1">
        <f t="array" ref="K514">_xlfn.SWITCH(Table1[[#This Row],[Product ID]],"P001",220,"P002",150,"P003",130,"P004",70,"P005",200,"P006",40,"P007",25,"P008",20,"P009",190,"P010",530)</f>
        <v>130</v>
      </c>
      <c r="L514">
        <v>12</v>
      </c>
      <c r="M514" s="1">
        <f>Table1[[#This Row],[Unit Price]]*Table1[[#This Row],[Quantity]]</f>
        <v>1560</v>
      </c>
      <c r="N514" s="2">
        <v>0.1</v>
      </c>
      <c r="O514" s="1">
        <f>Table1[[#This Row],[Gross Value]]*(1-Table1[[#This Row],[Discount]])</f>
        <v>1404</v>
      </c>
      <c r="P514" s="2">
        <v>0.2</v>
      </c>
      <c r="Q514" s="1">
        <f>Table1[[#This Row],[Revenue]]*Table1[[#This Row],[VAT Rate]]</f>
        <v>280.8</v>
      </c>
      <c r="R514" s="1">
        <f>Table1[[#This Row],[Revenue]]+Table1[[#This Row],[VAT Charged]]</f>
        <v>1684.8</v>
      </c>
      <c r="S514" s="1" cm="1">
        <f t="array" ref="S514">_xlfn.SWITCH(Table1[[#This Row],[Product ID]],"P001",140,"P002",80,"P003",72,"P004",30,"P005",110,"P006",24,"P007",14,"P008",12,"P009",115,"P010",360)</f>
        <v>72</v>
      </c>
      <c r="T514" s="1" cm="1">
        <f t="array" ref="T514">(_xlfn.SWITCH(Table1[[#This Row],[Product ID]],"P001",140,"P002",80,"P003",72,"P004",30,"P005",110,"P006",24,"P007",14,"P008",12,"P009",115,"P010",360))*Table1[[#This Row],[Quantity]]</f>
        <v>864</v>
      </c>
      <c r="U514" s="1" cm="1">
        <f t="array" ref="U514">_xlfn.SWITCH(Table1[[#This Row],[Product ID]],"P001",15,"P002",0,"P003",8,"P004",8,"P005",0,"P006",7,"P007",7,"P008",6,"P009",45,"P010",60)</f>
        <v>8</v>
      </c>
      <c r="V514" s="1">
        <f>Table1[[#This Row],[Shipping per Unit]]*Table1[[#This Row],[Quantity]]</f>
        <v>96</v>
      </c>
      <c r="W514" s="2">
        <f>IF(Table1[[#This Row],[Total Shipping]]&gt;0.1,0.2,0)</f>
        <v>0.2</v>
      </c>
      <c r="X514" s="4">
        <f>Table1[[#This Row],[Total Shipping]]*Table1[[#This Row],[VAT on Shipping]]</f>
        <v>19.200000000000003</v>
      </c>
      <c r="Y514" s="1">
        <f>Table1[[#This Row],[Revenue]]-Table1[[#This Row],[COGS]]</f>
        <v>540</v>
      </c>
      <c r="Z514" s="3">
        <f>(Table1[[#This Row],[Profit]]/Table1[[#This Row],[Revenue]])</f>
        <v>0.38461538461538464</v>
      </c>
      <c r="AA514" s="1">
        <f>Table1[[#This Row],[Profit]]-Table1[[#This Row],[Total Shipping]]</f>
        <v>444</v>
      </c>
      <c r="AB514" s="3">
        <f>Table1[[#This Row],[Operating Profit]]/Table1[[#This Row],[Revenue]]</f>
        <v>0.31623931623931623</v>
      </c>
    </row>
    <row r="515" spans="1:28" x14ac:dyDescent="0.25">
      <c r="A515" t="s">
        <v>263</v>
      </c>
      <c r="B515">
        <v>200</v>
      </c>
      <c r="C515" t="s">
        <v>62</v>
      </c>
      <c r="D515" t="s">
        <v>57</v>
      </c>
      <c r="E515" t="s">
        <v>49</v>
      </c>
      <c r="F515" t="s">
        <v>37</v>
      </c>
      <c r="G515" t="str" cm="1">
        <f t="array" ref="G515">_xlfn.SWITCH(F515,"Acme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515" t="s">
        <v>45</v>
      </c>
      <c r="I515" t="s">
        <v>52</v>
      </c>
      <c r="J515" t="str" cm="1">
        <f t="array" ref="J515">_xlfn.SWITCH(I515,"P001","Laptop","P002","Server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15" s="1" cm="1">
        <f t="array" ref="K515">_xlfn.SWITCH(Table1[[#This Row],[Product ID]],"P001",220,"P002",150,"P003",130,"P004",70,"P005",200,"P006",40,"P007",25,"P008",20,"P009",190,"P010",530)</f>
        <v>130</v>
      </c>
      <c r="L515">
        <v>10</v>
      </c>
      <c r="M515" s="1">
        <f>Table1[[#This Row],[Unit Price]]*Table1[[#This Row],[Quantity]]</f>
        <v>1300</v>
      </c>
      <c r="N515" s="2">
        <v>0.05</v>
      </c>
      <c r="O515" s="1">
        <f>Table1[[#This Row],[Gross Value]]*(1-Table1[[#This Row],[Discount]])</f>
        <v>1235</v>
      </c>
      <c r="P515" s="2">
        <v>0.2</v>
      </c>
      <c r="Q515" s="1">
        <f>Table1[[#This Row],[Revenue]]*Table1[[#This Row],[VAT Rate]]</f>
        <v>247</v>
      </c>
      <c r="R515" s="1">
        <f>Table1[[#This Row],[Revenue]]+Table1[[#This Row],[VAT Charged]]</f>
        <v>1482</v>
      </c>
      <c r="S515" s="1" cm="1">
        <f t="array" ref="S515">_xlfn.SWITCH(Table1[[#This Row],[Product ID]],"P001",140,"P002",80,"P003",72,"P004",30,"P005",110,"P006",24,"P007",14,"P008",12,"P009",115,"P010",360)</f>
        <v>72</v>
      </c>
      <c r="T515" s="1" cm="1">
        <f t="array" ref="T515">(_xlfn.SWITCH(Table1[[#This Row],[Product ID]],"P001",140,"P002",80,"P003",72,"P004",30,"P005",110,"P006",24,"P007",14,"P008",12,"P009",115,"P010",360))*Table1[[#This Row],[Quantity]]</f>
        <v>720</v>
      </c>
      <c r="U515" s="1" cm="1">
        <f t="array" ref="U515">_xlfn.SWITCH(Table1[[#This Row],[Product ID]],"P001",15,"P002",0,"P003",8,"P004",8,"P005",0,"P006",7,"P007",7,"P008",6,"P009",45,"P010",60)</f>
        <v>8</v>
      </c>
      <c r="V515" s="1">
        <f>Table1[[#This Row],[Shipping per Unit]]*Table1[[#This Row],[Quantity]]</f>
        <v>80</v>
      </c>
      <c r="W515" s="2">
        <f>IF(Table1[[#This Row],[Total Shipping]]&gt;0.1,0.2,0)</f>
        <v>0.2</v>
      </c>
      <c r="X515" s="4">
        <f>Table1[[#This Row],[Total Shipping]]*Table1[[#This Row],[VAT on Shipping]]</f>
        <v>16</v>
      </c>
      <c r="Y515" s="1">
        <f>Table1[[#This Row],[Revenue]]-Table1[[#This Row],[COGS]]</f>
        <v>515</v>
      </c>
      <c r="Z515" s="3">
        <f>(Table1[[#This Row],[Profit]]/Table1[[#This Row],[Revenue]])</f>
        <v>0.41700404858299595</v>
      </c>
      <c r="AA515" s="1">
        <f>Table1[[#This Row],[Profit]]-Table1[[#This Row],[Total Shipping]]</f>
        <v>435</v>
      </c>
      <c r="AB515" s="3">
        <f>Table1[[#This Row],[Operating Profit]]/Table1[[#This Row],[Revenue]]</f>
        <v>0.35222672064777327</v>
      </c>
    </row>
    <row r="516" spans="1:28" x14ac:dyDescent="0.25">
      <c r="A516" t="s">
        <v>263</v>
      </c>
      <c r="B516">
        <v>825</v>
      </c>
      <c r="C516" t="s">
        <v>29</v>
      </c>
      <c r="D516" t="s">
        <v>63</v>
      </c>
      <c r="E516" t="s">
        <v>40</v>
      </c>
      <c r="F516" t="s">
        <v>54</v>
      </c>
      <c r="G516" t="str" cm="1">
        <f t="array" ref="G516">_xlfn.SWITCH(F516,"Acme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516" t="s">
        <v>33</v>
      </c>
      <c r="I516" t="s">
        <v>42</v>
      </c>
      <c r="J516" t="str" cm="1">
        <f t="array" ref="J516">_xlfn.SWITCH(I516,"P001","Laptop","P002","Server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16" s="1" cm="1">
        <f t="array" ref="K516">_xlfn.SWITCH(Table1[[#This Row],[Product ID]],"P001",220,"P002",150,"P003",130,"P004",70,"P005",200,"P006",40,"P007",25,"P008",20,"P009",190,"P010",530)</f>
        <v>40</v>
      </c>
      <c r="L516">
        <v>11</v>
      </c>
      <c r="M516" s="1">
        <f>Table1[[#This Row],[Unit Price]]*Table1[[#This Row],[Quantity]]</f>
        <v>440</v>
      </c>
      <c r="N516" s="2">
        <v>0.06</v>
      </c>
      <c r="O516" s="1">
        <f>Table1[[#This Row],[Gross Value]]*(1-Table1[[#This Row],[Discount]])</f>
        <v>413.59999999999997</v>
      </c>
      <c r="P516" s="2">
        <v>0.2</v>
      </c>
      <c r="Q516" s="1">
        <f>Table1[[#This Row],[Revenue]]*Table1[[#This Row],[VAT Rate]]</f>
        <v>82.72</v>
      </c>
      <c r="R516" s="1">
        <f>Table1[[#This Row],[Revenue]]+Table1[[#This Row],[VAT Charged]]</f>
        <v>496.31999999999994</v>
      </c>
      <c r="S516" s="1" cm="1">
        <f t="array" ref="S516">_xlfn.SWITCH(Table1[[#This Row],[Product ID]],"P001",140,"P002",80,"P003",72,"P004",30,"P005",110,"P006",24,"P007",14,"P008",12,"P009",115,"P010",360)</f>
        <v>24</v>
      </c>
      <c r="T516" s="1" cm="1">
        <f t="array" ref="T516">(_xlfn.SWITCH(Table1[[#This Row],[Product ID]],"P001",140,"P002",80,"P003",72,"P004",30,"P005",110,"P006",24,"P007",14,"P008",12,"P009",115,"P010",360))*Table1[[#This Row],[Quantity]]</f>
        <v>264</v>
      </c>
      <c r="U516" s="1" cm="1">
        <f t="array" ref="U516">_xlfn.SWITCH(Table1[[#This Row],[Product ID]],"P001",15,"P002",0,"P003",8,"P004",8,"P005",0,"P006",7,"P007",7,"P008",6,"P009",45,"P010",60)</f>
        <v>7</v>
      </c>
      <c r="V516" s="1">
        <f>Table1[[#This Row],[Shipping per Unit]]*Table1[[#This Row],[Quantity]]</f>
        <v>77</v>
      </c>
      <c r="W516" s="2">
        <f>IF(Table1[[#This Row],[Total Shipping]]&gt;0.1,0.2,0)</f>
        <v>0.2</v>
      </c>
      <c r="X516" s="4">
        <f>Table1[[#This Row],[Total Shipping]]*Table1[[#This Row],[VAT on Shipping]]</f>
        <v>15.4</v>
      </c>
      <c r="Y516" s="1">
        <f>Table1[[#This Row],[Revenue]]-Table1[[#This Row],[COGS]]</f>
        <v>149.59999999999997</v>
      </c>
      <c r="Z516" s="3">
        <f>(Table1[[#This Row],[Profit]]/Table1[[#This Row],[Revenue]])</f>
        <v>0.36170212765957444</v>
      </c>
      <c r="AA516" s="1">
        <f>Table1[[#This Row],[Profit]]-Table1[[#This Row],[Total Shipping]]</f>
        <v>72.599999999999966</v>
      </c>
      <c r="AB516" s="3">
        <f>Table1[[#This Row],[Operating Profit]]/Table1[[#This Row],[Revenue]]</f>
        <v>0.17553191489361694</v>
      </c>
    </row>
    <row r="517" spans="1:28" x14ac:dyDescent="0.25">
      <c r="A517" t="s">
        <v>264</v>
      </c>
      <c r="B517">
        <v>84</v>
      </c>
      <c r="C517" t="s">
        <v>56</v>
      </c>
      <c r="D517" t="s">
        <v>36</v>
      </c>
      <c r="E517" t="s">
        <v>31</v>
      </c>
      <c r="F517" t="s">
        <v>66</v>
      </c>
      <c r="G517" t="str" cm="1">
        <f t="array" ref="G517">_xlfn.SWITCH(F517,"Acme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517" t="s">
        <v>33</v>
      </c>
      <c r="I517" t="s">
        <v>52</v>
      </c>
      <c r="J517" t="str" cm="1">
        <f t="array" ref="J517">_xlfn.SWITCH(I517,"P001","Laptop","P002","Server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17" s="1" cm="1">
        <f t="array" ref="K517">_xlfn.SWITCH(Table1[[#This Row],[Product ID]],"P001",220,"P002",150,"P003",130,"P004",70,"P005",200,"P006",40,"P007",25,"P008",20,"P009",190,"P010",530)</f>
        <v>130</v>
      </c>
      <c r="L517">
        <v>8</v>
      </c>
      <c r="M517" s="1">
        <f>Table1[[#This Row],[Unit Price]]*Table1[[#This Row],[Quantity]]</f>
        <v>1040</v>
      </c>
      <c r="N517" s="2">
        <v>0.04</v>
      </c>
      <c r="O517" s="1">
        <f>Table1[[#This Row],[Gross Value]]*(1-Table1[[#This Row],[Discount]])</f>
        <v>998.4</v>
      </c>
      <c r="P517" s="2">
        <v>0.2</v>
      </c>
      <c r="Q517" s="1">
        <f>Table1[[#This Row],[Revenue]]*Table1[[#This Row],[VAT Rate]]</f>
        <v>199.68</v>
      </c>
      <c r="R517" s="1">
        <f>Table1[[#This Row],[Revenue]]+Table1[[#This Row],[VAT Charged]]</f>
        <v>1198.08</v>
      </c>
      <c r="S517" s="1" cm="1">
        <f t="array" ref="S517">_xlfn.SWITCH(Table1[[#This Row],[Product ID]],"P001",140,"P002",80,"P003",72,"P004",30,"P005",110,"P006",24,"P007",14,"P008",12,"P009",115,"P010",360)</f>
        <v>72</v>
      </c>
      <c r="T517" s="1" cm="1">
        <f t="array" ref="T517">(_xlfn.SWITCH(Table1[[#This Row],[Product ID]],"P001",140,"P002",80,"P003",72,"P004",30,"P005",110,"P006",24,"P007",14,"P008",12,"P009",115,"P010",360))*Table1[[#This Row],[Quantity]]</f>
        <v>576</v>
      </c>
      <c r="U517" s="1" cm="1">
        <f t="array" ref="U517">_xlfn.SWITCH(Table1[[#This Row],[Product ID]],"P001",15,"P002",0,"P003",8,"P004",8,"P005",0,"P006",7,"P007",7,"P008",6,"P009",45,"P010",60)</f>
        <v>8</v>
      </c>
      <c r="V517" s="1">
        <f>Table1[[#This Row],[Shipping per Unit]]*Table1[[#This Row],[Quantity]]</f>
        <v>64</v>
      </c>
      <c r="W517" s="2">
        <f>IF(Table1[[#This Row],[Total Shipping]]&gt;0.1,0.2,0)</f>
        <v>0.2</v>
      </c>
      <c r="X517" s="4">
        <f>Table1[[#This Row],[Total Shipping]]*Table1[[#This Row],[VAT on Shipping]]</f>
        <v>12.8</v>
      </c>
      <c r="Y517" s="1">
        <f>Table1[[#This Row],[Revenue]]-Table1[[#This Row],[COGS]]</f>
        <v>422.4</v>
      </c>
      <c r="Z517" s="3">
        <f>(Table1[[#This Row],[Profit]]/Table1[[#This Row],[Revenue]])</f>
        <v>0.42307692307692307</v>
      </c>
      <c r="AA517" s="1">
        <f>Table1[[#This Row],[Profit]]-Table1[[#This Row],[Total Shipping]]</f>
        <v>358.4</v>
      </c>
      <c r="AB517" s="3">
        <f>Table1[[#This Row],[Operating Profit]]/Table1[[#This Row],[Revenue]]</f>
        <v>0.35897435897435898</v>
      </c>
    </row>
    <row r="518" spans="1:28" x14ac:dyDescent="0.25">
      <c r="A518" t="s">
        <v>264</v>
      </c>
      <c r="B518">
        <v>144</v>
      </c>
      <c r="C518" t="s">
        <v>83</v>
      </c>
      <c r="D518" t="s">
        <v>39</v>
      </c>
      <c r="E518" t="s">
        <v>31</v>
      </c>
      <c r="F518" t="s">
        <v>50</v>
      </c>
      <c r="G518" t="str" cm="1">
        <f t="array" ref="G518">_xlfn.SWITCH(F518,"Acme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518" t="s">
        <v>33</v>
      </c>
      <c r="I518" t="s">
        <v>60</v>
      </c>
      <c r="J518" t="str" cm="1">
        <f t="array" ref="J518">_xlfn.SWITCH(I518,"P001","Laptop","P002","Server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518" s="1" cm="1">
        <f t="array" ref="K518">_xlfn.SWITCH(Table1[[#This Row],[Product ID]],"P001",220,"P002",150,"P003",130,"P004",70,"P005",200,"P006",40,"P007",25,"P008",20,"P009",190,"P010",530)</f>
        <v>25</v>
      </c>
      <c r="L518">
        <v>9</v>
      </c>
      <c r="M518" s="1">
        <f>Table1[[#This Row],[Unit Price]]*Table1[[#This Row],[Quantity]]</f>
        <v>225</v>
      </c>
      <c r="N518" s="2">
        <v>0.05</v>
      </c>
      <c r="O518" s="1">
        <f>Table1[[#This Row],[Gross Value]]*(1-Table1[[#This Row],[Discount]])</f>
        <v>213.75</v>
      </c>
      <c r="P518" s="2">
        <v>0.2</v>
      </c>
      <c r="Q518" s="1">
        <f>Table1[[#This Row],[Revenue]]*Table1[[#This Row],[VAT Rate]]</f>
        <v>42.75</v>
      </c>
      <c r="R518" s="1">
        <f>Table1[[#This Row],[Revenue]]+Table1[[#This Row],[VAT Charged]]</f>
        <v>256.5</v>
      </c>
      <c r="S518" s="1" cm="1">
        <f t="array" ref="S518">_xlfn.SWITCH(Table1[[#This Row],[Product ID]],"P001",140,"P002",80,"P003",72,"P004",30,"P005",110,"P006",24,"P007",14,"P008",12,"P009",115,"P010",360)</f>
        <v>14</v>
      </c>
      <c r="T518" s="1" cm="1">
        <f t="array" ref="T518">(_xlfn.SWITCH(Table1[[#This Row],[Product ID]],"P001",140,"P002",80,"P003",72,"P004",30,"P005",110,"P006",24,"P007",14,"P008",12,"P009",115,"P010",360))*Table1[[#This Row],[Quantity]]</f>
        <v>126</v>
      </c>
      <c r="U518" s="1" cm="1">
        <f t="array" ref="U518">_xlfn.SWITCH(Table1[[#This Row],[Product ID]],"P001",15,"P002",0,"P003",8,"P004",8,"P005",0,"P006",7,"P007",7,"P008",6,"P009",45,"P010",60)</f>
        <v>7</v>
      </c>
      <c r="V518" s="1">
        <f>Table1[[#This Row],[Shipping per Unit]]*Table1[[#This Row],[Quantity]]</f>
        <v>63</v>
      </c>
      <c r="W518" s="2">
        <f>IF(Table1[[#This Row],[Total Shipping]]&gt;0.1,0.2,0)</f>
        <v>0.2</v>
      </c>
      <c r="X518" s="4">
        <f>Table1[[#This Row],[Total Shipping]]*Table1[[#This Row],[VAT on Shipping]]</f>
        <v>12.600000000000001</v>
      </c>
      <c r="Y518" s="1">
        <f>Table1[[#This Row],[Revenue]]-Table1[[#This Row],[COGS]]</f>
        <v>87.75</v>
      </c>
      <c r="Z518" s="3">
        <f>(Table1[[#This Row],[Profit]]/Table1[[#This Row],[Revenue]])</f>
        <v>0.41052631578947368</v>
      </c>
      <c r="AA518" s="1">
        <f>Table1[[#This Row],[Profit]]-Table1[[#This Row],[Total Shipping]]</f>
        <v>24.75</v>
      </c>
      <c r="AB518" s="3">
        <f>Table1[[#This Row],[Operating Profit]]/Table1[[#This Row],[Revenue]]</f>
        <v>0.11578947368421053</v>
      </c>
    </row>
    <row r="519" spans="1:28" x14ac:dyDescent="0.25">
      <c r="A519" t="s">
        <v>264</v>
      </c>
      <c r="B519">
        <v>527</v>
      </c>
      <c r="C519" t="s">
        <v>71</v>
      </c>
      <c r="D519" t="s">
        <v>72</v>
      </c>
      <c r="E519" t="s">
        <v>40</v>
      </c>
      <c r="F519" t="s">
        <v>102</v>
      </c>
      <c r="G519" t="str" cm="1">
        <f t="array" ref="G519">_xlfn.SWITCH(F519,"Acme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519" t="s">
        <v>58</v>
      </c>
      <c r="I519" t="s">
        <v>52</v>
      </c>
      <c r="J519" t="str" cm="1">
        <f t="array" ref="J519">_xlfn.SWITCH(I519,"P001","Laptop","P002","Server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19" s="1" cm="1">
        <f t="array" ref="K519">_xlfn.SWITCH(Table1[[#This Row],[Product ID]],"P001",220,"P002",150,"P003",130,"P004",70,"P005",200,"P006",40,"P007",25,"P008",20,"P009",190,"P010",530)</f>
        <v>130</v>
      </c>
      <c r="L519">
        <v>18</v>
      </c>
      <c r="M519" s="1">
        <f>Table1[[#This Row],[Unit Price]]*Table1[[#This Row],[Quantity]]</f>
        <v>2340</v>
      </c>
      <c r="N519" s="2">
        <v>7.0000000000000007E-2</v>
      </c>
      <c r="O519" s="1">
        <f>Table1[[#This Row],[Gross Value]]*(1-Table1[[#This Row],[Discount]])</f>
        <v>2176.1999999999998</v>
      </c>
      <c r="P519" s="2">
        <v>0.2</v>
      </c>
      <c r="Q519" s="1">
        <f>Table1[[#This Row],[Revenue]]*Table1[[#This Row],[VAT Rate]]</f>
        <v>435.24</v>
      </c>
      <c r="R519" s="1">
        <f>Table1[[#This Row],[Revenue]]+Table1[[#This Row],[VAT Charged]]</f>
        <v>2611.4399999999996</v>
      </c>
      <c r="S519" s="1" cm="1">
        <f t="array" ref="S519">_xlfn.SWITCH(Table1[[#This Row],[Product ID]],"P001",140,"P002",80,"P003",72,"P004",30,"P005",110,"P006",24,"P007",14,"P008",12,"P009",115,"P010",360)</f>
        <v>72</v>
      </c>
      <c r="T519" s="1" cm="1">
        <f t="array" ref="T519">(_xlfn.SWITCH(Table1[[#This Row],[Product ID]],"P001",140,"P002",80,"P003",72,"P004",30,"P005",110,"P006",24,"P007",14,"P008",12,"P009",115,"P010",360))*Table1[[#This Row],[Quantity]]</f>
        <v>1296</v>
      </c>
      <c r="U519" s="1" cm="1">
        <f t="array" ref="U519">_xlfn.SWITCH(Table1[[#This Row],[Product ID]],"P001",15,"P002",0,"P003",8,"P004",8,"P005",0,"P006",7,"P007",7,"P008",6,"P009",45,"P010",60)</f>
        <v>8</v>
      </c>
      <c r="V519" s="1">
        <f>Table1[[#This Row],[Shipping per Unit]]*Table1[[#This Row],[Quantity]]</f>
        <v>144</v>
      </c>
      <c r="W519" s="2">
        <f>IF(Table1[[#This Row],[Total Shipping]]&gt;0.1,0.2,0)</f>
        <v>0.2</v>
      </c>
      <c r="X519" s="4">
        <f>Table1[[#This Row],[Total Shipping]]*Table1[[#This Row],[VAT on Shipping]]</f>
        <v>28.8</v>
      </c>
      <c r="Y519" s="1">
        <f>Table1[[#This Row],[Revenue]]-Table1[[#This Row],[COGS]]</f>
        <v>880.19999999999982</v>
      </c>
      <c r="Z519" s="3">
        <f>(Table1[[#This Row],[Profit]]/Table1[[#This Row],[Revenue]])</f>
        <v>0.40446650124069472</v>
      </c>
      <c r="AA519" s="1">
        <f>Table1[[#This Row],[Profit]]-Table1[[#This Row],[Total Shipping]]</f>
        <v>736.19999999999982</v>
      </c>
      <c r="AB519" s="3">
        <f>Table1[[#This Row],[Operating Profit]]/Table1[[#This Row],[Revenue]]</f>
        <v>0.33829611248966079</v>
      </c>
    </row>
    <row r="520" spans="1:28" x14ac:dyDescent="0.25">
      <c r="A520" t="s">
        <v>264</v>
      </c>
      <c r="B520">
        <v>550</v>
      </c>
      <c r="C520" t="s">
        <v>83</v>
      </c>
      <c r="D520" t="s">
        <v>95</v>
      </c>
      <c r="E520" t="s">
        <v>49</v>
      </c>
      <c r="F520" t="s">
        <v>90</v>
      </c>
      <c r="G520" t="str" cm="1">
        <f t="array" ref="G520">_xlfn.SWITCH(F520,"Acme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520" t="s">
        <v>45</v>
      </c>
      <c r="I520" t="s">
        <v>60</v>
      </c>
      <c r="J520" t="str" cm="1">
        <f t="array" ref="J520">_xlfn.SWITCH(I520,"P001","Laptop","P002","Server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520" s="1" cm="1">
        <f t="array" ref="K520">_xlfn.SWITCH(Table1[[#This Row],[Product ID]],"P001",220,"P002",150,"P003",130,"P004",70,"P005",200,"P006",40,"P007",25,"P008",20,"P009",190,"P010",530)</f>
        <v>25</v>
      </c>
      <c r="L520">
        <v>16</v>
      </c>
      <c r="M520" s="1">
        <f>Table1[[#This Row],[Unit Price]]*Table1[[#This Row],[Quantity]]</f>
        <v>400</v>
      </c>
      <c r="N520" s="2">
        <v>0.09</v>
      </c>
      <c r="O520" s="1">
        <f>Table1[[#This Row],[Gross Value]]*(1-Table1[[#This Row],[Discount]])</f>
        <v>364</v>
      </c>
      <c r="P520" s="2">
        <v>0.2</v>
      </c>
      <c r="Q520" s="1">
        <f>Table1[[#This Row],[Revenue]]*Table1[[#This Row],[VAT Rate]]</f>
        <v>72.8</v>
      </c>
      <c r="R520" s="1">
        <f>Table1[[#This Row],[Revenue]]+Table1[[#This Row],[VAT Charged]]</f>
        <v>436.8</v>
      </c>
      <c r="S520" s="1" cm="1">
        <f t="array" ref="S520">_xlfn.SWITCH(Table1[[#This Row],[Product ID]],"P001",140,"P002",80,"P003",72,"P004",30,"P005",110,"P006",24,"P007",14,"P008",12,"P009",115,"P010",360)</f>
        <v>14</v>
      </c>
      <c r="T520" s="1" cm="1">
        <f t="array" ref="T520">(_xlfn.SWITCH(Table1[[#This Row],[Product ID]],"P001",140,"P002",80,"P003",72,"P004",30,"P005",110,"P006",24,"P007",14,"P008",12,"P009",115,"P010",360))*Table1[[#This Row],[Quantity]]</f>
        <v>224</v>
      </c>
      <c r="U520" s="1" cm="1">
        <f t="array" ref="U520">_xlfn.SWITCH(Table1[[#This Row],[Product ID]],"P001",15,"P002",0,"P003",8,"P004",8,"P005",0,"P006",7,"P007",7,"P008",6,"P009",45,"P010",60)</f>
        <v>7</v>
      </c>
      <c r="V520" s="1">
        <f>Table1[[#This Row],[Shipping per Unit]]*Table1[[#This Row],[Quantity]]</f>
        <v>112</v>
      </c>
      <c r="W520" s="2">
        <f>IF(Table1[[#This Row],[Total Shipping]]&gt;0.1,0.2,0)</f>
        <v>0.2</v>
      </c>
      <c r="X520" s="4">
        <f>Table1[[#This Row],[Total Shipping]]*Table1[[#This Row],[VAT on Shipping]]</f>
        <v>22.400000000000002</v>
      </c>
      <c r="Y520" s="1">
        <f>Table1[[#This Row],[Revenue]]-Table1[[#This Row],[COGS]]</f>
        <v>140</v>
      </c>
      <c r="Z520" s="3">
        <f>(Table1[[#This Row],[Profit]]/Table1[[#This Row],[Revenue]])</f>
        <v>0.38461538461538464</v>
      </c>
      <c r="AA520" s="1">
        <f>Table1[[#This Row],[Profit]]-Table1[[#This Row],[Total Shipping]]</f>
        <v>28</v>
      </c>
      <c r="AB520" s="3">
        <f>Table1[[#This Row],[Operating Profit]]/Table1[[#This Row],[Revenue]]</f>
        <v>7.6923076923076927E-2</v>
      </c>
    </row>
    <row r="521" spans="1:28" x14ac:dyDescent="0.25">
      <c r="A521" t="s">
        <v>265</v>
      </c>
      <c r="B521">
        <v>728</v>
      </c>
      <c r="C521" t="s">
        <v>35</v>
      </c>
      <c r="D521" t="s">
        <v>39</v>
      </c>
      <c r="E521" t="s">
        <v>40</v>
      </c>
      <c r="F521" t="s">
        <v>54</v>
      </c>
      <c r="G521" t="str" cm="1">
        <f t="array" ref="G521">_xlfn.SWITCH(F521,"Acme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521" t="s">
        <v>33</v>
      </c>
      <c r="I521" t="s">
        <v>55</v>
      </c>
      <c r="J521" t="str" cm="1">
        <f t="array" ref="J521">_xlfn.SWITCH(I521,"P001","Laptop","P002","Server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21" s="1" cm="1">
        <f t="array" ref="K521">_xlfn.SWITCH(Table1[[#This Row],[Product ID]],"P001",220,"P002",150,"P003",130,"P004",70,"P005",200,"P006",40,"P007",25,"P008",20,"P009",190,"P010",530)</f>
        <v>70</v>
      </c>
      <c r="L521">
        <v>16</v>
      </c>
      <c r="M521" s="1">
        <f>Table1[[#This Row],[Unit Price]]*Table1[[#This Row],[Quantity]]</f>
        <v>1120</v>
      </c>
      <c r="N521" s="2">
        <v>7.0000000000000007E-2</v>
      </c>
      <c r="O521" s="1">
        <f>Table1[[#This Row],[Gross Value]]*(1-Table1[[#This Row],[Discount]])</f>
        <v>1041.5999999999999</v>
      </c>
      <c r="P521" s="2">
        <v>0.2</v>
      </c>
      <c r="Q521" s="1">
        <f>Table1[[#This Row],[Revenue]]*Table1[[#This Row],[VAT Rate]]</f>
        <v>208.32</v>
      </c>
      <c r="R521" s="1">
        <f>Table1[[#This Row],[Revenue]]+Table1[[#This Row],[VAT Charged]]</f>
        <v>1249.9199999999998</v>
      </c>
      <c r="S521" s="1" cm="1">
        <f t="array" ref="S521">_xlfn.SWITCH(Table1[[#This Row],[Product ID]],"P001",140,"P002",80,"P003",72,"P004",30,"P005",110,"P006",24,"P007",14,"P008",12,"P009",115,"P010",360)</f>
        <v>30</v>
      </c>
      <c r="T521" s="1" cm="1">
        <f t="array" ref="T521">(_xlfn.SWITCH(Table1[[#This Row],[Product ID]],"P001",140,"P002",80,"P003",72,"P004",30,"P005",110,"P006",24,"P007",14,"P008",12,"P009",115,"P010",360))*Table1[[#This Row],[Quantity]]</f>
        <v>480</v>
      </c>
      <c r="U521" s="1" cm="1">
        <f t="array" ref="U521">_xlfn.SWITCH(Table1[[#This Row],[Product ID]],"P001",15,"P002",0,"P003",8,"P004",8,"P005",0,"P006",7,"P007",7,"P008",6,"P009",45,"P010",60)</f>
        <v>8</v>
      </c>
      <c r="V521" s="1">
        <f>Table1[[#This Row],[Shipping per Unit]]*Table1[[#This Row],[Quantity]]</f>
        <v>128</v>
      </c>
      <c r="W521" s="2">
        <f>IF(Table1[[#This Row],[Total Shipping]]&gt;0.1,0.2,0)</f>
        <v>0.2</v>
      </c>
      <c r="X521" s="4">
        <f>Table1[[#This Row],[Total Shipping]]*Table1[[#This Row],[VAT on Shipping]]</f>
        <v>25.6</v>
      </c>
      <c r="Y521" s="1">
        <f>Table1[[#This Row],[Revenue]]-Table1[[#This Row],[COGS]]</f>
        <v>561.59999999999991</v>
      </c>
      <c r="Z521" s="3">
        <f>(Table1[[#This Row],[Profit]]/Table1[[#This Row],[Revenue]])</f>
        <v>0.53917050691244239</v>
      </c>
      <c r="AA521" s="1">
        <f>Table1[[#This Row],[Profit]]-Table1[[#This Row],[Total Shipping]]</f>
        <v>433.59999999999991</v>
      </c>
      <c r="AB521" s="3">
        <f>Table1[[#This Row],[Operating Profit]]/Table1[[#This Row],[Revenue]]</f>
        <v>0.41628264208909366</v>
      </c>
    </row>
    <row r="522" spans="1:28" x14ac:dyDescent="0.25">
      <c r="A522" t="s">
        <v>265</v>
      </c>
      <c r="B522">
        <v>787</v>
      </c>
      <c r="C522" t="s">
        <v>62</v>
      </c>
      <c r="D522" t="s">
        <v>39</v>
      </c>
      <c r="E522" t="s">
        <v>31</v>
      </c>
      <c r="F522" t="s">
        <v>97</v>
      </c>
      <c r="G522" t="str" cm="1">
        <f t="array" ref="G522">_xlfn.SWITCH(F522,"Acme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522" t="s">
        <v>58</v>
      </c>
      <c r="I522" t="s">
        <v>42</v>
      </c>
      <c r="J522" t="str" cm="1">
        <f t="array" ref="J522">_xlfn.SWITCH(I522,"P001","Laptop","P002","Server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22" s="1" cm="1">
        <f t="array" ref="K522">_xlfn.SWITCH(Table1[[#This Row],[Product ID]],"P001",220,"P002",150,"P003",130,"P004",70,"P005",200,"P006",40,"P007",25,"P008",20,"P009",190,"P010",530)</f>
        <v>40</v>
      </c>
      <c r="L522">
        <v>1</v>
      </c>
      <c r="M522" s="1">
        <f>Table1[[#This Row],[Unit Price]]*Table1[[#This Row],[Quantity]]</f>
        <v>40</v>
      </c>
      <c r="N522" s="2">
        <v>0.01</v>
      </c>
      <c r="O522" s="1">
        <f>Table1[[#This Row],[Gross Value]]*(1-Table1[[#This Row],[Discount]])</f>
        <v>39.6</v>
      </c>
      <c r="P522" s="2">
        <v>0.2</v>
      </c>
      <c r="Q522" s="1">
        <f>Table1[[#This Row],[Revenue]]*Table1[[#This Row],[VAT Rate]]</f>
        <v>7.9200000000000008</v>
      </c>
      <c r="R522" s="1">
        <f>Table1[[#This Row],[Revenue]]+Table1[[#This Row],[VAT Charged]]</f>
        <v>47.52</v>
      </c>
      <c r="S522" s="1" cm="1">
        <f t="array" ref="S522">_xlfn.SWITCH(Table1[[#This Row],[Product ID]],"P001",140,"P002",80,"P003",72,"P004",30,"P005",110,"P006",24,"P007",14,"P008",12,"P009",115,"P010",360)</f>
        <v>24</v>
      </c>
      <c r="T522" s="1" cm="1">
        <f t="array" ref="T522">(_xlfn.SWITCH(Table1[[#This Row],[Product ID]],"P001",140,"P002",80,"P003",72,"P004",30,"P005",110,"P006",24,"P007",14,"P008",12,"P009",115,"P010",360))*Table1[[#This Row],[Quantity]]</f>
        <v>24</v>
      </c>
      <c r="U522" s="1" cm="1">
        <f t="array" ref="U522">_xlfn.SWITCH(Table1[[#This Row],[Product ID]],"P001",15,"P002",0,"P003",8,"P004",8,"P005",0,"P006",7,"P007",7,"P008",6,"P009",45,"P010",60)</f>
        <v>7</v>
      </c>
      <c r="V522" s="1">
        <f>Table1[[#This Row],[Shipping per Unit]]*Table1[[#This Row],[Quantity]]</f>
        <v>7</v>
      </c>
      <c r="W522" s="2">
        <f>IF(Table1[[#This Row],[Total Shipping]]&gt;0.1,0.2,0)</f>
        <v>0.2</v>
      </c>
      <c r="X522" s="4">
        <f>Table1[[#This Row],[Total Shipping]]*Table1[[#This Row],[VAT on Shipping]]</f>
        <v>1.4000000000000001</v>
      </c>
      <c r="Y522" s="1">
        <f>Table1[[#This Row],[Revenue]]-Table1[[#This Row],[COGS]]</f>
        <v>15.600000000000001</v>
      </c>
      <c r="Z522" s="3">
        <f>(Table1[[#This Row],[Profit]]/Table1[[#This Row],[Revenue]])</f>
        <v>0.39393939393939398</v>
      </c>
      <c r="AA522" s="1">
        <f>Table1[[#This Row],[Profit]]-Table1[[#This Row],[Total Shipping]]</f>
        <v>8.6000000000000014</v>
      </c>
      <c r="AB522" s="3">
        <f>Table1[[#This Row],[Operating Profit]]/Table1[[#This Row],[Revenue]]</f>
        <v>0.21717171717171721</v>
      </c>
    </row>
    <row r="523" spans="1:28" x14ac:dyDescent="0.25">
      <c r="A523" t="s">
        <v>265</v>
      </c>
      <c r="B523">
        <v>826</v>
      </c>
      <c r="C523" t="s">
        <v>62</v>
      </c>
      <c r="D523" t="s">
        <v>95</v>
      </c>
      <c r="E523" t="s">
        <v>40</v>
      </c>
      <c r="F523" t="s">
        <v>32</v>
      </c>
      <c r="G523" t="str" cm="1">
        <f t="array" ref="G523">_xlfn.SWITCH(F523,"Acme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523" t="s">
        <v>33</v>
      </c>
      <c r="I523" t="s">
        <v>42</v>
      </c>
      <c r="J523" t="str" cm="1">
        <f t="array" ref="J523">_xlfn.SWITCH(I523,"P001","Laptop","P002","Server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23" s="1" cm="1">
        <f t="array" ref="K523">_xlfn.SWITCH(Table1[[#This Row],[Product ID]],"P001",220,"P002",150,"P003",130,"P004",70,"P005",200,"P006",40,"P007",25,"P008",20,"P009",190,"P010",530)</f>
        <v>40</v>
      </c>
      <c r="L523">
        <v>6</v>
      </c>
      <c r="M523" s="1">
        <f>Table1[[#This Row],[Unit Price]]*Table1[[#This Row],[Quantity]]</f>
        <v>240</v>
      </c>
      <c r="N523" s="2">
        <v>0.05</v>
      </c>
      <c r="O523" s="1">
        <f>Table1[[#This Row],[Gross Value]]*(1-Table1[[#This Row],[Discount]])</f>
        <v>228</v>
      </c>
      <c r="P523" s="2">
        <v>0.2</v>
      </c>
      <c r="Q523" s="1">
        <f>Table1[[#This Row],[Revenue]]*Table1[[#This Row],[VAT Rate]]</f>
        <v>45.6</v>
      </c>
      <c r="R523" s="1">
        <f>Table1[[#This Row],[Revenue]]+Table1[[#This Row],[VAT Charged]]</f>
        <v>273.60000000000002</v>
      </c>
      <c r="S523" s="1" cm="1">
        <f t="array" ref="S523">_xlfn.SWITCH(Table1[[#This Row],[Product ID]],"P001",140,"P002",80,"P003",72,"P004",30,"P005",110,"P006",24,"P007",14,"P008",12,"P009",115,"P010",360)</f>
        <v>24</v>
      </c>
      <c r="T523" s="1" cm="1">
        <f t="array" ref="T523">(_xlfn.SWITCH(Table1[[#This Row],[Product ID]],"P001",140,"P002",80,"P003",72,"P004",30,"P005",110,"P006",24,"P007",14,"P008",12,"P009",115,"P010",360))*Table1[[#This Row],[Quantity]]</f>
        <v>144</v>
      </c>
      <c r="U523" s="1" cm="1">
        <f t="array" ref="U523">_xlfn.SWITCH(Table1[[#This Row],[Product ID]],"P001",15,"P002",0,"P003",8,"P004",8,"P005",0,"P006",7,"P007",7,"P008",6,"P009",45,"P010",60)</f>
        <v>7</v>
      </c>
      <c r="V523" s="1">
        <f>Table1[[#This Row],[Shipping per Unit]]*Table1[[#This Row],[Quantity]]</f>
        <v>42</v>
      </c>
      <c r="W523" s="2">
        <f>IF(Table1[[#This Row],[Total Shipping]]&gt;0.1,0.2,0)</f>
        <v>0.2</v>
      </c>
      <c r="X523" s="4">
        <f>Table1[[#This Row],[Total Shipping]]*Table1[[#This Row],[VAT on Shipping]]</f>
        <v>8.4</v>
      </c>
      <c r="Y523" s="1">
        <f>Table1[[#This Row],[Revenue]]-Table1[[#This Row],[COGS]]</f>
        <v>84</v>
      </c>
      <c r="Z523" s="3">
        <f>(Table1[[#This Row],[Profit]]/Table1[[#This Row],[Revenue]])</f>
        <v>0.36842105263157893</v>
      </c>
      <c r="AA523" s="1">
        <f>Table1[[#This Row],[Profit]]-Table1[[#This Row],[Total Shipping]]</f>
        <v>42</v>
      </c>
      <c r="AB523" s="3">
        <f>Table1[[#This Row],[Operating Profit]]/Table1[[#This Row],[Revenue]]</f>
        <v>0.18421052631578946</v>
      </c>
    </row>
    <row r="524" spans="1:28" x14ac:dyDescent="0.25">
      <c r="A524" t="s">
        <v>266</v>
      </c>
      <c r="B524">
        <v>288</v>
      </c>
      <c r="C524" t="s">
        <v>65</v>
      </c>
      <c r="D524" t="s">
        <v>36</v>
      </c>
      <c r="E524" t="s">
        <v>49</v>
      </c>
      <c r="F524" t="s">
        <v>103</v>
      </c>
      <c r="G524" t="str" cm="1">
        <f t="array" ref="G524">_xlfn.SWITCH(F524,"Acme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524" t="s">
        <v>58</v>
      </c>
      <c r="I524" t="s">
        <v>34</v>
      </c>
      <c r="J524" t="str" cm="1">
        <f t="array" ref="J524">_xlfn.SWITCH(I524,"P001","Laptop","P002","Server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524" s="1" cm="1">
        <f t="array" ref="K524">_xlfn.SWITCH(Table1[[#This Row],[Product ID]],"P001",220,"P002",150,"P003",130,"P004",70,"P005",200,"P006",40,"P007",25,"P008",20,"P009",190,"P010",530)</f>
        <v>20</v>
      </c>
      <c r="L524">
        <v>16</v>
      </c>
      <c r="M524" s="1">
        <f>Table1[[#This Row],[Unit Price]]*Table1[[#This Row],[Quantity]]</f>
        <v>320</v>
      </c>
      <c r="N524" s="2">
        <v>0.03</v>
      </c>
      <c r="O524" s="1">
        <f>Table1[[#This Row],[Gross Value]]*(1-Table1[[#This Row],[Discount]])</f>
        <v>310.39999999999998</v>
      </c>
      <c r="P524" s="2">
        <v>0.2</v>
      </c>
      <c r="Q524" s="1">
        <f>Table1[[#This Row],[Revenue]]*Table1[[#This Row],[VAT Rate]]</f>
        <v>62.08</v>
      </c>
      <c r="R524" s="1">
        <f>Table1[[#This Row],[Revenue]]+Table1[[#This Row],[VAT Charged]]</f>
        <v>372.47999999999996</v>
      </c>
      <c r="S524" s="1" cm="1">
        <f t="array" ref="S524">_xlfn.SWITCH(Table1[[#This Row],[Product ID]],"P001",140,"P002",80,"P003",72,"P004",30,"P005",110,"P006",24,"P007",14,"P008",12,"P009",115,"P010",360)</f>
        <v>12</v>
      </c>
      <c r="T524" s="1" cm="1">
        <f t="array" ref="T524">(_xlfn.SWITCH(Table1[[#This Row],[Product ID]],"P001",140,"P002",80,"P003",72,"P004",30,"P005",110,"P006",24,"P007",14,"P008",12,"P009",115,"P010",360))*Table1[[#This Row],[Quantity]]</f>
        <v>192</v>
      </c>
      <c r="U524" s="1" cm="1">
        <f t="array" ref="U524">_xlfn.SWITCH(Table1[[#This Row],[Product ID]],"P001",15,"P002",0,"P003",8,"P004",8,"P005",0,"P006",7,"P007",7,"P008",6,"P009",45,"P010",60)</f>
        <v>6</v>
      </c>
      <c r="V524" s="1">
        <f>Table1[[#This Row],[Shipping per Unit]]*Table1[[#This Row],[Quantity]]</f>
        <v>96</v>
      </c>
      <c r="W524" s="2">
        <f>IF(Table1[[#This Row],[Total Shipping]]&gt;0.1,0.2,0)</f>
        <v>0.2</v>
      </c>
      <c r="X524" s="4">
        <f>Table1[[#This Row],[Total Shipping]]*Table1[[#This Row],[VAT on Shipping]]</f>
        <v>19.200000000000003</v>
      </c>
      <c r="Y524" s="1">
        <f>Table1[[#This Row],[Revenue]]-Table1[[#This Row],[COGS]]</f>
        <v>118.39999999999998</v>
      </c>
      <c r="Z524" s="3">
        <f>(Table1[[#This Row],[Profit]]/Table1[[#This Row],[Revenue]])</f>
        <v>0.38144329896907214</v>
      </c>
      <c r="AA524" s="1">
        <f>Table1[[#This Row],[Profit]]-Table1[[#This Row],[Total Shipping]]</f>
        <v>22.399999999999977</v>
      </c>
      <c r="AB524" s="3">
        <f>Table1[[#This Row],[Operating Profit]]/Table1[[#This Row],[Revenue]]</f>
        <v>7.2164948453608185E-2</v>
      </c>
    </row>
    <row r="525" spans="1:28" x14ac:dyDescent="0.25">
      <c r="A525" t="s">
        <v>266</v>
      </c>
      <c r="B525">
        <v>312</v>
      </c>
      <c r="C525" t="s">
        <v>65</v>
      </c>
      <c r="D525" t="s">
        <v>72</v>
      </c>
      <c r="E525" t="s">
        <v>40</v>
      </c>
      <c r="F525" t="s">
        <v>87</v>
      </c>
      <c r="G525" t="str" cm="1">
        <f t="array" ref="G525">_xlfn.SWITCH(F525,"Acme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525" t="s">
        <v>45</v>
      </c>
      <c r="I525" t="s">
        <v>55</v>
      </c>
      <c r="J525" t="str" cm="1">
        <f t="array" ref="J525">_xlfn.SWITCH(I525,"P001","Laptop","P002","Server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25" s="1" cm="1">
        <f t="array" ref="K525">_xlfn.SWITCH(Table1[[#This Row],[Product ID]],"P001",220,"P002",150,"P003",130,"P004",70,"P005",200,"P006",40,"P007",25,"P008",20,"P009",190,"P010",530)</f>
        <v>70</v>
      </c>
      <c r="L525">
        <v>2</v>
      </c>
      <c r="M525" s="1">
        <f>Table1[[#This Row],[Unit Price]]*Table1[[#This Row],[Quantity]]</f>
        <v>140</v>
      </c>
      <c r="N525" s="2">
        <v>0.03</v>
      </c>
      <c r="O525" s="1">
        <f>Table1[[#This Row],[Gross Value]]*(1-Table1[[#This Row],[Discount]])</f>
        <v>135.79999999999998</v>
      </c>
      <c r="P525" s="2">
        <v>0.2</v>
      </c>
      <c r="Q525" s="1">
        <f>Table1[[#This Row],[Revenue]]*Table1[[#This Row],[VAT Rate]]</f>
        <v>27.159999999999997</v>
      </c>
      <c r="R525" s="1">
        <f>Table1[[#This Row],[Revenue]]+Table1[[#This Row],[VAT Charged]]</f>
        <v>162.95999999999998</v>
      </c>
      <c r="S525" s="1" cm="1">
        <f t="array" ref="S525">_xlfn.SWITCH(Table1[[#This Row],[Product ID]],"P001",140,"P002",80,"P003",72,"P004",30,"P005",110,"P006",24,"P007",14,"P008",12,"P009",115,"P010",360)</f>
        <v>30</v>
      </c>
      <c r="T525" s="1" cm="1">
        <f t="array" ref="T525">(_xlfn.SWITCH(Table1[[#This Row],[Product ID]],"P001",140,"P002",80,"P003",72,"P004",30,"P005",110,"P006",24,"P007",14,"P008",12,"P009",115,"P010",360))*Table1[[#This Row],[Quantity]]</f>
        <v>60</v>
      </c>
      <c r="U525" s="1" cm="1">
        <f t="array" ref="U525">_xlfn.SWITCH(Table1[[#This Row],[Product ID]],"P001",15,"P002",0,"P003",8,"P004",8,"P005",0,"P006",7,"P007",7,"P008",6,"P009",45,"P010",60)</f>
        <v>8</v>
      </c>
      <c r="V525" s="1">
        <f>Table1[[#This Row],[Shipping per Unit]]*Table1[[#This Row],[Quantity]]</f>
        <v>16</v>
      </c>
      <c r="W525" s="2">
        <f>IF(Table1[[#This Row],[Total Shipping]]&gt;0.1,0.2,0)</f>
        <v>0.2</v>
      </c>
      <c r="X525" s="4">
        <f>Table1[[#This Row],[Total Shipping]]*Table1[[#This Row],[VAT on Shipping]]</f>
        <v>3.2</v>
      </c>
      <c r="Y525" s="1">
        <f>Table1[[#This Row],[Revenue]]-Table1[[#This Row],[COGS]]</f>
        <v>75.799999999999983</v>
      </c>
      <c r="Z525" s="3">
        <f>(Table1[[#This Row],[Profit]]/Table1[[#This Row],[Revenue]])</f>
        <v>0.55817378497790859</v>
      </c>
      <c r="AA525" s="1">
        <f>Table1[[#This Row],[Profit]]-Table1[[#This Row],[Total Shipping]]</f>
        <v>59.799999999999983</v>
      </c>
      <c r="AB525" s="3">
        <f>Table1[[#This Row],[Operating Profit]]/Table1[[#This Row],[Revenue]]</f>
        <v>0.44035346097201761</v>
      </c>
    </row>
    <row r="526" spans="1:28" x14ac:dyDescent="0.25">
      <c r="A526" t="s">
        <v>266</v>
      </c>
      <c r="B526">
        <v>517</v>
      </c>
      <c r="C526" t="s">
        <v>83</v>
      </c>
      <c r="D526" t="s">
        <v>30</v>
      </c>
      <c r="E526" t="s">
        <v>31</v>
      </c>
      <c r="F526" t="s">
        <v>32</v>
      </c>
      <c r="G526" t="str" cm="1">
        <f t="array" ref="G526">_xlfn.SWITCH(F526,"Acme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526" t="s">
        <v>45</v>
      </c>
      <c r="I526" t="s">
        <v>68</v>
      </c>
      <c r="J526" t="str" cm="1">
        <f t="array" ref="J526">_xlfn.SWITCH(I526,"P001","Laptop","P002","Server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526" s="1" cm="1">
        <f t="array" ref="K526">_xlfn.SWITCH(Table1[[#This Row],[Product ID]],"P001",220,"P002",150,"P003",130,"P004",70,"P005",200,"P006",40,"P007",25,"P008",20,"P009",190,"P010",530)</f>
        <v>220</v>
      </c>
      <c r="L526">
        <v>4</v>
      </c>
      <c r="M526" s="1">
        <f>Table1[[#This Row],[Unit Price]]*Table1[[#This Row],[Quantity]]</f>
        <v>880</v>
      </c>
      <c r="N526" s="2">
        <v>0.05</v>
      </c>
      <c r="O526" s="1">
        <f>Table1[[#This Row],[Gross Value]]*(1-Table1[[#This Row],[Discount]])</f>
        <v>836</v>
      </c>
      <c r="P526" s="2">
        <v>0.2</v>
      </c>
      <c r="Q526" s="1">
        <f>Table1[[#This Row],[Revenue]]*Table1[[#This Row],[VAT Rate]]</f>
        <v>167.20000000000002</v>
      </c>
      <c r="R526" s="1">
        <f>Table1[[#This Row],[Revenue]]+Table1[[#This Row],[VAT Charged]]</f>
        <v>1003.2</v>
      </c>
      <c r="S526" s="1" cm="1">
        <f t="array" ref="S526">_xlfn.SWITCH(Table1[[#This Row],[Product ID]],"P001",140,"P002",80,"P003",72,"P004",30,"P005",110,"P006",24,"P007",14,"P008",12,"P009",115,"P010",360)</f>
        <v>140</v>
      </c>
      <c r="T526" s="1" cm="1">
        <f t="array" ref="T526">(_xlfn.SWITCH(Table1[[#This Row],[Product ID]],"P001",140,"P002",80,"P003",72,"P004",30,"P005",110,"P006",24,"P007",14,"P008",12,"P009",115,"P010",360))*Table1[[#This Row],[Quantity]]</f>
        <v>560</v>
      </c>
      <c r="U526" s="1" cm="1">
        <f t="array" ref="U526">_xlfn.SWITCH(Table1[[#This Row],[Product ID]],"P001",15,"P002",0,"P003",8,"P004",8,"P005",0,"P006",7,"P007",7,"P008",6,"P009",45,"P010",60)</f>
        <v>15</v>
      </c>
      <c r="V526" s="1">
        <f>Table1[[#This Row],[Shipping per Unit]]*Table1[[#This Row],[Quantity]]</f>
        <v>60</v>
      </c>
      <c r="W526" s="2">
        <f>IF(Table1[[#This Row],[Total Shipping]]&gt;0.1,0.2,0)</f>
        <v>0.2</v>
      </c>
      <c r="X526" s="4">
        <f>Table1[[#This Row],[Total Shipping]]*Table1[[#This Row],[VAT on Shipping]]</f>
        <v>12</v>
      </c>
      <c r="Y526" s="1">
        <f>Table1[[#This Row],[Revenue]]-Table1[[#This Row],[COGS]]</f>
        <v>276</v>
      </c>
      <c r="Z526" s="3">
        <f>(Table1[[#This Row],[Profit]]/Table1[[#This Row],[Revenue]])</f>
        <v>0.33014354066985646</v>
      </c>
      <c r="AA526" s="1">
        <f>Table1[[#This Row],[Profit]]-Table1[[#This Row],[Total Shipping]]</f>
        <v>216</v>
      </c>
      <c r="AB526" s="3">
        <f>Table1[[#This Row],[Operating Profit]]/Table1[[#This Row],[Revenue]]</f>
        <v>0.25837320574162681</v>
      </c>
    </row>
    <row r="527" spans="1:28" x14ac:dyDescent="0.25">
      <c r="A527" t="s">
        <v>266</v>
      </c>
      <c r="B527">
        <v>913</v>
      </c>
      <c r="C527" t="s">
        <v>35</v>
      </c>
      <c r="D527" t="s">
        <v>95</v>
      </c>
      <c r="E527" t="s">
        <v>40</v>
      </c>
      <c r="F527" t="s">
        <v>90</v>
      </c>
      <c r="G527" t="str" cm="1">
        <f t="array" ref="G527">_xlfn.SWITCH(F527,"Acme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527" t="s">
        <v>104</v>
      </c>
      <c r="I527" t="s">
        <v>55</v>
      </c>
      <c r="J527" t="str" cm="1">
        <f t="array" ref="J527">_xlfn.SWITCH(I527,"P001","Laptop","P002","Server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27" s="1" cm="1">
        <f t="array" ref="K527">_xlfn.SWITCH(Table1[[#This Row],[Product ID]],"P001",220,"P002",150,"P003",130,"P004",70,"P005",200,"P006",40,"P007",25,"P008",20,"P009",190,"P010",530)</f>
        <v>70</v>
      </c>
      <c r="L527">
        <v>2</v>
      </c>
      <c r="M527" s="1">
        <f>Table1[[#This Row],[Unit Price]]*Table1[[#This Row],[Quantity]]</f>
        <v>140</v>
      </c>
      <c r="N527" s="2">
        <v>0.05</v>
      </c>
      <c r="O527" s="1">
        <f>Table1[[#This Row],[Gross Value]]*(1-Table1[[#This Row],[Discount]])</f>
        <v>133</v>
      </c>
      <c r="P527" s="2">
        <v>0.2</v>
      </c>
      <c r="Q527" s="1">
        <f>Table1[[#This Row],[Revenue]]*Table1[[#This Row],[VAT Rate]]</f>
        <v>26.6</v>
      </c>
      <c r="R527" s="1">
        <f>Table1[[#This Row],[Revenue]]+Table1[[#This Row],[VAT Charged]]</f>
        <v>159.6</v>
      </c>
      <c r="S527" s="1" cm="1">
        <f t="array" ref="S527">_xlfn.SWITCH(Table1[[#This Row],[Product ID]],"P001",140,"P002",80,"P003",72,"P004",30,"P005",110,"P006",24,"P007",14,"P008",12,"P009",115,"P010",360)</f>
        <v>30</v>
      </c>
      <c r="T527" s="1" cm="1">
        <f t="array" ref="T527">(_xlfn.SWITCH(Table1[[#This Row],[Product ID]],"P001",140,"P002",80,"P003",72,"P004",30,"P005",110,"P006",24,"P007",14,"P008",12,"P009",115,"P010",360))*Table1[[#This Row],[Quantity]]</f>
        <v>60</v>
      </c>
      <c r="U527" s="1" cm="1">
        <f t="array" ref="U527">_xlfn.SWITCH(Table1[[#This Row],[Product ID]],"P001",15,"P002",0,"P003",8,"P004",8,"P005",0,"P006",7,"P007",7,"P008",6,"P009",45,"P010",60)</f>
        <v>8</v>
      </c>
      <c r="V527" s="1">
        <f>Table1[[#This Row],[Shipping per Unit]]*Table1[[#This Row],[Quantity]]</f>
        <v>16</v>
      </c>
      <c r="W527" s="2">
        <f>IF(Table1[[#This Row],[Total Shipping]]&gt;0.1,0.2,0)</f>
        <v>0.2</v>
      </c>
      <c r="X527" s="4">
        <f>Table1[[#This Row],[Total Shipping]]*Table1[[#This Row],[VAT on Shipping]]</f>
        <v>3.2</v>
      </c>
      <c r="Y527" s="1">
        <f>Table1[[#This Row],[Revenue]]-Table1[[#This Row],[COGS]]</f>
        <v>73</v>
      </c>
      <c r="Z527" s="3">
        <f>(Table1[[#This Row],[Profit]]/Table1[[#This Row],[Revenue]])</f>
        <v>0.54887218045112784</v>
      </c>
      <c r="AA527" s="1">
        <f>Table1[[#This Row],[Profit]]-Table1[[#This Row],[Total Shipping]]</f>
        <v>57</v>
      </c>
      <c r="AB527" s="3">
        <f>Table1[[#This Row],[Operating Profit]]/Table1[[#This Row],[Revenue]]</f>
        <v>0.42857142857142855</v>
      </c>
    </row>
    <row r="528" spans="1:28" x14ac:dyDescent="0.25">
      <c r="A528" t="s">
        <v>267</v>
      </c>
      <c r="B528">
        <v>21</v>
      </c>
      <c r="C528" t="s">
        <v>38</v>
      </c>
      <c r="D528" t="s">
        <v>39</v>
      </c>
      <c r="E528" t="s">
        <v>40</v>
      </c>
      <c r="F528" t="s">
        <v>87</v>
      </c>
      <c r="G528" t="str" cm="1">
        <f t="array" ref="G528">_xlfn.SWITCH(F528,"Acme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528" t="s">
        <v>51</v>
      </c>
      <c r="I528" t="s">
        <v>46</v>
      </c>
      <c r="J528" t="str" cm="1">
        <f t="array" ref="J528">_xlfn.SWITCH(I528,"P001","Laptop","P002","Server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28" s="1" cm="1">
        <f t="array" ref="K528">_xlfn.SWITCH(Table1[[#This Row],[Product ID]],"P001",220,"P002",150,"P003",130,"P004",70,"P005",200,"P006",40,"P007",25,"P008",20,"P009",190,"P010",530)</f>
        <v>530</v>
      </c>
      <c r="L528">
        <v>3</v>
      </c>
      <c r="M528" s="1">
        <f>Table1[[#This Row],[Unit Price]]*Table1[[#This Row],[Quantity]]</f>
        <v>1590</v>
      </c>
      <c r="N528" s="2">
        <v>0.05</v>
      </c>
      <c r="O528" s="1">
        <f>Table1[[#This Row],[Gross Value]]*(1-Table1[[#This Row],[Discount]])</f>
        <v>1510.5</v>
      </c>
      <c r="P528" s="2">
        <v>0.2</v>
      </c>
      <c r="Q528" s="1">
        <f>Table1[[#This Row],[Revenue]]*Table1[[#This Row],[VAT Rate]]</f>
        <v>302.10000000000002</v>
      </c>
      <c r="R528" s="1">
        <f>Table1[[#This Row],[Revenue]]+Table1[[#This Row],[VAT Charged]]</f>
        <v>1812.6</v>
      </c>
      <c r="S528" s="1" cm="1">
        <f t="array" ref="S528">_xlfn.SWITCH(Table1[[#This Row],[Product ID]],"P001",140,"P002",80,"P003",72,"P004",30,"P005",110,"P006",24,"P007",14,"P008",12,"P009",115,"P010",360)</f>
        <v>360</v>
      </c>
      <c r="T528" s="1" cm="1">
        <f t="array" ref="T528">(_xlfn.SWITCH(Table1[[#This Row],[Product ID]],"P001",140,"P002",80,"P003",72,"P004",30,"P005",110,"P006",24,"P007",14,"P008",12,"P009",115,"P010",360))*Table1[[#This Row],[Quantity]]</f>
        <v>1080</v>
      </c>
      <c r="U528" s="1" cm="1">
        <f t="array" ref="U528">_xlfn.SWITCH(Table1[[#This Row],[Product ID]],"P001",15,"P002",0,"P003",8,"P004",8,"P005",0,"P006",7,"P007",7,"P008",6,"P009",45,"P010",60)</f>
        <v>60</v>
      </c>
      <c r="V528" s="1">
        <f>Table1[[#This Row],[Shipping per Unit]]*Table1[[#This Row],[Quantity]]</f>
        <v>180</v>
      </c>
      <c r="W528" s="2">
        <f>IF(Table1[[#This Row],[Total Shipping]]&gt;0.1,0.2,0)</f>
        <v>0.2</v>
      </c>
      <c r="X528" s="4">
        <f>Table1[[#This Row],[Total Shipping]]*Table1[[#This Row],[VAT on Shipping]]</f>
        <v>36</v>
      </c>
      <c r="Y528" s="1">
        <f>Table1[[#This Row],[Revenue]]-Table1[[#This Row],[COGS]]</f>
        <v>430.5</v>
      </c>
      <c r="Z528" s="3">
        <f>(Table1[[#This Row],[Profit]]/Table1[[#This Row],[Revenue]])</f>
        <v>0.28500496524329694</v>
      </c>
      <c r="AA528" s="1">
        <f>Table1[[#This Row],[Profit]]-Table1[[#This Row],[Total Shipping]]</f>
        <v>250.5</v>
      </c>
      <c r="AB528" s="3">
        <f>Table1[[#This Row],[Operating Profit]]/Table1[[#This Row],[Revenue]]</f>
        <v>0.16583912611717974</v>
      </c>
    </row>
    <row r="529" spans="1:28" x14ac:dyDescent="0.25">
      <c r="A529" t="s">
        <v>268</v>
      </c>
      <c r="B529">
        <v>279</v>
      </c>
      <c r="C529" t="s">
        <v>62</v>
      </c>
      <c r="D529" t="s">
        <v>53</v>
      </c>
      <c r="E529" t="s">
        <v>31</v>
      </c>
      <c r="F529" t="s">
        <v>119</v>
      </c>
      <c r="G529" t="str" cm="1">
        <f t="array" ref="G529">_xlfn.SWITCH(F529,"Acme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529" t="s">
        <v>33</v>
      </c>
      <c r="I529" t="s">
        <v>42</v>
      </c>
      <c r="J529" t="str" cm="1">
        <f t="array" ref="J529">_xlfn.SWITCH(I529,"P001","Laptop","P002","Server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29" s="1" cm="1">
        <f t="array" ref="K529">_xlfn.SWITCH(Table1[[#This Row],[Product ID]],"P001",220,"P002",150,"P003",130,"P004",70,"P005",200,"P006",40,"P007",25,"P008",20,"P009",190,"P010",530)</f>
        <v>40</v>
      </c>
      <c r="L529">
        <v>16</v>
      </c>
      <c r="M529" s="1">
        <f>Table1[[#This Row],[Unit Price]]*Table1[[#This Row],[Quantity]]</f>
        <v>640</v>
      </c>
      <c r="N529" s="2">
        <v>7.0000000000000007E-2</v>
      </c>
      <c r="O529" s="1">
        <f>Table1[[#This Row],[Gross Value]]*(1-Table1[[#This Row],[Discount]])</f>
        <v>595.19999999999993</v>
      </c>
      <c r="P529" s="2">
        <v>0.2</v>
      </c>
      <c r="Q529" s="1">
        <f>Table1[[#This Row],[Revenue]]*Table1[[#This Row],[VAT Rate]]</f>
        <v>119.03999999999999</v>
      </c>
      <c r="R529" s="1">
        <f>Table1[[#This Row],[Revenue]]+Table1[[#This Row],[VAT Charged]]</f>
        <v>714.2399999999999</v>
      </c>
      <c r="S529" s="1" cm="1">
        <f t="array" ref="S529">_xlfn.SWITCH(Table1[[#This Row],[Product ID]],"P001",140,"P002",80,"P003",72,"P004",30,"P005",110,"P006",24,"P007",14,"P008",12,"P009",115,"P010",360)</f>
        <v>24</v>
      </c>
      <c r="T529" s="1" cm="1">
        <f t="array" ref="T529">(_xlfn.SWITCH(Table1[[#This Row],[Product ID]],"P001",140,"P002",80,"P003",72,"P004",30,"P005",110,"P006",24,"P007",14,"P008",12,"P009",115,"P010",360))*Table1[[#This Row],[Quantity]]</f>
        <v>384</v>
      </c>
      <c r="U529" s="1" cm="1">
        <f t="array" ref="U529">_xlfn.SWITCH(Table1[[#This Row],[Product ID]],"P001",15,"P002",0,"P003",8,"P004",8,"P005",0,"P006",7,"P007",7,"P008",6,"P009",45,"P010",60)</f>
        <v>7</v>
      </c>
      <c r="V529" s="1">
        <f>Table1[[#This Row],[Shipping per Unit]]*Table1[[#This Row],[Quantity]]</f>
        <v>112</v>
      </c>
      <c r="W529" s="2">
        <f>IF(Table1[[#This Row],[Total Shipping]]&gt;0.1,0.2,0)</f>
        <v>0.2</v>
      </c>
      <c r="X529" s="4">
        <f>Table1[[#This Row],[Total Shipping]]*Table1[[#This Row],[VAT on Shipping]]</f>
        <v>22.400000000000002</v>
      </c>
      <c r="Y529" s="1">
        <f>Table1[[#This Row],[Revenue]]-Table1[[#This Row],[COGS]]</f>
        <v>211.19999999999993</v>
      </c>
      <c r="Z529" s="3">
        <f>(Table1[[#This Row],[Profit]]/Table1[[#This Row],[Revenue]])</f>
        <v>0.35483870967741926</v>
      </c>
      <c r="AA529" s="1">
        <f>Table1[[#This Row],[Profit]]-Table1[[#This Row],[Total Shipping]]</f>
        <v>99.199999999999932</v>
      </c>
      <c r="AB529" s="3">
        <f>Table1[[#This Row],[Operating Profit]]/Table1[[#This Row],[Revenue]]</f>
        <v>0.16666666666666657</v>
      </c>
    </row>
    <row r="530" spans="1:28" x14ac:dyDescent="0.25">
      <c r="A530" t="s">
        <v>268</v>
      </c>
      <c r="B530">
        <v>548</v>
      </c>
      <c r="C530" t="s">
        <v>35</v>
      </c>
      <c r="D530" t="s">
        <v>95</v>
      </c>
      <c r="E530" t="s">
        <v>49</v>
      </c>
      <c r="F530" t="s">
        <v>84</v>
      </c>
      <c r="G530" t="str" cm="1">
        <f t="array" ref="G530">_xlfn.SWITCH(F530,"Acme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530" t="s">
        <v>45</v>
      </c>
      <c r="I530" t="s">
        <v>91</v>
      </c>
      <c r="J530" t="str" cm="1">
        <f t="array" ref="J530">_xlfn.SWITCH(I530,"P001","Laptop","P002","Server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530" s="1" cm="1">
        <f t="array" ref="K530">_xlfn.SWITCH(Table1[[#This Row],[Product ID]],"P001",220,"P002",150,"P003",130,"P004",70,"P005",200,"P006",40,"P007",25,"P008",20,"P009",190,"P010",530)</f>
        <v>190</v>
      </c>
      <c r="L530">
        <v>9</v>
      </c>
      <c r="M530" s="1">
        <f>Table1[[#This Row],[Unit Price]]*Table1[[#This Row],[Quantity]]</f>
        <v>1710</v>
      </c>
      <c r="N530" s="2">
        <v>0.05</v>
      </c>
      <c r="O530" s="1">
        <f>Table1[[#This Row],[Gross Value]]*(1-Table1[[#This Row],[Discount]])</f>
        <v>1624.5</v>
      </c>
      <c r="P530" s="2">
        <v>0.2</v>
      </c>
      <c r="Q530" s="1">
        <f>Table1[[#This Row],[Revenue]]*Table1[[#This Row],[VAT Rate]]</f>
        <v>324.90000000000003</v>
      </c>
      <c r="R530" s="1">
        <f>Table1[[#This Row],[Revenue]]+Table1[[#This Row],[VAT Charged]]</f>
        <v>1949.4</v>
      </c>
      <c r="S530" s="1" cm="1">
        <f t="array" ref="S530">_xlfn.SWITCH(Table1[[#This Row],[Product ID]],"P001",140,"P002",80,"P003",72,"P004",30,"P005",110,"P006",24,"P007",14,"P008",12,"P009",115,"P010",360)</f>
        <v>115</v>
      </c>
      <c r="T530" s="1" cm="1">
        <f t="array" ref="T530">(_xlfn.SWITCH(Table1[[#This Row],[Product ID]],"P001",140,"P002",80,"P003",72,"P004",30,"P005",110,"P006",24,"P007",14,"P008",12,"P009",115,"P010",360))*Table1[[#This Row],[Quantity]]</f>
        <v>1035</v>
      </c>
      <c r="U530" s="1" cm="1">
        <f t="array" ref="U530">_xlfn.SWITCH(Table1[[#This Row],[Product ID]],"P001",15,"P002",0,"P003",8,"P004",8,"P005",0,"P006",7,"P007",7,"P008",6,"P009",45,"P010",60)</f>
        <v>45</v>
      </c>
      <c r="V530" s="1">
        <f>Table1[[#This Row],[Shipping per Unit]]*Table1[[#This Row],[Quantity]]</f>
        <v>405</v>
      </c>
      <c r="W530" s="2">
        <f>IF(Table1[[#This Row],[Total Shipping]]&gt;0.1,0.2,0)</f>
        <v>0.2</v>
      </c>
      <c r="X530" s="4">
        <f>Table1[[#This Row],[Total Shipping]]*Table1[[#This Row],[VAT on Shipping]]</f>
        <v>81</v>
      </c>
      <c r="Y530" s="1">
        <f>Table1[[#This Row],[Revenue]]-Table1[[#This Row],[COGS]]</f>
        <v>589.5</v>
      </c>
      <c r="Z530" s="3">
        <f>(Table1[[#This Row],[Profit]]/Table1[[#This Row],[Revenue]])</f>
        <v>0.36288088642659277</v>
      </c>
      <c r="AA530" s="1">
        <f>Table1[[#This Row],[Profit]]-Table1[[#This Row],[Total Shipping]]</f>
        <v>184.5</v>
      </c>
      <c r="AB530" s="3">
        <f>Table1[[#This Row],[Operating Profit]]/Table1[[#This Row],[Revenue]]</f>
        <v>0.11357340720221606</v>
      </c>
    </row>
    <row r="531" spans="1:28" x14ac:dyDescent="0.25">
      <c r="A531" t="s">
        <v>269</v>
      </c>
      <c r="B531">
        <v>353</v>
      </c>
      <c r="C531" t="s">
        <v>62</v>
      </c>
      <c r="D531" t="s">
        <v>30</v>
      </c>
      <c r="E531" t="s">
        <v>31</v>
      </c>
      <c r="F531" t="s">
        <v>54</v>
      </c>
      <c r="G531" t="str" cm="1">
        <f t="array" ref="G531">_xlfn.SWITCH(F531,"Acme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531" t="s">
        <v>45</v>
      </c>
      <c r="I531" t="s">
        <v>42</v>
      </c>
      <c r="J531" t="str" cm="1">
        <f t="array" ref="J531">_xlfn.SWITCH(I531,"P001","Laptop","P002","Server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31" s="1" cm="1">
        <f t="array" ref="K531">_xlfn.SWITCH(Table1[[#This Row],[Product ID]],"P001",220,"P002",150,"P003",130,"P004",70,"P005",200,"P006",40,"P007",25,"P008",20,"P009",190,"P010",530)</f>
        <v>40</v>
      </c>
      <c r="L531">
        <v>19</v>
      </c>
      <c r="M531" s="1">
        <f>Table1[[#This Row],[Unit Price]]*Table1[[#This Row],[Quantity]]</f>
        <v>760</v>
      </c>
      <c r="N531" s="2">
        <v>0.01</v>
      </c>
      <c r="O531" s="1">
        <f>Table1[[#This Row],[Gross Value]]*(1-Table1[[#This Row],[Discount]])</f>
        <v>752.4</v>
      </c>
      <c r="P531" s="2">
        <v>0.2</v>
      </c>
      <c r="Q531" s="1">
        <f>Table1[[#This Row],[Revenue]]*Table1[[#This Row],[VAT Rate]]</f>
        <v>150.47999999999999</v>
      </c>
      <c r="R531" s="1">
        <f>Table1[[#This Row],[Revenue]]+Table1[[#This Row],[VAT Charged]]</f>
        <v>902.88</v>
      </c>
      <c r="S531" s="1" cm="1">
        <f t="array" ref="S531">_xlfn.SWITCH(Table1[[#This Row],[Product ID]],"P001",140,"P002",80,"P003",72,"P004",30,"P005",110,"P006",24,"P007",14,"P008",12,"P009",115,"P010",360)</f>
        <v>24</v>
      </c>
      <c r="T531" s="1" cm="1">
        <f t="array" ref="T531">(_xlfn.SWITCH(Table1[[#This Row],[Product ID]],"P001",140,"P002",80,"P003",72,"P004",30,"P005",110,"P006",24,"P007",14,"P008",12,"P009",115,"P010",360))*Table1[[#This Row],[Quantity]]</f>
        <v>456</v>
      </c>
      <c r="U531" s="1" cm="1">
        <f t="array" ref="U531">_xlfn.SWITCH(Table1[[#This Row],[Product ID]],"P001",15,"P002",0,"P003",8,"P004",8,"P005",0,"P006",7,"P007",7,"P008",6,"P009",45,"P010",60)</f>
        <v>7</v>
      </c>
      <c r="V531" s="1">
        <f>Table1[[#This Row],[Shipping per Unit]]*Table1[[#This Row],[Quantity]]</f>
        <v>133</v>
      </c>
      <c r="W531" s="2">
        <f>IF(Table1[[#This Row],[Total Shipping]]&gt;0.1,0.2,0)</f>
        <v>0.2</v>
      </c>
      <c r="X531" s="4">
        <f>Table1[[#This Row],[Total Shipping]]*Table1[[#This Row],[VAT on Shipping]]</f>
        <v>26.6</v>
      </c>
      <c r="Y531" s="1">
        <f>Table1[[#This Row],[Revenue]]-Table1[[#This Row],[COGS]]</f>
        <v>296.39999999999998</v>
      </c>
      <c r="Z531" s="3">
        <f>(Table1[[#This Row],[Profit]]/Table1[[#This Row],[Revenue]])</f>
        <v>0.39393939393939392</v>
      </c>
      <c r="AA531" s="1">
        <f>Table1[[#This Row],[Profit]]-Table1[[#This Row],[Total Shipping]]</f>
        <v>163.39999999999998</v>
      </c>
      <c r="AB531" s="3">
        <f>Table1[[#This Row],[Operating Profit]]/Table1[[#This Row],[Revenue]]</f>
        <v>0.21717171717171715</v>
      </c>
    </row>
    <row r="532" spans="1:28" x14ac:dyDescent="0.25">
      <c r="A532" t="s">
        <v>269</v>
      </c>
      <c r="B532">
        <v>444</v>
      </c>
      <c r="C532" t="s">
        <v>38</v>
      </c>
      <c r="D532" t="s">
        <v>72</v>
      </c>
      <c r="E532" t="s">
        <v>49</v>
      </c>
      <c r="F532" t="s">
        <v>79</v>
      </c>
      <c r="G532" t="str" cm="1">
        <f t="array" ref="G532">_xlfn.SWITCH(F532,"Acme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532" t="s">
        <v>33</v>
      </c>
      <c r="I532" t="s">
        <v>70</v>
      </c>
      <c r="J532" t="str" cm="1">
        <f t="array" ref="J532">_xlfn.SWITCH(I532,"P001","Laptop","P002","Server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532" s="1" cm="1">
        <f t="array" ref="K532">_xlfn.SWITCH(Table1[[#This Row],[Product ID]],"P001",220,"P002",150,"P003",130,"P004",70,"P005",200,"P006",40,"P007",25,"P008",20,"P009",190,"P010",530)</f>
        <v>150</v>
      </c>
      <c r="L532">
        <v>16</v>
      </c>
      <c r="M532" s="1">
        <f>Table1[[#This Row],[Unit Price]]*Table1[[#This Row],[Quantity]]</f>
        <v>2400</v>
      </c>
      <c r="N532" s="2">
        <v>0.03</v>
      </c>
      <c r="O532" s="1">
        <f>Table1[[#This Row],[Gross Value]]*(1-Table1[[#This Row],[Discount]])</f>
        <v>2328</v>
      </c>
      <c r="P532" s="2">
        <v>0.2</v>
      </c>
      <c r="Q532" s="1">
        <f>Table1[[#This Row],[Revenue]]*Table1[[#This Row],[VAT Rate]]</f>
        <v>465.6</v>
      </c>
      <c r="R532" s="1">
        <f>Table1[[#This Row],[Revenue]]+Table1[[#This Row],[VAT Charged]]</f>
        <v>2793.6</v>
      </c>
      <c r="S532" s="1" cm="1">
        <f t="array" ref="S532">_xlfn.SWITCH(Table1[[#This Row],[Product ID]],"P001",140,"P002",80,"P003",72,"P004",30,"P005",110,"P006",24,"P007",14,"P008",12,"P009",115,"P010",360)</f>
        <v>80</v>
      </c>
      <c r="T532" s="1" cm="1">
        <f t="array" ref="T532">(_xlfn.SWITCH(Table1[[#This Row],[Product ID]],"P001",140,"P002",80,"P003",72,"P004",30,"P005",110,"P006",24,"P007",14,"P008",12,"P009",115,"P010",360))*Table1[[#This Row],[Quantity]]</f>
        <v>1280</v>
      </c>
      <c r="U532" s="1" cm="1">
        <f t="array" ref="U532">_xlfn.SWITCH(Table1[[#This Row],[Product ID]],"P001",15,"P002",0,"P003",8,"P004",8,"P005",0,"P006",7,"P007",7,"P008",6,"P009",45,"P010",60)</f>
        <v>0</v>
      </c>
      <c r="V532" s="1">
        <f>Table1[[#This Row],[Shipping per Unit]]*Table1[[#This Row],[Quantity]]</f>
        <v>0</v>
      </c>
      <c r="W532" s="2">
        <f>IF(Table1[[#This Row],[Total Shipping]]&gt;0.1,0.2,0)</f>
        <v>0</v>
      </c>
      <c r="X532" s="4">
        <f>Table1[[#This Row],[Total Shipping]]*Table1[[#This Row],[VAT on Shipping]]</f>
        <v>0</v>
      </c>
      <c r="Y532" s="1">
        <f>Table1[[#This Row],[Revenue]]-Table1[[#This Row],[COGS]]</f>
        <v>1048</v>
      </c>
      <c r="Z532" s="3">
        <f>(Table1[[#This Row],[Profit]]/Table1[[#This Row],[Revenue]])</f>
        <v>0.45017182130584193</v>
      </c>
      <c r="AA532" s="1">
        <f>Table1[[#This Row],[Profit]]-Table1[[#This Row],[Total Shipping]]</f>
        <v>1048</v>
      </c>
      <c r="AB532" s="3">
        <f>Table1[[#This Row],[Operating Profit]]/Table1[[#This Row],[Revenue]]</f>
        <v>0.45017182130584193</v>
      </c>
    </row>
    <row r="533" spans="1:28" x14ac:dyDescent="0.25">
      <c r="A533" t="s">
        <v>269</v>
      </c>
      <c r="B533">
        <v>700</v>
      </c>
      <c r="C533" t="s">
        <v>71</v>
      </c>
      <c r="D533" t="s">
        <v>36</v>
      </c>
      <c r="E533" t="s">
        <v>49</v>
      </c>
      <c r="F533" t="s">
        <v>54</v>
      </c>
      <c r="G533" t="str" cm="1">
        <f t="array" ref="G533">_xlfn.SWITCH(F533,"Acme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533" t="s">
        <v>104</v>
      </c>
      <c r="I533" t="s">
        <v>68</v>
      </c>
      <c r="J533" t="str" cm="1">
        <f t="array" ref="J533">_xlfn.SWITCH(I533,"P001","Laptop","P002","Server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533" s="1" cm="1">
        <f t="array" ref="K533">_xlfn.SWITCH(Table1[[#This Row],[Product ID]],"P001",220,"P002",150,"P003",130,"P004",70,"P005",200,"P006",40,"P007",25,"P008",20,"P009",190,"P010",530)</f>
        <v>220</v>
      </c>
      <c r="L533">
        <v>10</v>
      </c>
      <c r="M533" s="1">
        <f>Table1[[#This Row],[Unit Price]]*Table1[[#This Row],[Quantity]]</f>
        <v>2200</v>
      </c>
      <c r="N533" s="2">
        <v>0.08</v>
      </c>
      <c r="O533" s="1">
        <f>Table1[[#This Row],[Gross Value]]*(1-Table1[[#This Row],[Discount]])</f>
        <v>2024</v>
      </c>
      <c r="P533" s="2">
        <v>0.2</v>
      </c>
      <c r="Q533" s="1">
        <f>Table1[[#This Row],[Revenue]]*Table1[[#This Row],[VAT Rate]]</f>
        <v>404.8</v>
      </c>
      <c r="R533" s="1">
        <f>Table1[[#This Row],[Revenue]]+Table1[[#This Row],[VAT Charged]]</f>
        <v>2428.8000000000002</v>
      </c>
      <c r="S533" s="1" cm="1">
        <f t="array" ref="S533">_xlfn.SWITCH(Table1[[#This Row],[Product ID]],"P001",140,"P002",80,"P003",72,"P004",30,"P005",110,"P006",24,"P007",14,"P008",12,"P009",115,"P010",360)</f>
        <v>140</v>
      </c>
      <c r="T533" s="1" cm="1">
        <f t="array" ref="T533">(_xlfn.SWITCH(Table1[[#This Row],[Product ID]],"P001",140,"P002",80,"P003",72,"P004",30,"P005",110,"P006",24,"P007",14,"P008",12,"P009",115,"P010",360))*Table1[[#This Row],[Quantity]]</f>
        <v>1400</v>
      </c>
      <c r="U533" s="1" cm="1">
        <f t="array" ref="U533">_xlfn.SWITCH(Table1[[#This Row],[Product ID]],"P001",15,"P002",0,"P003",8,"P004",8,"P005",0,"P006",7,"P007",7,"P008",6,"P009",45,"P010",60)</f>
        <v>15</v>
      </c>
      <c r="V533" s="1">
        <f>Table1[[#This Row],[Shipping per Unit]]*Table1[[#This Row],[Quantity]]</f>
        <v>150</v>
      </c>
      <c r="W533" s="2">
        <f>IF(Table1[[#This Row],[Total Shipping]]&gt;0.1,0.2,0)</f>
        <v>0.2</v>
      </c>
      <c r="X533" s="4">
        <f>Table1[[#This Row],[Total Shipping]]*Table1[[#This Row],[VAT on Shipping]]</f>
        <v>30</v>
      </c>
      <c r="Y533" s="1">
        <f>Table1[[#This Row],[Revenue]]-Table1[[#This Row],[COGS]]</f>
        <v>624</v>
      </c>
      <c r="Z533" s="3">
        <f>(Table1[[#This Row],[Profit]]/Table1[[#This Row],[Revenue]])</f>
        <v>0.30830039525691699</v>
      </c>
      <c r="AA533" s="1">
        <f>Table1[[#This Row],[Profit]]-Table1[[#This Row],[Total Shipping]]</f>
        <v>474</v>
      </c>
      <c r="AB533" s="3">
        <f>Table1[[#This Row],[Operating Profit]]/Table1[[#This Row],[Revenue]]</f>
        <v>0.23418972332015811</v>
      </c>
    </row>
    <row r="534" spans="1:28" x14ac:dyDescent="0.25">
      <c r="A534" t="s">
        <v>269</v>
      </c>
      <c r="B534">
        <v>748</v>
      </c>
      <c r="C534" t="s">
        <v>38</v>
      </c>
      <c r="D534" t="s">
        <v>67</v>
      </c>
      <c r="E534" t="s">
        <v>31</v>
      </c>
      <c r="F534" t="s">
        <v>50</v>
      </c>
      <c r="G534" t="str" cm="1">
        <f t="array" ref="G534">_xlfn.SWITCH(F534,"Acme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534" t="s">
        <v>33</v>
      </c>
      <c r="I534" t="s">
        <v>55</v>
      </c>
      <c r="J534" t="str" cm="1">
        <f t="array" ref="J534">_xlfn.SWITCH(I534,"P001","Laptop","P002","Server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34" s="1" cm="1">
        <f t="array" ref="K534">_xlfn.SWITCH(Table1[[#This Row],[Product ID]],"P001",220,"P002",150,"P003",130,"P004",70,"P005",200,"P006",40,"P007",25,"P008",20,"P009",190,"P010",530)</f>
        <v>70</v>
      </c>
      <c r="L534">
        <v>4</v>
      </c>
      <c r="M534" s="1">
        <f>Table1[[#This Row],[Unit Price]]*Table1[[#This Row],[Quantity]]</f>
        <v>280</v>
      </c>
      <c r="N534" s="2">
        <v>0.1</v>
      </c>
      <c r="O534" s="1">
        <f>Table1[[#This Row],[Gross Value]]*(1-Table1[[#This Row],[Discount]])</f>
        <v>252</v>
      </c>
      <c r="P534" s="2">
        <v>0.2</v>
      </c>
      <c r="Q534" s="1">
        <f>Table1[[#This Row],[Revenue]]*Table1[[#This Row],[VAT Rate]]</f>
        <v>50.400000000000006</v>
      </c>
      <c r="R534" s="1">
        <f>Table1[[#This Row],[Revenue]]+Table1[[#This Row],[VAT Charged]]</f>
        <v>302.39999999999998</v>
      </c>
      <c r="S534" s="1" cm="1">
        <f t="array" ref="S534">_xlfn.SWITCH(Table1[[#This Row],[Product ID]],"P001",140,"P002",80,"P003",72,"P004",30,"P005",110,"P006",24,"P007",14,"P008",12,"P009",115,"P010",360)</f>
        <v>30</v>
      </c>
      <c r="T534" s="1" cm="1">
        <f t="array" ref="T534">(_xlfn.SWITCH(Table1[[#This Row],[Product ID]],"P001",140,"P002",80,"P003",72,"P004",30,"P005",110,"P006",24,"P007",14,"P008",12,"P009",115,"P010",360))*Table1[[#This Row],[Quantity]]</f>
        <v>120</v>
      </c>
      <c r="U534" s="1" cm="1">
        <f t="array" ref="U534">_xlfn.SWITCH(Table1[[#This Row],[Product ID]],"P001",15,"P002",0,"P003",8,"P004",8,"P005",0,"P006",7,"P007",7,"P008",6,"P009",45,"P010",60)</f>
        <v>8</v>
      </c>
      <c r="V534" s="1">
        <f>Table1[[#This Row],[Shipping per Unit]]*Table1[[#This Row],[Quantity]]</f>
        <v>32</v>
      </c>
      <c r="W534" s="2">
        <f>IF(Table1[[#This Row],[Total Shipping]]&gt;0.1,0.2,0)</f>
        <v>0.2</v>
      </c>
      <c r="X534" s="4">
        <f>Table1[[#This Row],[Total Shipping]]*Table1[[#This Row],[VAT on Shipping]]</f>
        <v>6.4</v>
      </c>
      <c r="Y534" s="1">
        <f>Table1[[#This Row],[Revenue]]-Table1[[#This Row],[COGS]]</f>
        <v>132</v>
      </c>
      <c r="Z534" s="3">
        <f>(Table1[[#This Row],[Profit]]/Table1[[#This Row],[Revenue]])</f>
        <v>0.52380952380952384</v>
      </c>
      <c r="AA534" s="1">
        <f>Table1[[#This Row],[Profit]]-Table1[[#This Row],[Total Shipping]]</f>
        <v>100</v>
      </c>
      <c r="AB534" s="3">
        <f>Table1[[#This Row],[Operating Profit]]/Table1[[#This Row],[Revenue]]</f>
        <v>0.3968253968253968</v>
      </c>
    </row>
    <row r="535" spans="1:28" x14ac:dyDescent="0.25">
      <c r="A535" t="s">
        <v>270</v>
      </c>
      <c r="B535">
        <v>111</v>
      </c>
      <c r="C535" t="s">
        <v>71</v>
      </c>
      <c r="D535" t="s">
        <v>30</v>
      </c>
      <c r="E535" t="s">
        <v>40</v>
      </c>
      <c r="F535" t="s">
        <v>54</v>
      </c>
      <c r="G535" t="str" cm="1">
        <f t="array" ref="G535">_xlfn.SWITCH(F535,"Acme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535" t="s">
        <v>45</v>
      </c>
      <c r="I535" t="s">
        <v>52</v>
      </c>
      <c r="J535" t="str" cm="1">
        <f t="array" ref="J535">_xlfn.SWITCH(I535,"P001","Laptop","P002","Server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35" s="1" cm="1">
        <f t="array" ref="K535">_xlfn.SWITCH(Table1[[#This Row],[Product ID]],"P001",220,"P002",150,"P003",130,"P004",70,"P005",200,"P006",40,"P007",25,"P008",20,"P009",190,"P010",530)</f>
        <v>130</v>
      </c>
      <c r="L535">
        <v>4</v>
      </c>
      <c r="M535" s="1">
        <f>Table1[[#This Row],[Unit Price]]*Table1[[#This Row],[Quantity]]</f>
        <v>520</v>
      </c>
      <c r="N535" s="2">
        <v>0.08</v>
      </c>
      <c r="O535" s="1">
        <f>Table1[[#This Row],[Gross Value]]*(1-Table1[[#This Row],[Discount]])</f>
        <v>478.40000000000003</v>
      </c>
      <c r="P535" s="2">
        <v>0.2</v>
      </c>
      <c r="Q535" s="1">
        <f>Table1[[#This Row],[Revenue]]*Table1[[#This Row],[VAT Rate]]</f>
        <v>95.68</v>
      </c>
      <c r="R535" s="1">
        <f>Table1[[#This Row],[Revenue]]+Table1[[#This Row],[VAT Charged]]</f>
        <v>574.08000000000004</v>
      </c>
      <c r="S535" s="1" cm="1">
        <f t="array" ref="S535">_xlfn.SWITCH(Table1[[#This Row],[Product ID]],"P001",140,"P002",80,"P003",72,"P004",30,"P005",110,"P006",24,"P007",14,"P008",12,"P009",115,"P010",360)</f>
        <v>72</v>
      </c>
      <c r="T535" s="1" cm="1">
        <f t="array" ref="T535">(_xlfn.SWITCH(Table1[[#This Row],[Product ID]],"P001",140,"P002",80,"P003",72,"P004",30,"P005",110,"P006",24,"P007",14,"P008",12,"P009",115,"P010",360))*Table1[[#This Row],[Quantity]]</f>
        <v>288</v>
      </c>
      <c r="U535" s="1" cm="1">
        <f t="array" ref="U535">_xlfn.SWITCH(Table1[[#This Row],[Product ID]],"P001",15,"P002",0,"P003",8,"P004",8,"P005",0,"P006",7,"P007",7,"P008",6,"P009",45,"P010",60)</f>
        <v>8</v>
      </c>
      <c r="V535" s="1">
        <f>Table1[[#This Row],[Shipping per Unit]]*Table1[[#This Row],[Quantity]]</f>
        <v>32</v>
      </c>
      <c r="W535" s="2">
        <f>IF(Table1[[#This Row],[Total Shipping]]&gt;0.1,0.2,0)</f>
        <v>0.2</v>
      </c>
      <c r="X535" s="4">
        <f>Table1[[#This Row],[Total Shipping]]*Table1[[#This Row],[VAT on Shipping]]</f>
        <v>6.4</v>
      </c>
      <c r="Y535" s="1">
        <f>Table1[[#This Row],[Revenue]]-Table1[[#This Row],[COGS]]</f>
        <v>190.40000000000003</v>
      </c>
      <c r="Z535" s="3">
        <f>(Table1[[#This Row],[Profit]]/Table1[[#This Row],[Revenue]])</f>
        <v>0.39799331103678937</v>
      </c>
      <c r="AA535" s="1">
        <f>Table1[[#This Row],[Profit]]-Table1[[#This Row],[Total Shipping]]</f>
        <v>158.40000000000003</v>
      </c>
      <c r="AB535" s="3">
        <f>Table1[[#This Row],[Operating Profit]]/Table1[[#This Row],[Revenue]]</f>
        <v>0.33110367892976594</v>
      </c>
    </row>
    <row r="536" spans="1:28" x14ac:dyDescent="0.25">
      <c r="A536" t="s">
        <v>271</v>
      </c>
      <c r="B536">
        <v>417</v>
      </c>
      <c r="C536" t="s">
        <v>65</v>
      </c>
      <c r="D536" t="s">
        <v>63</v>
      </c>
      <c r="E536" t="s">
        <v>49</v>
      </c>
      <c r="F536" t="s">
        <v>84</v>
      </c>
      <c r="G536" t="str" cm="1">
        <f t="array" ref="G536">_xlfn.SWITCH(F536,"Acme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536" t="s">
        <v>33</v>
      </c>
      <c r="I536" t="s">
        <v>55</v>
      </c>
      <c r="J536" t="str" cm="1">
        <f t="array" ref="J536">_xlfn.SWITCH(I536,"P001","Laptop","P002","Server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36" s="1" cm="1">
        <f t="array" ref="K536">_xlfn.SWITCH(Table1[[#This Row],[Product ID]],"P001",220,"P002",150,"P003",130,"P004",70,"P005",200,"P006",40,"P007",25,"P008",20,"P009",190,"P010",530)</f>
        <v>70</v>
      </c>
      <c r="L536">
        <v>14</v>
      </c>
      <c r="M536" s="1">
        <f>Table1[[#This Row],[Unit Price]]*Table1[[#This Row],[Quantity]]</f>
        <v>980</v>
      </c>
      <c r="N536" s="2">
        <v>0.05</v>
      </c>
      <c r="O536" s="1">
        <f>Table1[[#This Row],[Gross Value]]*(1-Table1[[#This Row],[Discount]])</f>
        <v>931</v>
      </c>
      <c r="P536" s="2">
        <v>0.2</v>
      </c>
      <c r="Q536" s="1">
        <f>Table1[[#This Row],[Revenue]]*Table1[[#This Row],[VAT Rate]]</f>
        <v>186.20000000000002</v>
      </c>
      <c r="R536" s="1">
        <f>Table1[[#This Row],[Revenue]]+Table1[[#This Row],[VAT Charged]]</f>
        <v>1117.2</v>
      </c>
      <c r="S536" s="1" cm="1">
        <f t="array" ref="S536">_xlfn.SWITCH(Table1[[#This Row],[Product ID]],"P001",140,"P002",80,"P003",72,"P004",30,"P005",110,"P006",24,"P007",14,"P008",12,"P009",115,"P010",360)</f>
        <v>30</v>
      </c>
      <c r="T536" s="1" cm="1">
        <f t="array" ref="T536">(_xlfn.SWITCH(Table1[[#This Row],[Product ID]],"P001",140,"P002",80,"P003",72,"P004",30,"P005",110,"P006",24,"P007",14,"P008",12,"P009",115,"P010",360))*Table1[[#This Row],[Quantity]]</f>
        <v>420</v>
      </c>
      <c r="U536" s="1" cm="1">
        <f t="array" ref="U536">_xlfn.SWITCH(Table1[[#This Row],[Product ID]],"P001",15,"P002",0,"P003",8,"P004",8,"P005",0,"P006",7,"P007",7,"P008",6,"P009",45,"P010",60)</f>
        <v>8</v>
      </c>
      <c r="V536" s="1">
        <f>Table1[[#This Row],[Shipping per Unit]]*Table1[[#This Row],[Quantity]]</f>
        <v>112</v>
      </c>
      <c r="W536" s="2">
        <f>IF(Table1[[#This Row],[Total Shipping]]&gt;0.1,0.2,0)</f>
        <v>0.2</v>
      </c>
      <c r="X536" s="4">
        <f>Table1[[#This Row],[Total Shipping]]*Table1[[#This Row],[VAT on Shipping]]</f>
        <v>22.400000000000002</v>
      </c>
      <c r="Y536" s="1">
        <f>Table1[[#This Row],[Revenue]]-Table1[[#This Row],[COGS]]</f>
        <v>511</v>
      </c>
      <c r="Z536" s="3">
        <f>(Table1[[#This Row],[Profit]]/Table1[[#This Row],[Revenue]])</f>
        <v>0.54887218045112784</v>
      </c>
      <c r="AA536" s="1">
        <f>Table1[[#This Row],[Profit]]-Table1[[#This Row],[Total Shipping]]</f>
        <v>399</v>
      </c>
      <c r="AB536" s="3">
        <f>Table1[[#This Row],[Operating Profit]]/Table1[[#This Row],[Revenue]]</f>
        <v>0.42857142857142855</v>
      </c>
    </row>
    <row r="537" spans="1:28" x14ac:dyDescent="0.25">
      <c r="A537" t="s">
        <v>271</v>
      </c>
      <c r="B537">
        <v>905</v>
      </c>
      <c r="C537" t="s">
        <v>83</v>
      </c>
      <c r="D537" t="s">
        <v>95</v>
      </c>
      <c r="E537" t="s">
        <v>31</v>
      </c>
      <c r="F537" t="s">
        <v>86</v>
      </c>
      <c r="G537" t="str" cm="1">
        <f t="array" ref="G537">_xlfn.SWITCH(F537,"Acme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537" t="s">
        <v>33</v>
      </c>
      <c r="I537" t="s">
        <v>52</v>
      </c>
      <c r="J537" t="str" cm="1">
        <f t="array" ref="J537">_xlfn.SWITCH(I537,"P001","Laptop","P002","Server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37" s="1" cm="1">
        <f t="array" ref="K537">_xlfn.SWITCH(Table1[[#This Row],[Product ID]],"P001",220,"P002",150,"P003",130,"P004",70,"P005",200,"P006",40,"P007",25,"P008",20,"P009",190,"P010",530)</f>
        <v>130</v>
      </c>
      <c r="L537">
        <v>12</v>
      </c>
      <c r="M537" s="1">
        <f>Table1[[#This Row],[Unit Price]]*Table1[[#This Row],[Quantity]]</f>
        <v>1560</v>
      </c>
      <c r="N537" s="2">
        <v>0.08</v>
      </c>
      <c r="O537" s="1">
        <f>Table1[[#This Row],[Gross Value]]*(1-Table1[[#This Row],[Discount]])</f>
        <v>1435.2</v>
      </c>
      <c r="P537" s="2">
        <v>0.2</v>
      </c>
      <c r="Q537" s="1">
        <f>Table1[[#This Row],[Revenue]]*Table1[[#This Row],[VAT Rate]]</f>
        <v>287.04000000000002</v>
      </c>
      <c r="R537" s="1">
        <f>Table1[[#This Row],[Revenue]]+Table1[[#This Row],[VAT Charged]]</f>
        <v>1722.24</v>
      </c>
      <c r="S537" s="1" cm="1">
        <f t="array" ref="S537">_xlfn.SWITCH(Table1[[#This Row],[Product ID]],"P001",140,"P002",80,"P003",72,"P004",30,"P005",110,"P006",24,"P007",14,"P008",12,"P009",115,"P010",360)</f>
        <v>72</v>
      </c>
      <c r="T537" s="1" cm="1">
        <f t="array" ref="T537">(_xlfn.SWITCH(Table1[[#This Row],[Product ID]],"P001",140,"P002",80,"P003",72,"P004",30,"P005",110,"P006",24,"P007",14,"P008",12,"P009",115,"P010",360))*Table1[[#This Row],[Quantity]]</f>
        <v>864</v>
      </c>
      <c r="U537" s="1" cm="1">
        <f t="array" ref="U537">_xlfn.SWITCH(Table1[[#This Row],[Product ID]],"P001",15,"P002",0,"P003",8,"P004",8,"P005",0,"P006",7,"P007",7,"P008",6,"P009",45,"P010",60)</f>
        <v>8</v>
      </c>
      <c r="V537" s="1">
        <f>Table1[[#This Row],[Shipping per Unit]]*Table1[[#This Row],[Quantity]]</f>
        <v>96</v>
      </c>
      <c r="W537" s="2">
        <f>IF(Table1[[#This Row],[Total Shipping]]&gt;0.1,0.2,0)</f>
        <v>0.2</v>
      </c>
      <c r="X537" s="4">
        <f>Table1[[#This Row],[Total Shipping]]*Table1[[#This Row],[VAT on Shipping]]</f>
        <v>19.200000000000003</v>
      </c>
      <c r="Y537" s="1">
        <f>Table1[[#This Row],[Revenue]]-Table1[[#This Row],[COGS]]</f>
        <v>571.20000000000005</v>
      </c>
      <c r="Z537" s="3">
        <f>(Table1[[#This Row],[Profit]]/Table1[[#This Row],[Revenue]])</f>
        <v>0.39799331103678931</v>
      </c>
      <c r="AA537" s="1">
        <f>Table1[[#This Row],[Profit]]-Table1[[#This Row],[Total Shipping]]</f>
        <v>475.20000000000005</v>
      </c>
      <c r="AB537" s="3">
        <f>Table1[[#This Row],[Operating Profit]]/Table1[[#This Row],[Revenue]]</f>
        <v>0.33110367892976589</v>
      </c>
    </row>
    <row r="538" spans="1:28" x14ac:dyDescent="0.25">
      <c r="A538" t="s">
        <v>271</v>
      </c>
      <c r="B538">
        <v>937</v>
      </c>
      <c r="C538" t="s">
        <v>56</v>
      </c>
      <c r="D538" t="s">
        <v>95</v>
      </c>
      <c r="E538" t="s">
        <v>31</v>
      </c>
      <c r="F538" t="s">
        <v>86</v>
      </c>
      <c r="G538" t="str" cm="1">
        <f t="array" ref="G538">_xlfn.SWITCH(F538,"Acme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538" t="s">
        <v>69</v>
      </c>
      <c r="I538" t="s">
        <v>70</v>
      </c>
      <c r="J538" t="str" cm="1">
        <f t="array" ref="J538">_xlfn.SWITCH(I538,"P001","Laptop","P002","Server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538" s="1" cm="1">
        <f t="array" ref="K538">_xlfn.SWITCH(Table1[[#This Row],[Product ID]],"P001",220,"P002",150,"P003",130,"P004",70,"P005",200,"P006",40,"P007",25,"P008",20,"P009",190,"P010",530)</f>
        <v>150</v>
      </c>
      <c r="L538">
        <v>6</v>
      </c>
      <c r="M538" s="1">
        <f>Table1[[#This Row],[Unit Price]]*Table1[[#This Row],[Quantity]]</f>
        <v>900</v>
      </c>
      <c r="N538" s="2">
        <v>0.1</v>
      </c>
      <c r="O538" s="1">
        <f>Table1[[#This Row],[Gross Value]]*(1-Table1[[#This Row],[Discount]])</f>
        <v>810</v>
      </c>
      <c r="P538" s="2">
        <v>0.2</v>
      </c>
      <c r="Q538" s="1">
        <f>Table1[[#This Row],[Revenue]]*Table1[[#This Row],[VAT Rate]]</f>
        <v>162</v>
      </c>
      <c r="R538" s="1">
        <f>Table1[[#This Row],[Revenue]]+Table1[[#This Row],[VAT Charged]]</f>
        <v>972</v>
      </c>
      <c r="S538" s="1" cm="1">
        <f t="array" ref="S538">_xlfn.SWITCH(Table1[[#This Row],[Product ID]],"P001",140,"P002",80,"P003",72,"P004",30,"P005",110,"P006",24,"P007",14,"P008",12,"P009",115,"P010",360)</f>
        <v>80</v>
      </c>
      <c r="T538" s="1" cm="1">
        <f t="array" ref="T538">(_xlfn.SWITCH(Table1[[#This Row],[Product ID]],"P001",140,"P002",80,"P003",72,"P004",30,"P005",110,"P006",24,"P007",14,"P008",12,"P009",115,"P010",360))*Table1[[#This Row],[Quantity]]</f>
        <v>480</v>
      </c>
      <c r="U538" s="1" cm="1">
        <f t="array" ref="U538">_xlfn.SWITCH(Table1[[#This Row],[Product ID]],"P001",15,"P002",0,"P003",8,"P004",8,"P005",0,"P006",7,"P007",7,"P008",6,"P009",45,"P010",60)</f>
        <v>0</v>
      </c>
      <c r="V538" s="1">
        <f>Table1[[#This Row],[Shipping per Unit]]*Table1[[#This Row],[Quantity]]</f>
        <v>0</v>
      </c>
      <c r="W538" s="2">
        <f>IF(Table1[[#This Row],[Total Shipping]]&gt;0.1,0.2,0)</f>
        <v>0</v>
      </c>
      <c r="X538" s="4">
        <f>Table1[[#This Row],[Total Shipping]]*Table1[[#This Row],[VAT on Shipping]]</f>
        <v>0</v>
      </c>
      <c r="Y538" s="1">
        <f>Table1[[#This Row],[Revenue]]-Table1[[#This Row],[COGS]]</f>
        <v>330</v>
      </c>
      <c r="Z538" s="3">
        <f>(Table1[[#This Row],[Profit]]/Table1[[#This Row],[Revenue]])</f>
        <v>0.40740740740740738</v>
      </c>
      <c r="AA538" s="1">
        <f>Table1[[#This Row],[Profit]]-Table1[[#This Row],[Total Shipping]]</f>
        <v>330</v>
      </c>
      <c r="AB538" s="3">
        <f>Table1[[#This Row],[Operating Profit]]/Table1[[#This Row],[Revenue]]</f>
        <v>0.40740740740740738</v>
      </c>
    </row>
    <row r="539" spans="1:28" x14ac:dyDescent="0.25">
      <c r="A539" t="s">
        <v>271</v>
      </c>
      <c r="B539">
        <v>1000</v>
      </c>
      <c r="C539" t="s">
        <v>38</v>
      </c>
      <c r="D539" t="s">
        <v>95</v>
      </c>
      <c r="E539" t="s">
        <v>49</v>
      </c>
      <c r="F539" t="s">
        <v>44</v>
      </c>
      <c r="G539" t="str" cm="1">
        <f t="array" ref="G539">_xlfn.SWITCH(F539,"Acme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539" t="s">
        <v>33</v>
      </c>
      <c r="I539" t="s">
        <v>34</v>
      </c>
      <c r="J539" t="str" cm="1">
        <f t="array" ref="J539">_xlfn.SWITCH(I539,"P001","Laptop","P002","Server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539" s="1" cm="1">
        <f t="array" ref="K539">_xlfn.SWITCH(Table1[[#This Row],[Product ID]],"P001",220,"P002",150,"P003",130,"P004",70,"P005",200,"P006",40,"P007",25,"P008",20,"P009",190,"P010",530)</f>
        <v>20</v>
      </c>
      <c r="L539">
        <v>6</v>
      </c>
      <c r="M539" s="1">
        <f>Table1[[#This Row],[Unit Price]]*Table1[[#This Row],[Quantity]]</f>
        <v>120</v>
      </c>
      <c r="N539" s="2">
        <v>0.05</v>
      </c>
      <c r="O539" s="1">
        <f>Table1[[#This Row],[Gross Value]]*(1-Table1[[#This Row],[Discount]])</f>
        <v>114</v>
      </c>
      <c r="P539" s="2">
        <v>0.2</v>
      </c>
      <c r="Q539" s="1">
        <f>Table1[[#This Row],[Revenue]]*Table1[[#This Row],[VAT Rate]]</f>
        <v>22.8</v>
      </c>
      <c r="R539" s="1">
        <f>Table1[[#This Row],[Revenue]]+Table1[[#This Row],[VAT Charged]]</f>
        <v>136.80000000000001</v>
      </c>
      <c r="S539" s="1" cm="1">
        <f t="array" ref="S539">_xlfn.SWITCH(Table1[[#This Row],[Product ID]],"P001",140,"P002",80,"P003",72,"P004",30,"P005",110,"P006",24,"P007",14,"P008",12,"P009",115,"P010",360)</f>
        <v>12</v>
      </c>
      <c r="T539" s="1" cm="1">
        <f t="array" ref="T539">(_xlfn.SWITCH(Table1[[#This Row],[Product ID]],"P001",140,"P002",80,"P003",72,"P004",30,"P005",110,"P006",24,"P007",14,"P008",12,"P009",115,"P010",360))*Table1[[#This Row],[Quantity]]</f>
        <v>72</v>
      </c>
      <c r="U539" s="1" cm="1">
        <f t="array" ref="U539">_xlfn.SWITCH(Table1[[#This Row],[Product ID]],"P001",15,"P002",0,"P003",8,"P004",8,"P005",0,"P006",7,"P007",7,"P008",6,"P009",45,"P010",60)</f>
        <v>6</v>
      </c>
      <c r="V539" s="1">
        <f>Table1[[#This Row],[Shipping per Unit]]*Table1[[#This Row],[Quantity]]</f>
        <v>36</v>
      </c>
      <c r="W539" s="2">
        <f>IF(Table1[[#This Row],[Total Shipping]]&gt;0.1,0.2,0)</f>
        <v>0.2</v>
      </c>
      <c r="X539" s="4">
        <f>Table1[[#This Row],[Total Shipping]]*Table1[[#This Row],[VAT on Shipping]]</f>
        <v>7.2</v>
      </c>
      <c r="Y539" s="1">
        <f>Table1[[#This Row],[Revenue]]-Table1[[#This Row],[COGS]]</f>
        <v>42</v>
      </c>
      <c r="Z539" s="3">
        <f>(Table1[[#This Row],[Profit]]/Table1[[#This Row],[Revenue]])</f>
        <v>0.36842105263157893</v>
      </c>
      <c r="AA539" s="1">
        <f>Table1[[#This Row],[Profit]]-Table1[[#This Row],[Total Shipping]]</f>
        <v>6</v>
      </c>
      <c r="AB539" s="3">
        <f>Table1[[#This Row],[Operating Profit]]/Table1[[#This Row],[Revenue]]</f>
        <v>5.2631578947368418E-2</v>
      </c>
    </row>
    <row r="540" spans="1:28" x14ac:dyDescent="0.25">
      <c r="A540" t="s">
        <v>272</v>
      </c>
      <c r="B540">
        <v>674</v>
      </c>
      <c r="C540" t="s">
        <v>83</v>
      </c>
      <c r="D540" t="s">
        <v>53</v>
      </c>
      <c r="E540" t="s">
        <v>40</v>
      </c>
      <c r="F540" t="s">
        <v>90</v>
      </c>
      <c r="G540" t="str" cm="1">
        <f t="array" ref="G540">_xlfn.SWITCH(F540,"Acme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540" t="s">
        <v>58</v>
      </c>
      <c r="I540" t="s">
        <v>70</v>
      </c>
      <c r="J540" t="str" cm="1">
        <f t="array" ref="J540">_xlfn.SWITCH(I540,"P001","Laptop","P002","Server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540" s="1" cm="1">
        <f t="array" ref="K540">_xlfn.SWITCH(Table1[[#This Row],[Product ID]],"P001",220,"P002",150,"P003",130,"P004",70,"P005",200,"P006",40,"P007",25,"P008",20,"P009",190,"P010",530)</f>
        <v>150</v>
      </c>
      <c r="L540">
        <v>12</v>
      </c>
      <c r="M540" s="1">
        <f>Table1[[#This Row],[Unit Price]]*Table1[[#This Row],[Quantity]]</f>
        <v>1800</v>
      </c>
      <c r="N540" s="2">
        <v>0.09</v>
      </c>
      <c r="O540" s="1">
        <f>Table1[[#This Row],[Gross Value]]*(1-Table1[[#This Row],[Discount]])</f>
        <v>1638</v>
      </c>
      <c r="P540" s="2">
        <v>0.2</v>
      </c>
      <c r="Q540" s="1">
        <f>Table1[[#This Row],[Revenue]]*Table1[[#This Row],[VAT Rate]]</f>
        <v>327.60000000000002</v>
      </c>
      <c r="R540" s="1">
        <f>Table1[[#This Row],[Revenue]]+Table1[[#This Row],[VAT Charged]]</f>
        <v>1965.6</v>
      </c>
      <c r="S540" s="1" cm="1">
        <f t="array" ref="S540">_xlfn.SWITCH(Table1[[#This Row],[Product ID]],"P001",140,"P002",80,"P003",72,"P004",30,"P005",110,"P006",24,"P007",14,"P008",12,"P009",115,"P010",360)</f>
        <v>80</v>
      </c>
      <c r="T540" s="1" cm="1">
        <f t="array" ref="T540">(_xlfn.SWITCH(Table1[[#This Row],[Product ID]],"P001",140,"P002",80,"P003",72,"P004",30,"P005",110,"P006",24,"P007",14,"P008",12,"P009",115,"P010",360))*Table1[[#This Row],[Quantity]]</f>
        <v>960</v>
      </c>
      <c r="U540" s="1" cm="1">
        <f t="array" ref="U540">_xlfn.SWITCH(Table1[[#This Row],[Product ID]],"P001",15,"P002",0,"P003",8,"P004",8,"P005",0,"P006",7,"P007",7,"P008",6,"P009",45,"P010",60)</f>
        <v>0</v>
      </c>
      <c r="V540" s="1">
        <f>Table1[[#This Row],[Shipping per Unit]]*Table1[[#This Row],[Quantity]]</f>
        <v>0</v>
      </c>
      <c r="W540" s="2">
        <f>IF(Table1[[#This Row],[Total Shipping]]&gt;0.1,0.2,0)</f>
        <v>0</v>
      </c>
      <c r="X540" s="4">
        <f>Table1[[#This Row],[Total Shipping]]*Table1[[#This Row],[VAT on Shipping]]</f>
        <v>0</v>
      </c>
      <c r="Y540" s="1">
        <f>Table1[[#This Row],[Revenue]]-Table1[[#This Row],[COGS]]</f>
        <v>678</v>
      </c>
      <c r="Z540" s="3">
        <f>(Table1[[#This Row],[Profit]]/Table1[[#This Row],[Revenue]])</f>
        <v>0.41391941391941389</v>
      </c>
      <c r="AA540" s="1">
        <f>Table1[[#This Row],[Profit]]-Table1[[#This Row],[Total Shipping]]</f>
        <v>678</v>
      </c>
      <c r="AB540" s="3">
        <f>Table1[[#This Row],[Operating Profit]]/Table1[[#This Row],[Revenue]]</f>
        <v>0.41391941391941389</v>
      </c>
    </row>
    <row r="541" spans="1:28" x14ac:dyDescent="0.25">
      <c r="A541" t="s">
        <v>273</v>
      </c>
      <c r="B541">
        <v>113</v>
      </c>
      <c r="C541" t="s">
        <v>71</v>
      </c>
      <c r="D541" t="s">
        <v>57</v>
      </c>
      <c r="E541" t="s">
        <v>40</v>
      </c>
      <c r="F541" t="s">
        <v>92</v>
      </c>
      <c r="G541" t="str" cm="1">
        <f t="array" ref="G541">_xlfn.SWITCH(F541,"Acme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541" t="s">
        <v>33</v>
      </c>
      <c r="I541" t="s">
        <v>42</v>
      </c>
      <c r="J541" t="str" cm="1">
        <f t="array" ref="J541">_xlfn.SWITCH(I541,"P001","Laptop","P002","Server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41" s="1" cm="1">
        <f t="array" ref="K541">_xlfn.SWITCH(Table1[[#This Row],[Product ID]],"P001",220,"P002",150,"P003",130,"P004",70,"P005",200,"P006",40,"P007",25,"P008",20,"P009",190,"P010",530)</f>
        <v>40</v>
      </c>
      <c r="L541">
        <v>1</v>
      </c>
      <c r="M541" s="1">
        <f>Table1[[#This Row],[Unit Price]]*Table1[[#This Row],[Quantity]]</f>
        <v>40</v>
      </c>
      <c r="N541" s="2">
        <v>0.05</v>
      </c>
      <c r="O541" s="1">
        <f>Table1[[#This Row],[Gross Value]]*(1-Table1[[#This Row],[Discount]])</f>
        <v>38</v>
      </c>
      <c r="P541" s="2">
        <v>0.2</v>
      </c>
      <c r="Q541" s="1">
        <f>Table1[[#This Row],[Revenue]]*Table1[[#This Row],[VAT Rate]]</f>
        <v>7.6000000000000005</v>
      </c>
      <c r="R541" s="1">
        <f>Table1[[#This Row],[Revenue]]+Table1[[#This Row],[VAT Charged]]</f>
        <v>45.6</v>
      </c>
      <c r="S541" s="1" cm="1">
        <f t="array" ref="S541">_xlfn.SWITCH(Table1[[#This Row],[Product ID]],"P001",140,"P002",80,"P003",72,"P004",30,"P005",110,"P006",24,"P007",14,"P008",12,"P009",115,"P010",360)</f>
        <v>24</v>
      </c>
      <c r="T541" s="1" cm="1">
        <f t="array" ref="T541">(_xlfn.SWITCH(Table1[[#This Row],[Product ID]],"P001",140,"P002",80,"P003",72,"P004",30,"P005",110,"P006",24,"P007",14,"P008",12,"P009",115,"P010",360))*Table1[[#This Row],[Quantity]]</f>
        <v>24</v>
      </c>
      <c r="U541" s="1" cm="1">
        <f t="array" ref="U541">_xlfn.SWITCH(Table1[[#This Row],[Product ID]],"P001",15,"P002",0,"P003",8,"P004",8,"P005",0,"P006",7,"P007",7,"P008",6,"P009",45,"P010",60)</f>
        <v>7</v>
      </c>
      <c r="V541" s="1">
        <f>Table1[[#This Row],[Shipping per Unit]]*Table1[[#This Row],[Quantity]]</f>
        <v>7</v>
      </c>
      <c r="W541" s="2">
        <f>IF(Table1[[#This Row],[Total Shipping]]&gt;0.1,0.2,0)</f>
        <v>0.2</v>
      </c>
      <c r="X541" s="4">
        <f>Table1[[#This Row],[Total Shipping]]*Table1[[#This Row],[VAT on Shipping]]</f>
        <v>1.4000000000000001</v>
      </c>
      <c r="Y541" s="1">
        <f>Table1[[#This Row],[Revenue]]-Table1[[#This Row],[COGS]]</f>
        <v>14</v>
      </c>
      <c r="Z541" s="3">
        <f>(Table1[[#This Row],[Profit]]/Table1[[#This Row],[Revenue]])</f>
        <v>0.36842105263157893</v>
      </c>
      <c r="AA541" s="1">
        <f>Table1[[#This Row],[Profit]]-Table1[[#This Row],[Total Shipping]]</f>
        <v>7</v>
      </c>
      <c r="AB541" s="3">
        <f>Table1[[#This Row],[Operating Profit]]/Table1[[#This Row],[Revenue]]</f>
        <v>0.18421052631578946</v>
      </c>
    </row>
    <row r="542" spans="1:28" x14ac:dyDescent="0.25">
      <c r="A542" t="s">
        <v>273</v>
      </c>
      <c r="B542">
        <v>400</v>
      </c>
      <c r="C542" t="s">
        <v>35</v>
      </c>
      <c r="D542" t="s">
        <v>95</v>
      </c>
      <c r="E542" t="s">
        <v>40</v>
      </c>
      <c r="F542" t="s">
        <v>64</v>
      </c>
      <c r="G542" t="str" cm="1">
        <f t="array" ref="G542">_xlfn.SWITCH(F542,"Acme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542" t="s">
        <v>69</v>
      </c>
      <c r="I542" t="s">
        <v>75</v>
      </c>
      <c r="J542" t="str" cm="1">
        <f t="array" ref="J542">_xlfn.SWITCH(I542,"P001","Laptop","P002","Server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42" s="1" cm="1">
        <f t="array" ref="K542">_xlfn.SWITCH(Table1[[#This Row],[Product ID]],"P001",220,"P002",150,"P003",130,"P004",70,"P005",200,"P006",40,"P007",25,"P008",20,"P009",190,"P010",530)</f>
        <v>200</v>
      </c>
      <c r="L542">
        <v>6</v>
      </c>
      <c r="M542" s="1">
        <f>Table1[[#This Row],[Unit Price]]*Table1[[#This Row],[Quantity]]</f>
        <v>1200</v>
      </c>
      <c r="N542" s="2">
        <v>0.05</v>
      </c>
      <c r="O542" s="1">
        <f>Table1[[#This Row],[Gross Value]]*(1-Table1[[#This Row],[Discount]])</f>
        <v>1140</v>
      </c>
      <c r="P542" s="2">
        <v>0.2</v>
      </c>
      <c r="Q542" s="1">
        <f>Table1[[#This Row],[Revenue]]*Table1[[#This Row],[VAT Rate]]</f>
        <v>228</v>
      </c>
      <c r="R542" s="1">
        <f>Table1[[#This Row],[Revenue]]+Table1[[#This Row],[VAT Charged]]</f>
        <v>1368</v>
      </c>
      <c r="S542" s="1" cm="1">
        <f t="array" ref="S542">_xlfn.SWITCH(Table1[[#This Row],[Product ID]],"P001",140,"P002",80,"P003",72,"P004",30,"P005",110,"P006",24,"P007",14,"P008",12,"P009",115,"P010",360)</f>
        <v>110</v>
      </c>
      <c r="T542" s="1" cm="1">
        <f t="array" ref="T542">(_xlfn.SWITCH(Table1[[#This Row],[Product ID]],"P001",140,"P002",80,"P003",72,"P004",30,"P005",110,"P006",24,"P007",14,"P008",12,"P009",115,"P010",360))*Table1[[#This Row],[Quantity]]</f>
        <v>660</v>
      </c>
      <c r="U542" s="1" cm="1">
        <f t="array" ref="U542">_xlfn.SWITCH(Table1[[#This Row],[Product ID]],"P001",15,"P002",0,"P003",8,"P004",8,"P005",0,"P006",7,"P007",7,"P008",6,"P009",45,"P010",60)</f>
        <v>0</v>
      </c>
      <c r="V542" s="1">
        <f>Table1[[#This Row],[Shipping per Unit]]*Table1[[#This Row],[Quantity]]</f>
        <v>0</v>
      </c>
      <c r="W542" s="2">
        <f>IF(Table1[[#This Row],[Total Shipping]]&gt;0.1,0.2,0)</f>
        <v>0</v>
      </c>
      <c r="X542" s="4">
        <f>Table1[[#This Row],[Total Shipping]]*Table1[[#This Row],[VAT on Shipping]]</f>
        <v>0</v>
      </c>
      <c r="Y542" s="1">
        <f>Table1[[#This Row],[Revenue]]-Table1[[#This Row],[COGS]]</f>
        <v>480</v>
      </c>
      <c r="Z542" s="3">
        <f>(Table1[[#This Row],[Profit]]/Table1[[#This Row],[Revenue]])</f>
        <v>0.42105263157894735</v>
      </c>
      <c r="AA542" s="1">
        <f>Table1[[#This Row],[Profit]]-Table1[[#This Row],[Total Shipping]]</f>
        <v>480</v>
      </c>
      <c r="AB542" s="3">
        <f>Table1[[#This Row],[Operating Profit]]/Table1[[#This Row],[Revenue]]</f>
        <v>0.42105263157894735</v>
      </c>
    </row>
    <row r="543" spans="1:28" x14ac:dyDescent="0.25">
      <c r="A543" t="s">
        <v>273</v>
      </c>
      <c r="B543">
        <v>553</v>
      </c>
      <c r="C543" t="s">
        <v>71</v>
      </c>
      <c r="D543" t="s">
        <v>95</v>
      </c>
      <c r="E543" t="s">
        <v>49</v>
      </c>
      <c r="F543" t="s">
        <v>41</v>
      </c>
      <c r="G543" t="str" cm="1">
        <f t="array" ref="G543">_xlfn.SWITCH(F543,"Acme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543" t="s">
        <v>58</v>
      </c>
      <c r="I543" t="s">
        <v>34</v>
      </c>
      <c r="J543" t="str" cm="1">
        <f t="array" ref="J543">_xlfn.SWITCH(I543,"P001","Laptop","P002","Server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543" s="1" cm="1">
        <f t="array" ref="K543">_xlfn.SWITCH(Table1[[#This Row],[Product ID]],"P001",220,"P002",150,"P003",130,"P004",70,"P005",200,"P006",40,"P007",25,"P008",20,"P009",190,"P010",530)</f>
        <v>20</v>
      </c>
      <c r="L543">
        <v>1</v>
      </c>
      <c r="M543" s="1">
        <f>Table1[[#This Row],[Unit Price]]*Table1[[#This Row],[Quantity]]</f>
        <v>20</v>
      </c>
      <c r="N543" s="2">
        <v>0.04</v>
      </c>
      <c r="O543" s="1">
        <f>Table1[[#This Row],[Gross Value]]*(1-Table1[[#This Row],[Discount]])</f>
        <v>19.2</v>
      </c>
      <c r="P543" s="2">
        <v>0.2</v>
      </c>
      <c r="Q543" s="1">
        <f>Table1[[#This Row],[Revenue]]*Table1[[#This Row],[VAT Rate]]</f>
        <v>3.84</v>
      </c>
      <c r="R543" s="1">
        <f>Table1[[#This Row],[Revenue]]+Table1[[#This Row],[VAT Charged]]</f>
        <v>23.04</v>
      </c>
      <c r="S543" s="1" cm="1">
        <f t="array" ref="S543">_xlfn.SWITCH(Table1[[#This Row],[Product ID]],"P001",140,"P002",80,"P003",72,"P004",30,"P005",110,"P006",24,"P007",14,"P008",12,"P009",115,"P010",360)</f>
        <v>12</v>
      </c>
      <c r="T543" s="1" cm="1">
        <f t="array" ref="T543">(_xlfn.SWITCH(Table1[[#This Row],[Product ID]],"P001",140,"P002",80,"P003",72,"P004",30,"P005",110,"P006",24,"P007",14,"P008",12,"P009",115,"P010",360))*Table1[[#This Row],[Quantity]]</f>
        <v>12</v>
      </c>
      <c r="U543" s="1" cm="1">
        <f t="array" ref="U543">_xlfn.SWITCH(Table1[[#This Row],[Product ID]],"P001",15,"P002",0,"P003",8,"P004",8,"P005",0,"P006",7,"P007",7,"P008",6,"P009",45,"P010",60)</f>
        <v>6</v>
      </c>
      <c r="V543" s="1">
        <f>Table1[[#This Row],[Shipping per Unit]]*Table1[[#This Row],[Quantity]]</f>
        <v>6</v>
      </c>
      <c r="W543" s="2">
        <f>IF(Table1[[#This Row],[Total Shipping]]&gt;0.1,0.2,0)</f>
        <v>0.2</v>
      </c>
      <c r="X543" s="4">
        <f>Table1[[#This Row],[Total Shipping]]*Table1[[#This Row],[VAT on Shipping]]</f>
        <v>1.2000000000000002</v>
      </c>
      <c r="Y543" s="1">
        <f>Table1[[#This Row],[Revenue]]-Table1[[#This Row],[COGS]]</f>
        <v>7.1999999999999993</v>
      </c>
      <c r="Z543" s="3">
        <f>(Table1[[#This Row],[Profit]]/Table1[[#This Row],[Revenue]])</f>
        <v>0.375</v>
      </c>
      <c r="AA543" s="1">
        <f>Table1[[#This Row],[Profit]]-Table1[[#This Row],[Total Shipping]]</f>
        <v>1.1999999999999993</v>
      </c>
      <c r="AB543" s="3">
        <f>Table1[[#This Row],[Operating Profit]]/Table1[[#This Row],[Revenue]]</f>
        <v>6.2499999999999965E-2</v>
      </c>
    </row>
    <row r="544" spans="1:28" x14ac:dyDescent="0.25">
      <c r="A544" t="s">
        <v>273</v>
      </c>
      <c r="B544">
        <v>684</v>
      </c>
      <c r="C544" t="s">
        <v>65</v>
      </c>
      <c r="D544" t="s">
        <v>39</v>
      </c>
      <c r="E544" t="s">
        <v>49</v>
      </c>
      <c r="F544" t="s">
        <v>59</v>
      </c>
      <c r="G544" t="str" cm="1">
        <f t="array" ref="G544">_xlfn.SWITCH(F544,"Acme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544" t="s">
        <v>33</v>
      </c>
      <c r="I544" t="s">
        <v>75</v>
      </c>
      <c r="J544" t="str" cm="1">
        <f t="array" ref="J544">_xlfn.SWITCH(I544,"P001","Laptop","P002","Server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44" s="1" cm="1">
        <f t="array" ref="K544">_xlfn.SWITCH(Table1[[#This Row],[Product ID]],"P001",220,"P002",150,"P003",130,"P004",70,"P005",200,"P006",40,"P007",25,"P008",20,"P009",190,"P010",530)</f>
        <v>200</v>
      </c>
      <c r="L544">
        <v>20</v>
      </c>
      <c r="M544" s="1">
        <f>Table1[[#This Row],[Unit Price]]*Table1[[#This Row],[Quantity]]</f>
        <v>4000</v>
      </c>
      <c r="N544" s="2">
        <v>0.03</v>
      </c>
      <c r="O544" s="1">
        <f>Table1[[#This Row],[Gross Value]]*(1-Table1[[#This Row],[Discount]])</f>
        <v>3880</v>
      </c>
      <c r="P544" s="2">
        <v>0.2</v>
      </c>
      <c r="Q544" s="1">
        <f>Table1[[#This Row],[Revenue]]*Table1[[#This Row],[VAT Rate]]</f>
        <v>776</v>
      </c>
      <c r="R544" s="1">
        <f>Table1[[#This Row],[Revenue]]+Table1[[#This Row],[VAT Charged]]</f>
        <v>4656</v>
      </c>
      <c r="S544" s="1" cm="1">
        <f t="array" ref="S544">_xlfn.SWITCH(Table1[[#This Row],[Product ID]],"P001",140,"P002",80,"P003",72,"P004",30,"P005",110,"P006",24,"P007",14,"P008",12,"P009",115,"P010",360)</f>
        <v>110</v>
      </c>
      <c r="T544" s="1" cm="1">
        <f t="array" ref="T544">(_xlfn.SWITCH(Table1[[#This Row],[Product ID]],"P001",140,"P002",80,"P003",72,"P004",30,"P005",110,"P006",24,"P007",14,"P008",12,"P009",115,"P010",360))*Table1[[#This Row],[Quantity]]</f>
        <v>2200</v>
      </c>
      <c r="U544" s="1" cm="1">
        <f t="array" ref="U544">_xlfn.SWITCH(Table1[[#This Row],[Product ID]],"P001",15,"P002",0,"P003",8,"P004",8,"P005",0,"P006",7,"P007",7,"P008",6,"P009",45,"P010",60)</f>
        <v>0</v>
      </c>
      <c r="V544" s="1">
        <f>Table1[[#This Row],[Shipping per Unit]]*Table1[[#This Row],[Quantity]]</f>
        <v>0</v>
      </c>
      <c r="W544" s="2">
        <f>IF(Table1[[#This Row],[Total Shipping]]&gt;0.1,0.2,0)</f>
        <v>0</v>
      </c>
      <c r="X544" s="4">
        <f>Table1[[#This Row],[Total Shipping]]*Table1[[#This Row],[VAT on Shipping]]</f>
        <v>0</v>
      </c>
      <c r="Y544" s="1">
        <f>Table1[[#This Row],[Revenue]]-Table1[[#This Row],[COGS]]</f>
        <v>1680</v>
      </c>
      <c r="Z544" s="3">
        <f>(Table1[[#This Row],[Profit]]/Table1[[#This Row],[Revenue]])</f>
        <v>0.4329896907216495</v>
      </c>
      <c r="AA544" s="1">
        <f>Table1[[#This Row],[Profit]]-Table1[[#This Row],[Total Shipping]]</f>
        <v>1680</v>
      </c>
      <c r="AB544" s="3">
        <f>Table1[[#This Row],[Operating Profit]]/Table1[[#This Row],[Revenue]]</f>
        <v>0.4329896907216495</v>
      </c>
    </row>
    <row r="545" spans="1:28" x14ac:dyDescent="0.25">
      <c r="A545" t="s">
        <v>274</v>
      </c>
      <c r="B545">
        <v>230</v>
      </c>
      <c r="C545" t="s">
        <v>29</v>
      </c>
      <c r="D545" t="s">
        <v>30</v>
      </c>
      <c r="E545" t="s">
        <v>40</v>
      </c>
      <c r="F545" t="s">
        <v>86</v>
      </c>
      <c r="G545" t="str" cm="1">
        <f t="array" ref="G545">_xlfn.SWITCH(F545,"Acme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545" t="s">
        <v>58</v>
      </c>
      <c r="I545" t="s">
        <v>55</v>
      </c>
      <c r="J545" t="str" cm="1">
        <f t="array" ref="J545">_xlfn.SWITCH(I545,"P001","Laptop","P002","Server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45" s="1" cm="1">
        <f t="array" ref="K545">_xlfn.SWITCH(Table1[[#This Row],[Product ID]],"P001",220,"P002",150,"P003",130,"P004",70,"P005",200,"P006",40,"P007",25,"P008",20,"P009",190,"P010",530)</f>
        <v>70</v>
      </c>
      <c r="L545">
        <v>15</v>
      </c>
      <c r="M545" s="1">
        <f>Table1[[#This Row],[Unit Price]]*Table1[[#This Row],[Quantity]]</f>
        <v>1050</v>
      </c>
      <c r="N545" s="2">
        <v>0.03</v>
      </c>
      <c r="O545" s="1">
        <f>Table1[[#This Row],[Gross Value]]*(1-Table1[[#This Row],[Discount]])</f>
        <v>1018.5</v>
      </c>
      <c r="P545" s="2">
        <v>0.2</v>
      </c>
      <c r="Q545" s="1">
        <f>Table1[[#This Row],[Revenue]]*Table1[[#This Row],[VAT Rate]]</f>
        <v>203.70000000000002</v>
      </c>
      <c r="R545" s="1">
        <f>Table1[[#This Row],[Revenue]]+Table1[[#This Row],[VAT Charged]]</f>
        <v>1222.2</v>
      </c>
      <c r="S545" s="1" cm="1">
        <f t="array" ref="S545">_xlfn.SWITCH(Table1[[#This Row],[Product ID]],"P001",140,"P002",80,"P003",72,"P004",30,"P005",110,"P006",24,"P007",14,"P008",12,"P009",115,"P010",360)</f>
        <v>30</v>
      </c>
      <c r="T545" s="1" cm="1">
        <f t="array" ref="T545">(_xlfn.SWITCH(Table1[[#This Row],[Product ID]],"P001",140,"P002",80,"P003",72,"P004",30,"P005",110,"P006",24,"P007",14,"P008",12,"P009",115,"P010",360))*Table1[[#This Row],[Quantity]]</f>
        <v>450</v>
      </c>
      <c r="U545" s="1" cm="1">
        <f t="array" ref="U545">_xlfn.SWITCH(Table1[[#This Row],[Product ID]],"P001",15,"P002",0,"P003",8,"P004",8,"P005",0,"P006",7,"P007",7,"P008",6,"P009",45,"P010",60)</f>
        <v>8</v>
      </c>
      <c r="V545" s="1">
        <f>Table1[[#This Row],[Shipping per Unit]]*Table1[[#This Row],[Quantity]]</f>
        <v>120</v>
      </c>
      <c r="W545" s="2">
        <f>IF(Table1[[#This Row],[Total Shipping]]&gt;0.1,0.2,0)</f>
        <v>0.2</v>
      </c>
      <c r="X545" s="4">
        <f>Table1[[#This Row],[Total Shipping]]*Table1[[#This Row],[VAT on Shipping]]</f>
        <v>24</v>
      </c>
      <c r="Y545" s="1">
        <f>Table1[[#This Row],[Revenue]]-Table1[[#This Row],[COGS]]</f>
        <v>568.5</v>
      </c>
      <c r="Z545" s="3">
        <f>(Table1[[#This Row],[Profit]]/Table1[[#This Row],[Revenue]])</f>
        <v>0.5581737849779087</v>
      </c>
      <c r="AA545" s="1">
        <f>Table1[[#This Row],[Profit]]-Table1[[#This Row],[Total Shipping]]</f>
        <v>448.5</v>
      </c>
      <c r="AB545" s="3">
        <f>Table1[[#This Row],[Operating Profit]]/Table1[[#This Row],[Revenue]]</f>
        <v>0.44035346097201766</v>
      </c>
    </row>
    <row r="546" spans="1:28" x14ac:dyDescent="0.25">
      <c r="A546" t="s">
        <v>274</v>
      </c>
      <c r="B546">
        <v>636</v>
      </c>
      <c r="C546" t="s">
        <v>35</v>
      </c>
      <c r="D546" t="s">
        <v>72</v>
      </c>
      <c r="E546" t="s">
        <v>49</v>
      </c>
      <c r="F546" t="s">
        <v>74</v>
      </c>
      <c r="G546" t="str" cm="1">
        <f t="array" ref="G546">_xlfn.SWITCH(F546,"Acme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546" t="s">
        <v>33</v>
      </c>
      <c r="I546" t="s">
        <v>52</v>
      </c>
      <c r="J546" t="str" cm="1">
        <f t="array" ref="J546">_xlfn.SWITCH(I546,"P001","Laptop","P002","Server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46" s="1" cm="1">
        <f t="array" ref="K546">_xlfn.SWITCH(Table1[[#This Row],[Product ID]],"P001",220,"P002",150,"P003",130,"P004",70,"P005",200,"P006",40,"P007",25,"P008",20,"P009",190,"P010",530)</f>
        <v>130</v>
      </c>
      <c r="L546">
        <v>1</v>
      </c>
      <c r="M546" s="1">
        <f>Table1[[#This Row],[Unit Price]]*Table1[[#This Row],[Quantity]]</f>
        <v>130</v>
      </c>
      <c r="N546" s="2">
        <v>0.08</v>
      </c>
      <c r="O546" s="1">
        <f>Table1[[#This Row],[Gross Value]]*(1-Table1[[#This Row],[Discount]])</f>
        <v>119.60000000000001</v>
      </c>
      <c r="P546" s="2">
        <v>0.2</v>
      </c>
      <c r="Q546" s="1">
        <f>Table1[[#This Row],[Revenue]]*Table1[[#This Row],[VAT Rate]]</f>
        <v>23.92</v>
      </c>
      <c r="R546" s="1">
        <f>Table1[[#This Row],[Revenue]]+Table1[[#This Row],[VAT Charged]]</f>
        <v>143.52000000000001</v>
      </c>
      <c r="S546" s="1" cm="1">
        <f t="array" ref="S546">_xlfn.SWITCH(Table1[[#This Row],[Product ID]],"P001",140,"P002",80,"P003",72,"P004",30,"P005",110,"P006",24,"P007",14,"P008",12,"P009",115,"P010",360)</f>
        <v>72</v>
      </c>
      <c r="T546" s="1" cm="1">
        <f t="array" ref="T546">(_xlfn.SWITCH(Table1[[#This Row],[Product ID]],"P001",140,"P002",80,"P003",72,"P004",30,"P005",110,"P006",24,"P007",14,"P008",12,"P009",115,"P010",360))*Table1[[#This Row],[Quantity]]</f>
        <v>72</v>
      </c>
      <c r="U546" s="1" cm="1">
        <f t="array" ref="U546">_xlfn.SWITCH(Table1[[#This Row],[Product ID]],"P001",15,"P002",0,"P003",8,"P004",8,"P005",0,"P006",7,"P007",7,"P008",6,"P009",45,"P010",60)</f>
        <v>8</v>
      </c>
      <c r="V546" s="1">
        <f>Table1[[#This Row],[Shipping per Unit]]*Table1[[#This Row],[Quantity]]</f>
        <v>8</v>
      </c>
      <c r="W546" s="2">
        <f>IF(Table1[[#This Row],[Total Shipping]]&gt;0.1,0.2,0)</f>
        <v>0.2</v>
      </c>
      <c r="X546" s="4">
        <f>Table1[[#This Row],[Total Shipping]]*Table1[[#This Row],[VAT on Shipping]]</f>
        <v>1.6</v>
      </c>
      <c r="Y546" s="1">
        <f>Table1[[#This Row],[Revenue]]-Table1[[#This Row],[COGS]]</f>
        <v>47.600000000000009</v>
      </c>
      <c r="Z546" s="3">
        <f>(Table1[[#This Row],[Profit]]/Table1[[#This Row],[Revenue]])</f>
        <v>0.39799331103678937</v>
      </c>
      <c r="AA546" s="1">
        <f>Table1[[#This Row],[Profit]]-Table1[[#This Row],[Total Shipping]]</f>
        <v>39.600000000000009</v>
      </c>
      <c r="AB546" s="3">
        <f>Table1[[#This Row],[Operating Profit]]/Table1[[#This Row],[Revenue]]</f>
        <v>0.33110367892976594</v>
      </c>
    </row>
    <row r="547" spans="1:28" x14ac:dyDescent="0.25">
      <c r="A547" t="s">
        <v>274</v>
      </c>
      <c r="B547">
        <v>668</v>
      </c>
      <c r="C547" t="s">
        <v>29</v>
      </c>
      <c r="D547" t="s">
        <v>39</v>
      </c>
      <c r="E547" t="s">
        <v>40</v>
      </c>
      <c r="F547" t="s">
        <v>54</v>
      </c>
      <c r="G547" t="str" cm="1">
        <f t="array" ref="G547">_xlfn.SWITCH(F547,"Acme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547" t="s">
        <v>45</v>
      </c>
      <c r="I547" t="s">
        <v>55</v>
      </c>
      <c r="J547" t="str" cm="1">
        <f t="array" ref="J547">_xlfn.SWITCH(I547,"P001","Laptop","P002","Server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47" s="1" cm="1">
        <f t="array" ref="K547">_xlfn.SWITCH(Table1[[#This Row],[Product ID]],"P001",220,"P002",150,"P003",130,"P004",70,"P005",200,"P006",40,"P007",25,"P008",20,"P009",190,"P010",530)</f>
        <v>70</v>
      </c>
      <c r="L547">
        <v>7</v>
      </c>
      <c r="M547" s="1">
        <f>Table1[[#This Row],[Unit Price]]*Table1[[#This Row],[Quantity]]</f>
        <v>490</v>
      </c>
      <c r="N547" s="2">
        <v>7.0000000000000007E-2</v>
      </c>
      <c r="O547" s="1">
        <f>Table1[[#This Row],[Gross Value]]*(1-Table1[[#This Row],[Discount]])</f>
        <v>455.7</v>
      </c>
      <c r="P547" s="2">
        <v>0.2</v>
      </c>
      <c r="Q547" s="1">
        <f>Table1[[#This Row],[Revenue]]*Table1[[#This Row],[VAT Rate]]</f>
        <v>91.14</v>
      </c>
      <c r="R547" s="1">
        <f>Table1[[#This Row],[Revenue]]+Table1[[#This Row],[VAT Charged]]</f>
        <v>546.84</v>
      </c>
      <c r="S547" s="1" cm="1">
        <f t="array" ref="S547">_xlfn.SWITCH(Table1[[#This Row],[Product ID]],"P001",140,"P002",80,"P003",72,"P004",30,"P005",110,"P006",24,"P007",14,"P008",12,"P009",115,"P010",360)</f>
        <v>30</v>
      </c>
      <c r="T547" s="1" cm="1">
        <f t="array" ref="T547">(_xlfn.SWITCH(Table1[[#This Row],[Product ID]],"P001",140,"P002",80,"P003",72,"P004",30,"P005",110,"P006",24,"P007",14,"P008",12,"P009",115,"P010",360))*Table1[[#This Row],[Quantity]]</f>
        <v>210</v>
      </c>
      <c r="U547" s="1" cm="1">
        <f t="array" ref="U547">_xlfn.SWITCH(Table1[[#This Row],[Product ID]],"P001",15,"P002",0,"P003",8,"P004",8,"P005",0,"P006",7,"P007",7,"P008",6,"P009",45,"P010",60)</f>
        <v>8</v>
      </c>
      <c r="V547" s="1">
        <f>Table1[[#This Row],[Shipping per Unit]]*Table1[[#This Row],[Quantity]]</f>
        <v>56</v>
      </c>
      <c r="W547" s="2">
        <f>IF(Table1[[#This Row],[Total Shipping]]&gt;0.1,0.2,0)</f>
        <v>0.2</v>
      </c>
      <c r="X547" s="4">
        <f>Table1[[#This Row],[Total Shipping]]*Table1[[#This Row],[VAT on Shipping]]</f>
        <v>11.200000000000001</v>
      </c>
      <c r="Y547" s="1">
        <f>Table1[[#This Row],[Revenue]]-Table1[[#This Row],[COGS]]</f>
        <v>245.7</v>
      </c>
      <c r="Z547" s="3">
        <f>(Table1[[#This Row],[Profit]]/Table1[[#This Row],[Revenue]])</f>
        <v>0.53917050691244239</v>
      </c>
      <c r="AA547" s="1">
        <f>Table1[[#This Row],[Profit]]-Table1[[#This Row],[Total Shipping]]</f>
        <v>189.7</v>
      </c>
      <c r="AB547" s="3">
        <f>Table1[[#This Row],[Operating Profit]]/Table1[[#This Row],[Revenue]]</f>
        <v>0.41628264208909371</v>
      </c>
    </row>
    <row r="548" spans="1:28" x14ac:dyDescent="0.25">
      <c r="A548" t="s">
        <v>274</v>
      </c>
      <c r="B548">
        <v>672</v>
      </c>
      <c r="C548" t="s">
        <v>29</v>
      </c>
      <c r="D548" t="s">
        <v>39</v>
      </c>
      <c r="E548" t="s">
        <v>40</v>
      </c>
      <c r="F548" t="s">
        <v>59</v>
      </c>
      <c r="G548" t="str" cm="1">
        <f t="array" ref="G548">_xlfn.SWITCH(F548,"Acme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548" t="s">
        <v>58</v>
      </c>
      <c r="I548" t="s">
        <v>55</v>
      </c>
      <c r="J548" t="str" cm="1">
        <f t="array" ref="J548">_xlfn.SWITCH(I548,"P001","Laptop","P002","Server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48" s="1" cm="1">
        <f t="array" ref="K548">_xlfn.SWITCH(Table1[[#This Row],[Product ID]],"P001",220,"P002",150,"P003",130,"P004",70,"P005",200,"P006",40,"P007",25,"P008",20,"P009",190,"P010",530)</f>
        <v>70</v>
      </c>
      <c r="L548">
        <v>7</v>
      </c>
      <c r="M548" s="1">
        <f>Table1[[#This Row],[Unit Price]]*Table1[[#This Row],[Quantity]]</f>
        <v>490</v>
      </c>
      <c r="N548" s="2">
        <v>0.05</v>
      </c>
      <c r="O548" s="1">
        <f>Table1[[#This Row],[Gross Value]]*(1-Table1[[#This Row],[Discount]])</f>
        <v>465.5</v>
      </c>
      <c r="P548" s="2">
        <v>0.2</v>
      </c>
      <c r="Q548" s="1">
        <f>Table1[[#This Row],[Revenue]]*Table1[[#This Row],[VAT Rate]]</f>
        <v>93.100000000000009</v>
      </c>
      <c r="R548" s="1">
        <f>Table1[[#This Row],[Revenue]]+Table1[[#This Row],[VAT Charged]]</f>
        <v>558.6</v>
      </c>
      <c r="S548" s="1" cm="1">
        <f t="array" ref="S548">_xlfn.SWITCH(Table1[[#This Row],[Product ID]],"P001",140,"P002",80,"P003",72,"P004",30,"P005",110,"P006",24,"P007",14,"P008",12,"P009",115,"P010",360)</f>
        <v>30</v>
      </c>
      <c r="T548" s="1" cm="1">
        <f t="array" ref="T548">(_xlfn.SWITCH(Table1[[#This Row],[Product ID]],"P001",140,"P002",80,"P003",72,"P004",30,"P005",110,"P006",24,"P007",14,"P008",12,"P009",115,"P010",360))*Table1[[#This Row],[Quantity]]</f>
        <v>210</v>
      </c>
      <c r="U548" s="1" cm="1">
        <f t="array" ref="U548">_xlfn.SWITCH(Table1[[#This Row],[Product ID]],"P001",15,"P002",0,"P003",8,"P004",8,"P005",0,"P006",7,"P007",7,"P008",6,"P009",45,"P010",60)</f>
        <v>8</v>
      </c>
      <c r="V548" s="1">
        <f>Table1[[#This Row],[Shipping per Unit]]*Table1[[#This Row],[Quantity]]</f>
        <v>56</v>
      </c>
      <c r="W548" s="2">
        <f>IF(Table1[[#This Row],[Total Shipping]]&gt;0.1,0.2,0)</f>
        <v>0.2</v>
      </c>
      <c r="X548" s="4">
        <f>Table1[[#This Row],[Total Shipping]]*Table1[[#This Row],[VAT on Shipping]]</f>
        <v>11.200000000000001</v>
      </c>
      <c r="Y548" s="1">
        <f>Table1[[#This Row],[Revenue]]-Table1[[#This Row],[COGS]]</f>
        <v>255.5</v>
      </c>
      <c r="Z548" s="3">
        <f>(Table1[[#This Row],[Profit]]/Table1[[#This Row],[Revenue]])</f>
        <v>0.54887218045112784</v>
      </c>
      <c r="AA548" s="1">
        <f>Table1[[#This Row],[Profit]]-Table1[[#This Row],[Total Shipping]]</f>
        <v>199.5</v>
      </c>
      <c r="AB548" s="3">
        <f>Table1[[#This Row],[Operating Profit]]/Table1[[#This Row],[Revenue]]</f>
        <v>0.42857142857142855</v>
      </c>
    </row>
    <row r="549" spans="1:28" x14ac:dyDescent="0.25">
      <c r="A549" t="s">
        <v>275</v>
      </c>
      <c r="B549">
        <v>487</v>
      </c>
      <c r="C549" t="s">
        <v>38</v>
      </c>
      <c r="D549" t="s">
        <v>39</v>
      </c>
      <c r="E549" t="s">
        <v>40</v>
      </c>
      <c r="F549" t="s">
        <v>84</v>
      </c>
      <c r="G549" t="str" cm="1">
        <f t="array" ref="G549">_xlfn.SWITCH(F549,"Acme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549" t="s">
        <v>45</v>
      </c>
      <c r="I549" t="s">
        <v>52</v>
      </c>
      <c r="J549" t="str" cm="1">
        <f t="array" ref="J549">_xlfn.SWITCH(I549,"P001","Laptop","P002","Server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49" s="1" cm="1">
        <f t="array" ref="K549">_xlfn.SWITCH(Table1[[#This Row],[Product ID]],"P001",220,"P002",150,"P003",130,"P004",70,"P005",200,"P006",40,"P007",25,"P008",20,"P009",190,"P010",530)</f>
        <v>130</v>
      </c>
      <c r="L549">
        <v>17</v>
      </c>
      <c r="M549" s="1">
        <f>Table1[[#This Row],[Unit Price]]*Table1[[#This Row],[Quantity]]</f>
        <v>2210</v>
      </c>
      <c r="N549" s="2">
        <v>0.04</v>
      </c>
      <c r="O549" s="1">
        <f>Table1[[#This Row],[Gross Value]]*(1-Table1[[#This Row],[Discount]])</f>
        <v>2121.6</v>
      </c>
      <c r="P549" s="2">
        <v>0.2</v>
      </c>
      <c r="Q549" s="1">
        <f>Table1[[#This Row],[Revenue]]*Table1[[#This Row],[VAT Rate]]</f>
        <v>424.32</v>
      </c>
      <c r="R549" s="1">
        <f>Table1[[#This Row],[Revenue]]+Table1[[#This Row],[VAT Charged]]</f>
        <v>2545.92</v>
      </c>
      <c r="S549" s="1" cm="1">
        <f t="array" ref="S549">_xlfn.SWITCH(Table1[[#This Row],[Product ID]],"P001",140,"P002",80,"P003",72,"P004",30,"P005",110,"P006",24,"P007",14,"P008",12,"P009",115,"P010",360)</f>
        <v>72</v>
      </c>
      <c r="T549" s="1" cm="1">
        <f t="array" ref="T549">(_xlfn.SWITCH(Table1[[#This Row],[Product ID]],"P001",140,"P002",80,"P003",72,"P004",30,"P005",110,"P006",24,"P007",14,"P008",12,"P009",115,"P010",360))*Table1[[#This Row],[Quantity]]</f>
        <v>1224</v>
      </c>
      <c r="U549" s="1" cm="1">
        <f t="array" ref="U549">_xlfn.SWITCH(Table1[[#This Row],[Product ID]],"P001",15,"P002",0,"P003",8,"P004",8,"P005",0,"P006",7,"P007",7,"P008",6,"P009",45,"P010",60)</f>
        <v>8</v>
      </c>
      <c r="V549" s="1">
        <f>Table1[[#This Row],[Shipping per Unit]]*Table1[[#This Row],[Quantity]]</f>
        <v>136</v>
      </c>
      <c r="W549" s="2">
        <f>IF(Table1[[#This Row],[Total Shipping]]&gt;0.1,0.2,0)</f>
        <v>0.2</v>
      </c>
      <c r="X549" s="4">
        <f>Table1[[#This Row],[Total Shipping]]*Table1[[#This Row],[VAT on Shipping]]</f>
        <v>27.200000000000003</v>
      </c>
      <c r="Y549" s="1">
        <f>Table1[[#This Row],[Revenue]]-Table1[[#This Row],[COGS]]</f>
        <v>897.59999999999991</v>
      </c>
      <c r="Z549" s="3">
        <f>(Table1[[#This Row],[Profit]]/Table1[[#This Row],[Revenue]])</f>
        <v>0.42307692307692307</v>
      </c>
      <c r="AA549" s="1">
        <f>Table1[[#This Row],[Profit]]-Table1[[#This Row],[Total Shipping]]</f>
        <v>761.59999999999991</v>
      </c>
      <c r="AB549" s="3">
        <f>Table1[[#This Row],[Operating Profit]]/Table1[[#This Row],[Revenue]]</f>
        <v>0.35897435897435892</v>
      </c>
    </row>
    <row r="550" spans="1:28" x14ac:dyDescent="0.25">
      <c r="A550" t="s">
        <v>275</v>
      </c>
      <c r="B550">
        <v>945</v>
      </c>
      <c r="C550" t="s">
        <v>65</v>
      </c>
      <c r="D550" t="s">
        <v>48</v>
      </c>
      <c r="E550" t="s">
        <v>31</v>
      </c>
      <c r="F550" t="s">
        <v>54</v>
      </c>
      <c r="G550" t="str" cm="1">
        <f t="array" ref="G550">_xlfn.SWITCH(F550,"Acme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550" t="s">
        <v>104</v>
      </c>
      <c r="I550" t="s">
        <v>55</v>
      </c>
      <c r="J550" t="str" cm="1">
        <f t="array" ref="J550">_xlfn.SWITCH(I550,"P001","Laptop","P002","Server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50" s="1" cm="1">
        <f t="array" ref="K550">_xlfn.SWITCH(Table1[[#This Row],[Product ID]],"P001",220,"P002",150,"P003",130,"P004",70,"P005",200,"P006",40,"P007",25,"P008",20,"P009",190,"P010",530)</f>
        <v>70</v>
      </c>
      <c r="L550">
        <v>13</v>
      </c>
      <c r="M550" s="1">
        <f>Table1[[#This Row],[Unit Price]]*Table1[[#This Row],[Quantity]]</f>
        <v>910</v>
      </c>
      <c r="N550" s="2">
        <v>7.0000000000000007E-2</v>
      </c>
      <c r="O550" s="1">
        <f>Table1[[#This Row],[Gross Value]]*(1-Table1[[#This Row],[Discount]])</f>
        <v>846.3</v>
      </c>
      <c r="P550" s="2">
        <v>0.2</v>
      </c>
      <c r="Q550" s="1">
        <f>Table1[[#This Row],[Revenue]]*Table1[[#This Row],[VAT Rate]]</f>
        <v>169.26</v>
      </c>
      <c r="R550" s="1">
        <f>Table1[[#This Row],[Revenue]]+Table1[[#This Row],[VAT Charged]]</f>
        <v>1015.56</v>
      </c>
      <c r="S550" s="1" cm="1">
        <f t="array" ref="S550">_xlfn.SWITCH(Table1[[#This Row],[Product ID]],"P001",140,"P002",80,"P003",72,"P004",30,"P005",110,"P006",24,"P007",14,"P008",12,"P009",115,"P010",360)</f>
        <v>30</v>
      </c>
      <c r="T550" s="1" cm="1">
        <f t="array" ref="T550">(_xlfn.SWITCH(Table1[[#This Row],[Product ID]],"P001",140,"P002",80,"P003",72,"P004",30,"P005",110,"P006",24,"P007",14,"P008",12,"P009",115,"P010",360))*Table1[[#This Row],[Quantity]]</f>
        <v>390</v>
      </c>
      <c r="U550" s="1" cm="1">
        <f t="array" ref="U550">_xlfn.SWITCH(Table1[[#This Row],[Product ID]],"P001",15,"P002",0,"P003",8,"P004",8,"P005",0,"P006",7,"P007",7,"P008",6,"P009",45,"P010",60)</f>
        <v>8</v>
      </c>
      <c r="V550" s="1">
        <f>Table1[[#This Row],[Shipping per Unit]]*Table1[[#This Row],[Quantity]]</f>
        <v>104</v>
      </c>
      <c r="W550" s="2">
        <f>IF(Table1[[#This Row],[Total Shipping]]&gt;0.1,0.2,0)</f>
        <v>0.2</v>
      </c>
      <c r="X550" s="4">
        <f>Table1[[#This Row],[Total Shipping]]*Table1[[#This Row],[VAT on Shipping]]</f>
        <v>20.8</v>
      </c>
      <c r="Y550" s="1">
        <f>Table1[[#This Row],[Revenue]]-Table1[[#This Row],[COGS]]</f>
        <v>456.29999999999995</v>
      </c>
      <c r="Z550" s="3">
        <f>(Table1[[#This Row],[Profit]]/Table1[[#This Row],[Revenue]])</f>
        <v>0.53917050691244239</v>
      </c>
      <c r="AA550" s="1">
        <f>Table1[[#This Row],[Profit]]-Table1[[#This Row],[Total Shipping]]</f>
        <v>352.29999999999995</v>
      </c>
      <c r="AB550" s="3">
        <f>Table1[[#This Row],[Operating Profit]]/Table1[[#This Row],[Revenue]]</f>
        <v>0.41628264208909366</v>
      </c>
    </row>
    <row r="551" spans="1:28" x14ac:dyDescent="0.25">
      <c r="A551" t="s">
        <v>276</v>
      </c>
      <c r="B551">
        <v>79</v>
      </c>
      <c r="C551" t="s">
        <v>56</v>
      </c>
      <c r="D551" t="s">
        <v>95</v>
      </c>
      <c r="E551" t="s">
        <v>49</v>
      </c>
      <c r="F551" t="s">
        <v>41</v>
      </c>
      <c r="G551" t="str" cm="1">
        <f t="array" ref="G551">_xlfn.SWITCH(F551,"Acme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551" t="s">
        <v>58</v>
      </c>
      <c r="I551" t="s">
        <v>75</v>
      </c>
      <c r="J551" t="str" cm="1">
        <f t="array" ref="J551">_xlfn.SWITCH(I551,"P001","Laptop","P002","Server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51" s="1" cm="1">
        <f t="array" ref="K551">_xlfn.SWITCH(Table1[[#This Row],[Product ID]],"P001",220,"P002",150,"P003",130,"P004",70,"P005",200,"P006",40,"P007",25,"P008",20,"P009",190,"P010",530)</f>
        <v>200</v>
      </c>
      <c r="L551">
        <v>20</v>
      </c>
      <c r="M551" s="1">
        <f>Table1[[#This Row],[Unit Price]]*Table1[[#This Row],[Quantity]]</f>
        <v>4000</v>
      </c>
      <c r="N551" s="2">
        <v>7.0000000000000007E-2</v>
      </c>
      <c r="O551" s="1">
        <f>Table1[[#This Row],[Gross Value]]*(1-Table1[[#This Row],[Discount]])</f>
        <v>3719.9999999999995</v>
      </c>
      <c r="P551" s="2">
        <v>0.2</v>
      </c>
      <c r="Q551" s="1">
        <f>Table1[[#This Row],[Revenue]]*Table1[[#This Row],[VAT Rate]]</f>
        <v>744</v>
      </c>
      <c r="R551" s="1">
        <f>Table1[[#This Row],[Revenue]]+Table1[[#This Row],[VAT Charged]]</f>
        <v>4464</v>
      </c>
      <c r="S551" s="1" cm="1">
        <f t="array" ref="S551">_xlfn.SWITCH(Table1[[#This Row],[Product ID]],"P001",140,"P002",80,"P003",72,"P004",30,"P005",110,"P006",24,"P007",14,"P008",12,"P009",115,"P010",360)</f>
        <v>110</v>
      </c>
      <c r="T551" s="1" cm="1">
        <f t="array" ref="T551">(_xlfn.SWITCH(Table1[[#This Row],[Product ID]],"P001",140,"P002",80,"P003",72,"P004",30,"P005",110,"P006",24,"P007",14,"P008",12,"P009",115,"P010",360))*Table1[[#This Row],[Quantity]]</f>
        <v>2200</v>
      </c>
      <c r="U551" s="1" cm="1">
        <f t="array" ref="U551">_xlfn.SWITCH(Table1[[#This Row],[Product ID]],"P001",15,"P002",0,"P003",8,"P004",8,"P005",0,"P006",7,"P007",7,"P008",6,"P009",45,"P010",60)</f>
        <v>0</v>
      </c>
      <c r="V551" s="1">
        <f>Table1[[#This Row],[Shipping per Unit]]*Table1[[#This Row],[Quantity]]</f>
        <v>0</v>
      </c>
      <c r="W551" s="2">
        <f>IF(Table1[[#This Row],[Total Shipping]]&gt;0.1,0.2,0)</f>
        <v>0</v>
      </c>
      <c r="X551" s="4">
        <f>Table1[[#This Row],[Total Shipping]]*Table1[[#This Row],[VAT on Shipping]]</f>
        <v>0</v>
      </c>
      <c r="Y551" s="1">
        <f>Table1[[#This Row],[Revenue]]-Table1[[#This Row],[COGS]]</f>
        <v>1519.9999999999995</v>
      </c>
      <c r="Z551" s="3">
        <f>(Table1[[#This Row],[Profit]]/Table1[[#This Row],[Revenue]])</f>
        <v>0.40860215053763432</v>
      </c>
      <c r="AA551" s="1">
        <f>Table1[[#This Row],[Profit]]-Table1[[#This Row],[Total Shipping]]</f>
        <v>1519.9999999999995</v>
      </c>
      <c r="AB551" s="3">
        <f>Table1[[#This Row],[Operating Profit]]/Table1[[#This Row],[Revenue]]</f>
        <v>0.40860215053763432</v>
      </c>
    </row>
    <row r="552" spans="1:28" x14ac:dyDescent="0.25">
      <c r="A552" t="s">
        <v>276</v>
      </c>
      <c r="B552">
        <v>254</v>
      </c>
      <c r="C552" t="s">
        <v>83</v>
      </c>
      <c r="D552" t="s">
        <v>53</v>
      </c>
      <c r="E552" t="s">
        <v>49</v>
      </c>
      <c r="F552" t="s">
        <v>74</v>
      </c>
      <c r="G552" t="str" cm="1">
        <f t="array" ref="G552">_xlfn.SWITCH(F552,"Acme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552" t="s">
        <v>33</v>
      </c>
      <c r="I552" t="s">
        <v>42</v>
      </c>
      <c r="J552" t="str" cm="1">
        <f t="array" ref="J552">_xlfn.SWITCH(I552,"P001","Laptop","P002","Server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52" s="1" cm="1">
        <f t="array" ref="K552">_xlfn.SWITCH(Table1[[#This Row],[Product ID]],"P001",220,"P002",150,"P003",130,"P004",70,"P005",200,"P006",40,"P007",25,"P008",20,"P009",190,"P010",530)</f>
        <v>40</v>
      </c>
      <c r="L552">
        <v>13</v>
      </c>
      <c r="M552" s="1">
        <f>Table1[[#This Row],[Unit Price]]*Table1[[#This Row],[Quantity]]</f>
        <v>520</v>
      </c>
      <c r="N552" s="2">
        <v>0.08</v>
      </c>
      <c r="O552" s="1">
        <f>Table1[[#This Row],[Gross Value]]*(1-Table1[[#This Row],[Discount]])</f>
        <v>478.40000000000003</v>
      </c>
      <c r="P552" s="2">
        <v>0.2</v>
      </c>
      <c r="Q552" s="1">
        <f>Table1[[#This Row],[Revenue]]*Table1[[#This Row],[VAT Rate]]</f>
        <v>95.68</v>
      </c>
      <c r="R552" s="1">
        <f>Table1[[#This Row],[Revenue]]+Table1[[#This Row],[VAT Charged]]</f>
        <v>574.08000000000004</v>
      </c>
      <c r="S552" s="1" cm="1">
        <f t="array" ref="S552">_xlfn.SWITCH(Table1[[#This Row],[Product ID]],"P001",140,"P002",80,"P003",72,"P004",30,"P005",110,"P006",24,"P007",14,"P008",12,"P009",115,"P010",360)</f>
        <v>24</v>
      </c>
      <c r="T552" s="1" cm="1">
        <f t="array" ref="T552">(_xlfn.SWITCH(Table1[[#This Row],[Product ID]],"P001",140,"P002",80,"P003",72,"P004",30,"P005",110,"P006",24,"P007",14,"P008",12,"P009",115,"P010",360))*Table1[[#This Row],[Quantity]]</f>
        <v>312</v>
      </c>
      <c r="U552" s="1" cm="1">
        <f t="array" ref="U552">_xlfn.SWITCH(Table1[[#This Row],[Product ID]],"P001",15,"P002",0,"P003",8,"P004",8,"P005",0,"P006",7,"P007",7,"P008",6,"P009",45,"P010",60)</f>
        <v>7</v>
      </c>
      <c r="V552" s="1">
        <f>Table1[[#This Row],[Shipping per Unit]]*Table1[[#This Row],[Quantity]]</f>
        <v>91</v>
      </c>
      <c r="W552" s="2">
        <f>IF(Table1[[#This Row],[Total Shipping]]&gt;0.1,0.2,0)</f>
        <v>0.2</v>
      </c>
      <c r="X552" s="4">
        <f>Table1[[#This Row],[Total Shipping]]*Table1[[#This Row],[VAT on Shipping]]</f>
        <v>18.2</v>
      </c>
      <c r="Y552" s="1">
        <f>Table1[[#This Row],[Revenue]]-Table1[[#This Row],[COGS]]</f>
        <v>166.40000000000003</v>
      </c>
      <c r="Z552" s="3">
        <f>(Table1[[#This Row],[Profit]]/Table1[[#This Row],[Revenue]])</f>
        <v>0.34782608695652178</v>
      </c>
      <c r="AA552" s="1">
        <f>Table1[[#This Row],[Profit]]-Table1[[#This Row],[Total Shipping]]</f>
        <v>75.400000000000034</v>
      </c>
      <c r="AB552" s="3">
        <f>Table1[[#This Row],[Operating Profit]]/Table1[[#This Row],[Revenue]]</f>
        <v>0.15760869565217397</v>
      </c>
    </row>
    <row r="553" spans="1:28" x14ac:dyDescent="0.25">
      <c r="A553" t="s">
        <v>276</v>
      </c>
      <c r="B553">
        <v>294</v>
      </c>
      <c r="C553" t="s">
        <v>71</v>
      </c>
      <c r="D553" t="s">
        <v>63</v>
      </c>
      <c r="E553" t="s">
        <v>49</v>
      </c>
      <c r="F553" t="s">
        <v>74</v>
      </c>
      <c r="G553" t="str" cm="1">
        <f t="array" ref="G553">_xlfn.SWITCH(F553,"Acme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553" t="s">
        <v>33</v>
      </c>
      <c r="I553" t="s">
        <v>34</v>
      </c>
      <c r="J553" t="str" cm="1">
        <f t="array" ref="J553">_xlfn.SWITCH(I553,"P001","Laptop","P002","Server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553" s="1" cm="1">
        <f t="array" ref="K553">_xlfn.SWITCH(Table1[[#This Row],[Product ID]],"P001",220,"P002",150,"P003",130,"P004",70,"P005",200,"P006",40,"P007",25,"P008",20,"P009",190,"P010",530)</f>
        <v>20</v>
      </c>
      <c r="L553">
        <v>1</v>
      </c>
      <c r="M553" s="1">
        <f>Table1[[#This Row],[Unit Price]]*Table1[[#This Row],[Quantity]]</f>
        <v>20</v>
      </c>
      <c r="N553" s="2">
        <v>7.0000000000000007E-2</v>
      </c>
      <c r="O553" s="1">
        <f>Table1[[#This Row],[Gross Value]]*(1-Table1[[#This Row],[Discount]])</f>
        <v>18.599999999999998</v>
      </c>
      <c r="P553" s="2">
        <v>0.2</v>
      </c>
      <c r="Q553" s="1">
        <f>Table1[[#This Row],[Revenue]]*Table1[[#This Row],[VAT Rate]]</f>
        <v>3.7199999999999998</v>
      </c>
      <c r="R553" s="1">
        <f>Table1[[#This Row],[Revenue]]+Table1[[#This Row],[VAT Charged]]</f>
        <v>22.319999999999997</v>
      </c>
      <c r="S553" s="1" cm="1">
        <f t="array" ref="S553">_xlfn.SWITCH(Table1[[#This Row],[Product ID]],"P001",140,"P002",80,"P003",72,"P004",30,"P005",110,"P006",24,"P007",14,"P008",12,"P009",115,"P010",360)</f>
        <v>12</v>
      </c>
      <c r="T553" s="1" cm="1">
        <f t="array" ref="T553">(_xlfn.SWITCH(Table1[[#This Row],[Product ID]],"P001",140,"P002",80,"P003",72,"P004",30,"P005",110,"P006",24,"P007",14,"P008",12,"P009",115,"P010",360))*Table1[[#This Row],[Quantity]]</f>
        <v>12</v>
      </c>
      <c r="U553" s="1" cm="1">
        <f t="array" ref="U553">_xlfn.SWITCH(Table1[[#This Row],[Product ID]],"P001",15,"P002",0,"P003",8,"P004",8,"P005",0,"P006",7,"P007",7,"P008",6,"P009",45,"P010",60)</f>
        <v>6</v>
      </c>
      <c r="V553" s="1">
        <f>Table1[[#This Row],[Shipping per Unit]]*Table1[[#This Row],[Quantity]]</f>
        <v>6</v>
      </c>
      <c r="W553" s="2">
        <f>IF(Table1[[#This Row],[Total Shipping]]&gt;0.1,0.2,0)</f>
        <v>0.2</v>
      </c>
      <c r="X553" s="4">
        <f>Table1[[#This Row],[Total Shipping]]*Table1[[#This Row],[VAT on Shipping]]</f>
        <v>1.2000000000000002</v>
      </c>
      <c r="Y553" s="1">
        <f>Table1[[#This Row],[Revenue]]-Table1[[#This Row],[COGS]]</f>
        <v>6.5999999999999979</v>
      </c>
      <c r="Z553" s="3">
        <f>(Table1[[#This Row],[Profit]]/Table1[[#This Row],[Revenue]])</f>
        <v>0.35483870967741926</v>
      </c>
      <c r="AA553" s="1">
        <f>Table1[[#This Row],[Profit]]-Table1[[#This Row],[Total Shipping]]</f>
        <v>0.59999999999999787</v>
      </c>
      <c r="AB553" s="3">
        <f>Table1[[#This Row],[Operating Profit]]/Table1[[#This Row],[Revenue]]</f>
        <v>3.225806451612892E-2</v>
      </c>
    </row>
    <row r="554" spans="1:28" x14ac:dyDescent="0.25">
      <c r="A554" t="s">
        <v>276</v>
      </c>
      <c r="B554">
        <v>578</v>
      </c>
      <c r="C554" t="s">
        <v>56</v>
      </c>
      <c r="D554" t="s">
        <v>57</v>
      </c>
      <c r="E554" t="s">
        <v>31</v>
      </c>
      <c r="F554" t="s">
        <v>64</v>
      </c>
      <c r="G554" t="str" cm="1">
        <f t="array" ref="G554">_xlfn.SWITCH(F554,"Acme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554" t="s">
        <v>104</v>
      </c>
      <c r="I554" t="s">
        <v>70</v>
      </c>
      <c r="J554" t="str" cm="1">
        <f t="array" ref="J554">_xlfn.SWITCH(I554,"P001","Laptop","P002","Server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554" s="1" cm="1">
        <f t="array" ref="K554">_xlfn.SWITCH(Table1[[#This Row],[Product ID]],"P001",220,"P002",150,"P003",130,"P004",70,"P005",200,"P006",40,"P007",25,"P008",20,"P009",190,"P010",530)</f>
        <v>150</v>
      </c>
      <c r="L554">
        <v>4</v>
      </c>
      <c r="M554" s="1">
        <f>Table1[[#This Row],[Unit Price]]*Table1[[#This Row],[Quantity]]</f>
        <v>600</v>
      </c>
      <c r="N554" s="2">
        <v>0.05</v>
      </c>
      <c r="O554" s="1">
        <f>Table1[[#This Row],[Gross Value]]*(1-Table1[[#This Row],[Discount]])</f>
        <v>570</v>
      </c>
      <c r="P554" s="2">
        <v>0.2</v>
      </c>
      <c r="Q554" s="1">
        <f>Table1[[#This Row],[Revenue]]*Table1[[#This Row],[VAT Rate]]</f>
        <v>114</v>
      </c>
      <c r="R554" s="1">
        <f>Table1[[#This Row],[Revenue]]+Table1[[#This Row],[VAT Charged]]</f>
        <v>684</v>
      </c>
      <c r="S554" s="1" cm="1">
        <f t="array" ref="S554">_xlfn.SWITCH(Table1[[#This Row],[Product ID]],"P001",140,"P002",80,"P003",72,"P004",30,"P005",110,"P006",24,"P007",14,"P008",12,"P009",115,"P010",360)</f>
        <v>80</v>
      </c>
      <c r="T554" s="1" cm="1">
        <f t="array" ref="T554">(_xlfn.SWITCH(Table1[[#This Row],[Product ID]],"P001",140,"P002",80,"P003",72,"P004",30,"P005",110,"P006",24,"P007",14,"P008",12,"P009",115,"P010",360))*Table1[[#This Row],[Quantity]]</f>
        <v>320</v>
      </c>
      <c r="U554" s="1" cm="1">
        <f t="array" ref="U554">_xlfn.SWITCH(Table1[[#This Row],[Product ID]],"P001",15,"P002",0,"P003",8,"P004",8,"P005",0,"P006",7,"P007",7,"P008",6,"P009",45,"P010",60)</f>
        <v>0</v>
      </c>
      <c r="V554" s="1">
        <f>Table1[[#This Row],[Shipping per Unit]]*Table1[[#This Row],[Quantity]]</f>
        <v>0</v>
      </c>
      <c r="W554" s="2">
        <f>IF(Table1[[#This Row],[Total Shipping]]&gt;0.1,0.2,0)</f>
        <v>0</v>
      </c>
      <c r="X554" s="4">
        <f>Table1[[#This Row],[Total Shipping]]*Table1[[#This Row],[VAT on Shipping]]</f>
        <v>0</v>
      </c>
      <c r="Y554" s="1">
        <f>Table1[[#This Row],[Revenue]]-Table1[[#This Row],[COGS]]</f>
        <v>250</v>
      </c>
      <c r="Z554" s="3">
        <f>(Table1[[#This Row],[Profit]]/Table1[[#This Row],[Revenue]])</f>
        <v>0.43859649122807015</v>
      </c>
      <c r="AA554" s="1">
        <f>Table1[[#This Row],[Profit]]-Table1[[#This Row],[Total Shipping]]</f>
        <v>250</v>
      </c>
      <c r="AB554" s="3">
        <f>Table1[[#This Row],[Operating Profit]]/Table1[[#This Row],[Revenue]]</f>
        <v>0.43859649122807015</v>
      </c>
    </row>
    <row r="555" spans="1:28" x14ac:dyDescent="0.25">
      <c r="A555" t="s">
        <v>276</v>
      </c>
      <c r="B555">
        <v>582</v>
      </c>
      <c r="C555" t="s">
        <v>29</v>
      </c>
      <c r="D555" t="s">
        <v>36</v>
      </c>
      <c r="E555" t="s">
        <v>40</v>
      </c>
      <c r="F555" t="s">
        <v>103</v>
      </c>
      <c r="G555" t="str" cm="1">
        <f t="array" ref="G555">_xlfn.SWITCH(F555,"Acme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555" t="s">
        <v>33</v>
      </c>
      <c r="I555" t="s">
        <v>52</v>
      </c>
      <c r="J555" t="str" cm="1">
        <f t="array" ref="J555">_xlfn.SWITCH(I555,"P001","Laptop","P002","Server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55" s="1" cm="1">
        <f t="array" ref="K555">_xlfn.SWITCH(Table1[[#This Row],[Product ID]],"P001",220,"P002",150,"P003",130,"P004",70,"P005",200,"P006",40,"P007",25,"P008",20,"P009",190,"P010",530)</f>
        <v>130</v>
      </c>
      <c r="L555">
        <v>2</v>
      </c>
      <c r="M555" s="1">
        <f>Table1[[#This Row],[Unit Price]]*Table1[[#This Row],[Quantity]]</f>
        <v>260</v>
      </c>
      <c r="N555" s="2">
        <v>0.02</v>
      </c>
      <c r="O555" s="1">
        <f>Table1[[#This Row],[Gross Value]]*(1-Table1[[#This Row],[Discount]])</f>
        <v>254.79999999999998</v>
      </c>
      <c r="P555" s="2">
        <v>0.2</v>
      </c>
      <c r="Q555" s="1">
        <f>Table1[[#This Row],[Revenue]]*Table1[[#This Row],[VAT Rate]]</f>
        <v>50.96</v>
      </c>
      <c r="R555" s="1">
        <f>Table1[[#This Row],[Revenue]]+Table1[[#This Row],[VAT Charged]]</f>
        <v>305.76</v>
      </c>
      <c r="S555" s="1" cm="1">
        <f t="array" ref="S555">_xlfn.SWITCH(Table1[[#This Row],[Product ID]],"P001",140,"P002",80,"P003",72,"P004",30,"P005",110,"P006",24,"P007",14,"P008",12,"P009",115,"P010",360)</f>
        <v>72</v>
      </c>
      <c r="T555" s="1" cm="1">
        <f t="array" ref="T555">(_xlfn.SWITCH(Table1[[#This Row],[Product ID]],"P001",140,"P002",80,"P003",72,"P004",30,"P005",110,"P006",24,"P007",14,"P008",12,"P009",115,"P010",360))*Table1[[#This Row],[Quantity]]</f>
        <v>144</v>
      </c>
      <c r="U555" s="1" cm="1">
        <f t="array" ref="U555">_xlfn.SWITCH(Table1[[#This Row],[Product ID]],"P001",15,"P002",0,"P003",8,"P004",8,"P005",0,"P006",7,"P007",7,"P008",6,"P009",45,"P010",60)</f>
        <v>8</v>
      </c>
      <c r="V555" s="1">
        <f>Table1[[#This Row],[Shipping per Unit]]*Table1[[#This Row],[Quantity]]</f>
        <v>16</v>
      </c>
      <c r="W555" s="2">
        <f>IF(Table1[[#This Row],[Total Shipping]]&gt;0.1,0.2,0)</f>
        <v>0.2</v>
      </c>
      <c r="X555" s="4">
        <f>Table1[[#This Row],[Total Shipping]]*Table1[[#This Row],[VAT on Shipping]]</f>
        <v>3.2</v>
      </c>
      <c r="Y555" s="1">
        <f>Table1[[#This Row],[Revenue]]-Table1[[#This Row],[COGS]]</f>
        <v>110.79999999999998</v>
      </c>
      <c r="Z555" s="3">
        <f>(Table1[[#This Row],[Profit]]/Table1[[#This Row],[Revenue]])</f>
        <v>0.43485086342229196</v>
      </c>
      <c r="AA555" s="1">
        <f>Table1[[#This Row],[Profit]]-Table1[[#This Row],[Total Shipping]]</f>
        <v>94.799999999999983</v>
      </c>
      <c r="AB555" s="3">
        <f>Table1[[#This Row],[Operating Profit]]/Table1[[#This Row],[Revenue]]</f>
        <v>0.37205651491365771</v>
      </c>
    </row>
    <row r="556" spans="1:28" x14ac:dyDescent="0.25">
      <c r="A556" t="s">
        <v>276</v>
      </c>
      <c r="B556">
        <v>879</v>
      </c>
      <c r="C556" t="s">
        <v>62</v>
      </c>
      <c r="D556" t="s">
        <v>30</v>
      </c>
      <c r="E556" t="s">
        <v>40</v>
      </c>
      <c r="F556" t="s">
        <v>78</v>
      </c>
      <c r="G556" t="str" cm="1">
        <f t="array" ref="G556">_xlfn.SWITCH(F556,"Acme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556" t="s">
        <v>33</v>
      </c>
      <c r="I556" t="s">
        <v>52</v>
      </c>
      <c r="J556" t="str" cm="1">
        <f t="array" ref="J556">_xlfn.SWITCH(I556,"P001","Laptop","P002","Server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56" s="1" cm="1">
        <f t="array" ref="K556">_xlfn.SWITCH(Table1[[#This Row],[Product ID]],"P001",220,"P002",150,"P003",130,"P004",70,"P005",200,"P006",40,"P007",25,"P008",20,"P009",190,"P010",530)</f>
        <v>130</v>
      </c>
      <c r="L556">
        <v>17</v>
      </c>
      <c r="M556" s="1">
        <f>Table1[[#This Row],[Unit Price]]*Table1[[#This Row],[Quantity]]</f>
        <v>2210</v>
      </c>
      <c r="N556" s="2">
        <v>0.02</v>
      </c>
      <c r="O556" s="1">
        <f>Table1[[#This Row],[Gross Value]]*(1-Table1[[#This Row],[Discount]])</f>
        <v>2165.8000000000002</v>
      </c>
      <c r="P556" s="2">
        <v>0.2</v>
      </c>
      <c r="Q556" s="1">
        <f>Table1[[#This Row],[Revenue]]*Table1[[#This Row],[VAT Rate]]</f>
        <v>433.16000000000008</v>
      </c>
      <c r="R556" s="1">
        <f>Table1[[#This Row],[Revenue]]+Table1[[#This Row],[VAT Charged]]</f>
        <v>2598.96</v>
      </c>
      <c r="S556" s="1" cm="1">
        <f t="array" ref="S556">_xlfn.SWITCH(Table1[[#This Row],[Product ID]],"P001",140,"P002",80,"P003",72,"P004",30,"P005",110,"P006",24,"P007",14,"P008",12,"P009",115,"P010",360)</f>
        <v>72</v>
      </c>
      <c r="T556" s="1" cm="1">
        <f t="array" ref="T556">(_xlfn.SWITCH(Table1[[#This Row],[Product ID]],"P001",140,"P002",80,"P003",72,"P004",30,"P005",110,"P006",24,"P007",14,"P008",12,"P009",115,"P010",360))*Table1[[#This Row],[Quantity]]</f>
        <v>1224</v>
      </c>
      <c r="U556" s="1" cm="1">
        <f t="array" ref="U556">_xlfn.SWITCH(Table1[[#This Row],[Product ID]],"P001",15,"P002",0,"P003",8,"P004",8,"P005",0,"P006",7,"P007",7,"P008",6,"P009",45,"P010",60)</f>
        <v>8</v>
      </c>
      <c r="V556" s="1">
        <f>Table1[[#This Row],[Shipping per Unit]]*Table1[[#This Row],[Quantity]]</f>
        <v>136</v>
      </c>
      <c r="W556" s="2">
        <f>IF(Table1[[#This Row],[Total Shipping]]&gt;0.1,0.2,0)</f>
        <v>0.2</v>
      </c>
      <c r="X556" s="4">
        <f>Table1[[#This Row],[Total Shipping]]*Table1[[#This Row],[VAT on Shipping]]</f>
        <v>27.200000000000003</v>
      </c>
      <c r="Y556" s="1">
        <f>Table1[[#This Row],[Revenue]]-Table1[[#This Row],[COGS]]</f>
        <v>941.80000000000018</v>
      </c>
      <c r="Z556" s="3">
        <f>(Table1[[#This Row],[Profit]]/Table1[[#This Row],[Revenue]])</f>
        <v>0.43485086342229207</v>
      </c>
      <c r="AA556" s="1">
        <f>Table1[[#This Row],[Profit]]-Table1[[#This Row],[Total Shipping]]</f>
        <v>805.80000000000018</v>
      </c>
      <c r="AB556" s="3">
        <f>Table1[[#This Row],[Operating Profit]]/Table1[[#This Row],[Revenue]]</f>
        <v>0.37205651491365782</v>
      </c>
    </row>
    <row r="557" spans="1:28" x14ac:dyDescent="0.25">
      <c r="A557" t="s">
        <v>277</v>
      </c>
      <c r="B557">
        <v>12</v>
      </c>
      <c r="C557" t="s">
        <v>62</v>
      </c>
      <c r="D557" t="s">
        <v>36</v>
      </c>
      <c r="E557" t="s">
        <v>49</v>
      </c>
      <c r="F557" t="s">
        <v>66</v>
      </c>
      <c r="G557" t="str" cm="1">
        <f t="array" ref="G557">_xlfn.SWITCH(F557,"Acme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557" t="s">
        <v>104</v>
      </c>
      <c r="I557" t="s">
        <v>42</v>
      </c>
      <c r="J557" t="str" cm="1">
        <f t="array" ref="J557">_xlfn.SWITCH(I557,"P001","Laptop","P002","Server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57" s="1" cm="1">
        <f t="array" ref="K557">_xlfn.SWITCH(Table1[[#This Row],[Product ID]],"P001",220,"P002",150,"P003",130,"P004",70,"P005",200,"P006",40,"P007",25,"P008",20,"P009",190,"P010",530)</f>
        <v>40</v>
      </c>
      <c r="L557">
        <v>10</v>
      </c>
      <c r="M557" s="1">
        <f>Table1[[#This Row],[Unit Price]]*Table1[[#This Row],[Quantity]]</f>
        <v>400</v>
      </c>
      <c r="N557" s="2">
        <v>0.01</v>
      </c>
      <c r="O557" s="1">
        <f>Table1[[#This Row],[Gross Value]]*(1-Table1[[#This Row],[Discount]])</f>
        <v>396</v>
      </c>
      <c r="P557" s="2">
        <v>0.2</v>
      </c>
      <c r="Q557" s="1">
        <f>Table1[[#This Row],[Revenue]]*Table1[[#This Row],[VAT Rate]]</f>
        <v>79.2</v>
      </c>
      <c r="R557" s="1">
        <f>Table1[[#This Row],[Revenue]]+Table1[[#This Row],[VAT Charged]]</f>
        <v>475.2</v>
      </c>
      <c r="S557" s="1" cm="1">
        <f t="array" ref="S557">_xlfn.SWITCH(Table1[[#This Row],[Product ID]],"P001",140,"P002",80,"P003",72,"P004",30,"P005",110,"P006",24,"P007",14,"P008",12,"P009",115,"P010",360)</f>
        <v>24</v>
      </c>
      <c r="T557" s="1" cm="1">
        <f t="array" ref="T557">(_xlfn.SWITCH(Table1[[#This Row],[Product ID]],"P001",140,"P002",80,"P003",72,"P004",30,"P005",110,"P006",24,"P007",14,"P008",12,"P009",115,"P010",360))*Table1[[#This Row],[Quantity]]</f>
        <v>240</v>
      </c>
      <c r="U557" s="1" cm="1">
        <f t="array" ref="U557">_xlfn.SWITCH(Table1[[#This Row],[Product ID]],"P001",15,"P002",0,"P003",8,"P004",8,"P005",0,"P006",7,"P007",7,"P008",6,"P009",45,"P010",60)</f>
        <v>7</v>
      </c>
      <c r="V557" s="1">
        <f>Table1[[#This Row],[Shipping per Unit]]*Table1[[#This Row],[Quantity]]</f>
        <v>70</v>
      </c>
      <c r="W557" s="2">
        <f>IF(Table1[[#This Row],[Total Shipping]]&gt;0.1,0.2,0)</f>
        <v>0.2</v>
      </c>
      <c r="X557" s="4">
        <f>Table1[[#This Row],[Total Shipping]]*Table1[[#This Row],[VAT on Shipping]]</f>
        <v>14</v>
      </c>
      <c r="Y557" s="1">
        <f>Table1[[#This Row],[Revenue]]-Table1[[#This Row],[COGS]]</f>
        <v>156</v>
      </c>
      <c r="Z557" s="3">
        <f>(Table1[[#This Row],[Profit]]/Table1[[#This Row],[Revenue]])</f>
        <v>0.39393939393939392</v>
      </c>
      <c r="AA557" s="1">
        <f>Table1[[#This Row],[Profit]]-Table1[[#This Row],[Total Shipping]]</f>
        <v>86</v>
      </c>
      <c r="AB557" s="3">
        <f>Table1[[#This Row],[Operating Profit]]/Table1[[#This Row],[Revenue]]</f>
        <v>0.21717171717171718</v>
      </c>
    </row>
    <row r="558" spans="1:28" x14ac:dyDescent="0.25">
      <c r="A558" t="s">
        <v>277</v>
      </c>
      <c r="B558">
        <v>228</v>
      </c>
      <c r="C558" t="s">
        <v>29</v>
      </c>
      <c r="D558" t="s">
        <v>57</v>
      </c>
      <c r="E558" t="s">
        <v>40</v>
      </c>
      <c r="F558" t="s">
        <v>66</v>
      </c>
      <c r="G558" t="str" cm="1">
        <f t="array" ref="G558">_xlfn.SWITCH(F558,"Acme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558" t="s">
        <v>51</v>
      </c>
      <c r="I558" t="s">
        <v>46</v>
      </c>
      <c r="J558" t="str" cm="1">
        <f t="array" ref="J558">_xlfn.SWITCH(I558,"P001","Laptop","P002","Server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58" s="1" cm="1">
        <f t="array" ref="K558">_xlfn.SWITCH(Table1[[#This Row],[Product ID]],"P001",220,"P002",150,"P003",130,"P004",70,"P005",200,"P006",40,"P007",25,"P008",20,"P009",190,"P010",530)</f>
        <v>530</v>
      </c>
      <c r="L558">
        <v>10</v>
      </c>
      <c r="M558" s="1">
        <f>Table1[[#This Row],[Unit Price]]*Table1[[#This Row],[Quantity]]</f>
        <v>5300</v>
      </c>
      <c r="N558" s="2">
        <v>0.02</v>
      </c>
      <c r="O558" s="1">
        <f>Table1[[#This Row],[Gross Value]]*(1-Table1[[#This Row],[Discount]])</f>
        <v>5194</v>
      </c>
      <c r="P558" s="2">
        <v>0.2</v>
      </c>
      <c r="Q558" s="1">
        <f>Table1[[#This Row],[Revenue]]*Table1[[#This Row],[VAT Rate]]</f>
        <v>1038.8</v>
      </c>
      <c r="R558" s="1">
        <f>Table1[[#This Row],[Revenue]]+Table1[[#This Row],[VAT Charged]]</f>
        <v>6232.8</v>
      </c>
      <c r="S558" s="1" cm="1">
        <f t="array" ref="S558">_xlfn.SWITCH(Table1[[#This Row],[Product ID]],"P001",140,"P002",80,"P003",72,"P004",30,"P005",110,"P006",24,"P007",14,"P008",12,"P009",115,"P010",360)</f>
        <v>360</v>
      </c>
      <c r="T558" s="1" cm="1">
        <f t="array" ref="T558">(_xlfn.SWITCH(Table1[[#This Row],[Product ID]],"P001",140,"P002",80,"P003",72,"P004",30,"P005",110,"P006",24,"P007",14,"P008",12,"P009",115,"P010",360))*Table1[[#This Row],[Quantity]]</f>
        <v>3600</v>
      </c>
      <c r="U558" s="1" cm="1">
        <f t="array" ref="U558">_xlfn.SWITCH(Table1[[#This Row],[Product ID]],"P001",15,"P002",0,"P003",8,"P004",8,"P005",0,"P006",7,"P007",7,"P008",6,"P009",45,"P010",60)</f>
        <v>60</v>
      </c>
      <c r="V558" s="1">
        <f>Table1[[#This Row],[Shipping per Unit]]*Table1[[#This Row],[Quantity]]</f>
        <v>600</v>
      </c>
      <c r="W558" s="2">
        <f>IF(Table1[[#This Row],[Total Shipping]]&gt;0.1,0.2,0)</f>
        <v>0.2</v>
      </c>
      <c r="X558" s="4">
        <f>Table1[[#This Row],[Total Shipping]]*Table1[[#This Row],[VAT on Shipping]]</f>
        <v>120</v>
      </c>
      <c r="Y558" s="1">
        <f>Table1[[#This Row],[Revenue]]-Table1[[#This Row],[COGS]]</f>
        <v>1594</v>
      </c>
      <c r="Z558" s="3">
        <f>(Table1[[#This Row],[Profit]]/Table1[[#This Row],[Revenue]])</f>
        <v>0.30689256834809397</v>
      </c>
      <c r="AA558" s="1">
        <f>Table1[[#This Row],[Profit]]-Table1[[#This Row],[Total Shipping]]</f>
        <v>994</v>
      </c>
      <c r="AB558" s="3">
        <f>Table1[[#This Row],[Operating Profit]]/Table1[[#This Row],[Revenue]]</f>
        <v>0.19137466307277629</v>
      </c>
    </row>
    <row r="559" spans="1:28" x14ac:dyDescent="0.25">
      <c r="A559" t="s">
        <v>277</v>
      </c>
      <c r="B559">
        <v>388</v>
      </c>
      <c r="C559" t="s">
        <v>38</v>
      </c>
      <c r="D559" t="s">
        <v>48</v>
      </c>
      <c r="E559" t="s">
        <v>31</v>
      </c>
      <c r="F559" t="s">
        <v>76</v>
      </c>
      <c r="G559" t="str" cm="1">
        <f t="array" ref="G559">_xlfn.SWITCH(F559,"Acme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559" t="s">
        <v>69</v>
      </c>
      <c r="I559" t="s">
        <v>91</v>
      </c>
      <c r="J559" t="str" cm="1">
        <f t="array" ref="J559">_xlfn.SWITCH(I559,"P001","Laptop","P002","Server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559" s="1" cm="1">
        <f t="array" ref="K559">_xlfn.SWITCH(Table1[[#This Row],[Product ID]],"P001",220,"P002",150,"P003",130,"P004",70,"P005",200,"P006",40,"P007",25,"P008",20,"P009",190,"P010",530)</f>
        <v>190</v>
      </c>
      <c r="L559">
        <v>3</v>
      </c>
      <c r="M559" s="1">
        <f>Table1[[#This Row],[Unit Price]]*Table1[[#This Row],[Quantity]]</f>
        <v>570</v>
      </c>
      <c r="N559" s="2">
        <v>0.08</v>
      </c>
      <c r="O559" s="1">
        <f>Table1[[#This Row],[Gross Value]]*(1-Table1[[#This Row],[Discount]])</f>
        <v>524.4</v>
      </c>
      <c r="P559" s="2">
        <v>0.2</v>
      </c>
      <c r="Q559" s="1">
        <f>Table1[[#This Row],[Revenue]]*Table1[[#This Row],[VAT Rate]]</f>
        <v>104.88</v>
      </c>
      <c r="R559" s="1">
        <f>Table1[[#This Row],[Revenue]]+Table1[[#This Row],[VAT Charged]]</f>
        <v>629.28</v>
      </c>
      <c r="S559" s="1" cm="1">
        <f t="array" ref="S559">_xlfn.SWITCH(Table1[[#This Row],[Product ID]],"P001",140,"P002",80,"P003",72,"P004",30,"P005",110,"P006",24,"P007",14,"P008",12,"P009",115,"P010",360)</f>
        <v>115</v>
      </c>
      <c r="T559" s="1" cm="1">
        <f t="array" ref="T559">(_xlfn.SWITCH(Table1[[#This Row],[Product ID]],"P001",140,"P002",80,"P003",72,"P004",30,"P005",110,"P006",24,"P007",14,"P008",12,"P009",115,"P010",360))*Table1[[#This Row],[Quantity]]</f>
        <v>345</v>
      </c>
      <c r="U559" s="1" cm="1">
        <f t="array" ref="U559">_xlfn.SWITCH(Table1[[#This Row],[Product ID]],"P001",15,"P002",0,"P003",8,"P004",8,"P005",0,"P006",7,"P007",7,"P008",6,"P009",45,"P010",60)</f>
        <v>45</v>
      </c>
      <c r="V559" s="1">
        <f>Table1[[#This Row],[Shipping per Unit]]*Table1[[#This Row],[Quantity]]</f>
        <v>135</v>
      </c>
      <c r="W559" s="2">
        <f>IF(Table1[[#This Row],[Total Shipping]]&gt;0.1,0.2,0)</f>
        <v>0.2</v>
      </c>
      <c r="X559" s="4">
        <f>Table1[[#This Row],[Total Shipping]]*Table1[[#This Row],[VAT on Shipping]]</f>
        <v>27</v>
      </c>
      <c r="Y559" s="1">
        <f>Table1[[#This Row],[Revenue]]-Table1[[#This Row],[COGS]]</f>
        <v>179.39999999999998</v>
      </c>
      <c r="Z559" s="3">
        <f>(Table1[[#This Row],[Profit]]/Table1[[#This Row],[Revenue]])</f>
        <v>0.34210526315789469</v>
      </c>
      <c r="AA559" s="1">
        <f>Table1[[#This Row],[Profit]]-Table1[[#This Row],[Total Shipping]]</f>
        <v>44.399999999999977</v>
      </c>
      <c r="AB559" s="3">
        <f>Table1[[#This Row],[Operating Profit]]/Table1[[#This Row],[Revenue]]</f>
        <v>8.4668192219679597E-2</v>
      </c>
    </row>
    <row r="560" spans="1:28" x14ac:dyDescent="0.25">
      <c r="A560" t="s">
        <v>278</v>
      </c>
      <c r="B560">
        <v>80</v>
      </c>
      <c r="C560" t="s">
        <v>65</v>
      </c>
      <c r="D560" t="s">
        <v>95</v>
      </c>
      <c r="E560" t="s">
        <v>31</v>
      </c>
      <c r="F560" t="s">
        <v>86</v>
      </c>
      <c r="G560" t="str" cm="1">
        <f t="array" ref="G560">_xlfn.SWITCH(F560,"Acme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560" t="s">
        <v>58</v>
      </c>
      <c r="I560" t="s">
        <v>75</v>
      </c>
      <c r="J560" t="str" cm="1">
        <f t="array" ref="J560">_xlfn.SWITCH(I560,"P001","Laptop","P002","Server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60" s="1" cm="1">
        <f t="array" ref="K560">_xlfn.SWITCH(Table1[[#This Row],[Product ID]],"P001",220,"P002",150,"P003",130,"P004",70,"P005",200,"P006",40,"P007",25,"P008",20,"P009",190,"P010",530)</f>
        <v>200</v>
      </c>
      <c r="L560">
        <v>17</v>
      </c>
      <c r="M560" s="1">
        <f>Table1[[#This Row],[Unit Price]]*Table1[[#This Row],[Quantity]]</f>
        <v>3400</v>
      </c>
      <c r="N560" s="2">
        <v>0.08</v>
      </c>
      <c r="O560" s="1">
        <f>Table1[[#This Row],[Gross Value]]*(1-Table1[[#This Row],[Discount]])</f>
        <v>3128</v>
      </c>
      <c r="P560" s="2">
        <v>0.2</v>
      </c>
      <c r="Q560" s="1">
        <f>Table1[[#This Row],[Revenue]]*Table1[[#This Row],[VAT Rate]]</f>
        <v>625.6</v>
      </c>
      <c r="R560" s="1">
        <f>Table1[[#This Row],[Revenue]]+Table1[[#This Row],[VAT Charged]]</f>
        <v>3753.6</v>
      </c>
      <c r="S560" s="1" cm="1">
        <f t="array" ref="S560">_xlfn.SWITCH(Table1[[#This Row],[Product ID]],"P001",140,"P002",80,"P003",72,"P004",30,"P005",110,"P006",24,"P007",14,"P008",12,"P009",115,"P010",360)</f>
        <v>110</v>
      </c>
      <c r="T560" s="1" cm="1">
        <f t="array" ref="T560">(_xlfn.SWITCH(Table1[[#This Row],[Product ID]],"P001",140,"P002",80,"P003",72,"P004",30,"P005",110,"P006",24,"P007",14,"P008",12,"P009",115,"P010",360))*Table1[[#This Row],[Quantity]]</f>
        <v>1870</v>
      </c>
      <c r="U560" s="1" cm="1">
        <f t="array" ref="U560">_xlfn.SWITCH(Table1[[#This Row],[Product ID]],"P001",15,"P002",0,"P003",8,"P004",8,"P005",0,"P006",7,"P007",7,"P008",6,"P009",45,"P010",60)</f>
        <v>0</v>
      </c>
      <c r="V560" s="1">
        <f>Table1[[#This Row],[Shipping per Unit]]*Table1[[#This Row],[Quantity]]</f>
        <v>0</v>
      </c>
      <c r="W560" s="2">
        <f>IF(Table1[[#This Row],[Total Shipping]]&gt;0.1,0.2,0)</f>
        <v>0</v>
      </c>
      <c r="X560" s="4">
        <f>Table1[[#This Row],[Total Shipping]]*Table1[[#This Row],[VAT on Shipping]]</f>
        <v>0</v>
      </c>
      <c r="Y560" s="1">
        <f>Table1[[#This Row],[Revenue]]-Table1[[#This Row],[COGS]]</f>
        <v>1258</v>
      </c>
      <c r="Z560" s="3">
        <f>(Table1[[#This Row],[Profit]]/Table1[[#This Row],[Revenue]])</f>
        <v>0.40217391304347827</v>
      </c>
      <c r="AA560" s="1">
        <f>Table1[[#This Row],[Profit]]-Table1[[#This Row],[Total Shipping]]</f>
        <v>1258</v>
      </c>
      <c r="AB560" s="3">
        <f>Table1[[#This Row],[Operating Profit]]/Table1[[#This Row],[Revenue]]</f>
        <v>0.40217391304347827</v>
      </c>
    </row>
    <row r="561" spans="1:28" x14ac:dyDescent="0.25">
      <c r="A561" t="s">
        <v>278</v>
      </c>
      <c r="B561">
        <v>779</v>
      </c>
      <c r="C561" t="s">
        <v>35</v>
      </c>
      <c r="D561" t="s">
        <v>67</v>
      </c>
      <c r="E561" t="s">
        <v>49</v>
      </c>
      <c r="F561" t="s">
        <v>79</v>
      </c>
      <c r="G561" t="str" cm="1">
        <f t="array" ref="G561">_xlfn.SWITCH(F561,"Acme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561" t="s">
        <v>51</v>
      </c>
      <c r="I561" t="s">
        <v>52</v>
      </c>
      <c r="J561" t="str" cm="1">
        <f t="array" ref="J561">_xlfn.SWITCH(I561,"P001","Laptop","P002","Server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561" s="1" cm="1">
        <f t="array" ref="K561">_xlfn.SWITCH(Table1[[#This Row],[Product ID]],"P001",220,"P002",150,"P003",130,"P004",70,"P005",200,"P006",40,"P007",25,"P008",20,"P009",190,"P010",530)</f>
        <v>130</v>
      </c>
      <c r="L561">
        <v>5</v>
      </c>
      <c r="M561" s="1">
        <f>Table1[[#This Row],[Unit Price]]*Table1[[#This Row],[Quantity]]</f>
        <v>650</v>
      </c>
      <c r="N561" s="2">
        <v>0.1</v>
      </c>
      <c r="O561" s="1">
        <f>Table1[[#This Row],[Gross Value]]*(1-Table1[[#This Row],[Discount]])</f>
        <v>585</v>
      </c>
      <c r="P561" s="2">
        <v>0.2</v>
      </c>
      <c r="Q561" s="1">
        <f>Table1[[#This Row],[Revenue]]*Table1[[#This Row],[VAT Rate]]</f>
        <v>117</v>
      </c>
      <c r="R561" s="1">
        <f>Table1[[#This Row],[Revenue]]+Table1[[#This Row],[VAT Charged]]</f>
        <v>702</v>
      </c>
      <c r="S561" s="1" cm="1">
        <f t="array" ref="S561">_xlfn.SWITCH(Table1[[#This Row],[Product ID]],"P001",140,"P002",80,"P003",72,"P004",30,"P005",110,"P006",24,"P007",14,"P008",12,"P009",115,"P010",360)</f>
        <v>72</v>
      </c>
      <c r="T561" s="1" cm="1">
        <f t="array" ref="T561">(_xlfn.SWITCH(Table1[[#This Row],[Product ID]],"P001",140,"P002",80,"P003",72,"P004",30,"P005",110,"P006",24,"P007",14,"P008",12,"P009",115,"P010",360))*Table1[[#This Row],[Quantity]]</f>
        <v>360</v>
      </c>
      <c r="U561" s="1" cm="1">
        <f t="array" ref="U561">_xlfn.SWITCH(Table1[[#This Row],[Product ID]],"P001",15,"P002",0,"P003",8,"P004",8,"P005",0,"P006",7,"P007",7,"P008",6,"P009",45,"P010",60)</f>
        <v>8</v>
      </c>
      <c r="V561" s="1">
        <f>Table1[[#This Row],[Shipping per Unit]]*Table1[[#This Row],[Quantity]]</f>
        <v>40</v>
      </c>
      <c r="W561" s="2">
        <f>IF(Table1[[#This Row],[Total Shipping]]&gt;0.1,0.2,0)</f>
        <v>0.2</v>
      </c>
      <c r="X561" s="4">
        <f>Table1[[#This Row],[Total Shipping]]*Table1[[#This Row],[VAT on Shipping]]</f>
        <v>8</v>
      </c>
      <c r="Y561" s="1">
        <f>Table1[[#This Row],[Revenue]]-Table1[[#This Row],[COGS]]</f>
        <v>225</v>
      </c>
      <c r="Z561" s="3">
        <f>(Table1[[#This Row],[Profit]]/Table1[[#This Row],[Revenue]])</f>
        <v>0.38461538461538464</v>
      </c>
      <c r="AA561" s="1">
        <f>Table1[[#This Row],[Profit]]-Table1[[#This Row],[Total Shipping]]</f>
        <v>185</v>
      </c>
      <c r="AB561" s="3">
        <f>Table1[[#This Row],[Operating Profit]]/Table1[[#This Row],[Revenue]]</f>
        <v>0.31623931623931623</v>
      </c>
    </row>
    <row r="562" spans="1:28" x14ac:dyDescent="0.25">
      <c r="A562" t="s">
        <v>278</v>
      </c>
      <c r="B562">
        <v>940</v>
      </c>
      <c r="C562" t="s">
        <v>56</v>
      </c>
      <c r="D562" t="s">
        <v>36</v>
      </c>
      <c r="E562" t="s">
        <v>31</v>
      </c>
      <c r="F562" t="s">
        <v>74</v>
      </c>
      <c r="G562" t="str" cm="1">
        <f t="array" ref="G562">_xlfn.SWITCH(F562,"Acme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562" t="s">
        <v>45</v>
      </c>
      <c r="I562" t="s">
        <v>68</v>
      </c>
      <c r="J562" t="str" cm="1">
        <f t="array" ref="J562">_xlfn.SWITCH(I562,"P001","Laptop","P002","Server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562" s="1" cm="1">
        <f t="array" ref="K562">_xlfn.SWITCH(Table1[[#This Row],[Product ID]],"P001",220,"P002",150,"P003",130,"P004",70,"P005",200,"P006",40,"P007",25,"P008",20,"P009",190,"P010",530)</f>
        <v>220</v>
      </c>
      <c r="L562">
        <v>19</v>
      </c>
      <c r="M562" s="1">
        <f>Table1[[#This Row],[Unit Price]]*Table1[[#This Row],[Quantity]]</f>
        <v>4180</v>
      </c>
      <c r="N562" s="2">
        <v>0.03</v>
      </c>
      <c r="O562" s="1">
        <f>Table1[[#This Row],[Gross Value]]*(1-Table1[[#This Row],[Discount]])</f>
        <v>4054.6</v>
      </c>
      <c r="P562" s="2">
        <v>0.2</v>
      </c>
      <c r="Q562" s="1">
        <f>Table1[[#This Row],[Revenue]]*Table1[[#This Row],[VAT Rate]]</f>
        <v>810.92000000000007</v>
      </c>
      <c r="R562" s="1">
        <f>Table1[[#This Row],[Revenue]]+Table1[[#This Row],[VAT Charged]]</f>
        <v>4865.5200000000004</v>
      </c>
      <c r="S562" s="1" cm="1">
        <f t="array" ref="S562">_xlfn.SWITCH(Table1[[#This Row],[Product ID]],"P001",140,"P002",80,"P003",72,"P004",30,"P005",110,"P006",24,"P007",14,"P008",12,"P009",115,"P010",360)</f>
        <v>140</v>
      </c>
      <c r="T562" s="1" cm="1">
        <f t="array" ref="T562">(_xlfn.SWITCH(Table1[[#This Row],[Product ID]],"P001",140,"P002",80,"P003",72,"P004",30,"P005",110,"P006",24,"P007",14,"P008",12,"P009",115,"P010",360))*Table1[[#This Row],[Quantity]]</f>
        <v>2660</v>
      </c>
      <c r="U562" s="1" cm="1">
        <f t="array" ref="U562">_xlfn.SWITCH(Table1[[#This Row],[Product ID]],"P001",15,"P002",0,"P003",8,"P004",8,"P005",0,"P006",7,"P007",7,"P008",6,"P009",45,"P010",60)</f>
        <v>15</v>
      </c>
      <c r="V562" s="1">
        <f>Table1[[#This Row],[Shipping per Unit]]*Table1[[#This Row],[Quantity]]</f>
        <v>285</v>
      </c>
      <c r="W562" s="2">
        <f>IF(Table1[[#This Row],[Total Shipping]]&gt;0.1,0.2,0)</f>
        <v>0.2</v>
      </c>
      <c r="X562" s="4">
        <f>Table1[[#This Row],[Total Shipping]]*Table1[[#This Row],[VAT on Shipping]]</f>
        <v>57</v>
      </c>
      <c r="Y562" s="1">
        <f>Table1[[#This Row],[Revenue]]-Table1[[#This Row],[COGS]]</f>
        <v>1394.6</v>
      </c>
      <c r="Z562" s="3">
        <f>(Table1[[#This Row],[Profit]]/Table1[[#This Row],[Revenue]])</f>
        <v>0.3439550140581068</v>
      </c>
      <c r="AA562" s="1">
        <f>Table1[[#This Row],[Profit]]-Table1[[#This Row],[Total Shipping]]</f>
        <v>1109.5999999999999</v>
      </c>
      <c r="AB562" s="3">
        <f>Table1[[#This Row],[Operating Profit]]/Table1[[#This Row],[Revenue]]</f>
        <v>0.27366447985004683</v>
      </c>
    </row>
    <row r="563" spans="1:28" x14ac:dyDescent="0.25">
      <c r="A563" t="s">
        <v>279</v>
      </c>
      <c r="B563">
        <v>42</v>
      </c>
      <c r="C563" t="s">
        <v>83</v>
      </c>
      <c r="D563" t="s">
        <v>48</v>
      </c>
      <c r="E563" t="s">
        <v>40</v>
      </c>
      <c r="F563" t="s">
        <v>86</v>
      </c>
      <c r="G563" t="str" cm="1">
        <f t="array" ref="G563">_xlfn.SWITCH(F563,"Acme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563" t="s">
        <v>45</v>
      </c>
      <c r="I563" t="s">
        <v>42</v>
      </c>
      <c r="J563" t="str" cm="1">
        <f t="array" ref="J563">_xlfn.SWITCH(I563,"P001","Laptop","P002","Server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63" s="1" cm="1">
        <f t="array" ref="K563">_xlfn.SWITCH(Table1[[#This Row],[Product ID]],"P001",220,"P002",150,"P003",130,"P004",70,"P005",200,"P006",40,"P007",25,"P008",20,"P009",190,"P010",530)</f>
        <v>40</v>
      </c>
      <c r="L563">
        <v>4</v>
      </c>
      <c r="M563" s="1">
        <f>Table1[[#This Row],[Unit Price]]*Table1[[#This Row],[Quantity]]</f>
        <v>160</v>
      </c>
      <c r="N563" s="2">
        <v>0.02</v>
      </c>
      <c r="O563" s="1">
        <f>Table1[[#This Row],[Gross Value]]*(1-Table1[[#This Row],[Discount]])</f>
        <v>156.80000000000001</v>
      </c>
      <c r="P563" s="2">
        <v>0.2</v>
      </c>
      <c r="Q563" s="1">
        <f>Table1[[#This Row],[Revenue]]*Table1[[#This Row],[VAT Rate]]</f>
        <v>31.360000000000003</v>
      </c>
      <c r="R563" s="1">
        <f>Table1[[#This Row],[Revenue]]+Table1[[#This Row],[VAT Charged]]</f>
        <v>188.16000000000003</v>
      </c>
      <c r="S563" s="1" cm="1">
        <f t="array" ref="S563">_xlfn.SWITCH(Table1[[#This Row],[Product ID]],"P001",140,"P002",80,"P003",72,"P004",30,"P005",110,"P006",24,"P007",14,"P008",12,"P009",115,"P010",360)</f>
        <v>24</v>
      </c>
      <c r="T563" s="1" cm="1">
        <f t="array" ref="T563">(_xlfn.SWITCH(Table1[[#This Row],[Product ID]],"P001",140,"P002",80,"P003",72,"P004",30,"P005",110,"P006",24,"P007",14,"P008",12,"P009",115,"P010",360))*Table1[[#This Row],[Quantity]]</f>
        <v>96</v>
      </c>
      <c r="U563" s="1" cm="1">
        <f t="array" ref="U563">_xlfn.SWITCH(Table1[[#This Row],[Product ID]],"P001",15,"P002",0,"P003",8,"P004",8,"P005",0,"P006",7,"P007",7,"P008",6,"P009",45,"P010",60)</f>
        <v>7</v>
      </c>
      <c r="V563" s="1">
        <f>Table1[[#This Row],[Shipping per Unit]]*Table1[[#This Row],[Quantity]]</f>
        <v>28</v>
      </c>
      <c r="W563" s="2">
        <f>IF(Table1[[#This Row],[Total Shipping]]&gt;0.1,0.2,0)</f>
        <v>0.2</v>
      </c>
      <c r="X563" s="4">
        <f>Table1[[#This Row],[Total Shipping]]*Table1[[#This Row],[VAT on Shipping]]</f>
        <v>5.6000000000000005</v>
      </c>
      <c r="Y563" s="1">
        <f>Table1[[#This Row],[Revenue]]-Table1[[#This Row],[COGS]]</f>
        <v>60.800000000000011</v>
      </c>
      <c r="Z563" s="3">
        <f>(Table1[[#This Row],[Profit]]/Table1[[#This Row],[Revenue]])</f>
        <v>0.38775510204081637</v>
      </c>
      <c r="AA563" s="1">
        <f>Table1[[#This Row],[Profit]]-Table1[[#This Row],[Total Shipping]]</f>
        <v>32.800000000000011</v>
      </c>
      <c r="AB563" s="3">
        <f>Table1[[#This Row],[Operating Profit]]/Table1[[#This Row],[Revenue]]</f>
        <v>0.20918367346938782</v>
      </c>
    </row>
    <row r="564" spans="1:28" x14ac:dyDescent="0.25">
      <c r="A564" t="s">
        <v>279</v>
      </c>
      <c r="B564">
        <v>515</v>
      </c>
      <c r="C564" t="s">
        <v>35</v>
      </c>
      <c r="D564" t="s">
        <v>48</v>
      </c>
      <c r="E564" t="s">
        <v>31</v>
      </c>
      <c r="F564" t="s">
        <v>126</v>
      </c>
      <c r="G564" t="str" cm="1">
        <f t="array" ref="G564">_xlfn.SWITCH(F564,"Acme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564" t="s">
        <v>58</v>
      </c>
      <c r="I564" t="s">
        <v>91</v>
      </c>
      <c r="J564" t="str" cm="1">
        <f t="array" ref="J564">_xlfn.SWITCH(I564,"P001","Laptop","P002","Server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564" s="1" cm="1">
        <f t="array" ref="K564">_xlfn.SWITCH(Table1[[#This Row],[Product ID]],"P001",220,"P002",150,"P003",130,"P004",70,"P005",200,"P006",40,"P007",25,"P008",20,"P009",190,"P010",530)</f>
        <v>190</v>
      </c>
      <c r="L564">
        <v>7</v>
      </c>
      <c r="M564" s="1">
        <f>Table1[[#This Row],[Unit Price]]*Table1[[#This Row],[Quantity]]</f>
        <v>1330</v>
      </c>
      <c r="N564" s="2">
        <v>0.06</v>
      </c>
      <c r="O564" s="1">
        <f>Table1[[#This Row],[Gross Value]]*(1-Table1[[#This Row],[Discount]])</f>
        <v>1250.1999999999998</v>
      </c>
      <c r="P564" s="2">
        <v>0.2</v>
      </c>
      <c r="Q564" s="1">
        <f>Table1[[#This Row],[Revenue]]*Table1[[#This Row],[VAT Rate]]</f>
        <v>250.03999999999996</v>
      </c>
      <c r="R564" s="1">
        <f>Table1[[#This Row],[Revenue]]+Table1[[#This Row],[VAT Charged]]</f>
        <v>1500.2399999999998</v>
      </c>
      <c r="S564" s="1" cm="1">
        <f t="array" ref="S564">_xlfn.SWITCH(Table1[[#This Row],[Product ID]],"P001",140,"P002",80,"P003",72,"P004",30,"P005",110,"P006",24,"P007",14,"P008",12,"P009",115,"P010",360)</f>
        <v>115</v>
      </c>
      <c r="T564" s="1" cm="1">
        <f t="array" ref="T564">(_xlfn.SWITCH(Table1[[#This Row],[Product ID]],"P001",140,"P002",80,"P003",72,"P004",30,"P005",110,"P006",24,"P007",14,"P008",12,"P009",115,"P010",360))*Table1[[#This Row],[Quantity]]</f>
        <v>805</v>
      </c>
      <c r="U564" s="1" cm="1">
        <f t="array" ref="U564">_xlfn.SWITCH(Table1[[#This Row],[Product ID]],"P001",15,"P002",0,"P003",8,"P004",8,"P005",0,"P006",7,"P007",7,"P008",6,"P009",45,"P010",60)</f>
        <v>45</v>
      </c>
      <c r="V564" s="1">
        <f>Table1[[#This Row],[Shipping per Unit]]*Table1[[#This Row],[Quantity]]</f>
        <v>315</v>
      </c>
      <c r="W564" s="2">
        <f>IF(Table1[[#This Row],[Total Shipping]]&gt;0.1,0.2,0)</f>
        <v>0.2</v>
      </c>
      <c r="X564" s="4">
        <f>Table1[[#This Row],[Total Shipping]]*Table1[[#This Row],[VAT on Shipping]]</f>
        <v>63</v>
      </c>
      <c r="Y564" s="1">
        <f>Table1[[#This Row],[Revenue]]-Table1[[#This Row],[COGS]]</f>
        <v>445.19999999999982</v>
      </c>
      <c r="Z564" s="3">
        <f>(Table1[[#This Row],[Profit]]/Table1[[#This Row],[Revenue]])</f>
        <v>0.35610302351623729</v>
      </c>
      <c r="AA564" s="1">
        <f>Table1[[#This Row],[Profit]]-Table1[[#This Row],[Total Shipping]]</f>
        <v>130.19999999999982</v>
      </c>
      <c r="AB564" s="3">
        <f>Table1[[#This Row],[Operating Profit]]/Table1[[#This Row],[Revenue]]</f>
        <v>0.10414333706606931</v>
      </c>
    </row>
    <row r="565" spans="1:28" x14ac:dyDescent="0.25">
      <c r="A565" t="s">
        <v>279</v>
      </c>
      <c r="B565">
        <v>609</v>
      </c>
      <c r="C565" t="s">
        <v>62</v>
      </c>
      <c r="D565" t="s">
        <v>67</v>
      </c>
      <c r="E565" t="s">
        <v>31</v>
      </c>
      <c r="F565" t="s">
        <v>119</v>
      </c>
      <c r="G565" t="str" cm="1">
        <f t="array" ref="G565">_xlfn.SWITCH(F565,"Acme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565" t="s">
        <v>45</v>
      </c>
      <c r="I565" t="s">
        <v>60</v>
      </c>
      <c r="J565" t="str" cm="1">
        <f t="array" ref="J565">_xlfn.SWITCH(I565,"P001","Laptop","P002","Server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565" s="1" cm="1">
        <f t="array" ref="K565">_xlfn.SWITCH(Table1[[#This Row],[Product ID]],"P001",220,"P002",150,"P003",130,"P004",70,"P005",200,"P006",40,"P007",25,"P008",20,"P009",190,"P010",530)</f>
        <v>25</v>
      </c>
      <c r="L565">
        <v>12</v>
      </c>
      <c r="M565" s="1">
        <f>Table1[[#This Row],[Unit Price]]*Table1[[#This Row],[Quantity]]</f>
        <v>300</v>
      </c>
      <c r="N565" s="2">
        <v>0.05</v>
      </c>
      <c r="O565" s="1">
        <f>Table1[[#This Row],[Gross Value]]*(1-Table1[[#This Row],[Discount]])</f>
        <v>285</v>
      </c>
      <c r="P565" s="2">
        <v>0.2</v>
      </c>
      <c r="Q565" s="1">
        <f>Table1[[#This Row],[Revenue]]*Table1[[#This Row],[VAT Rate]]</f>
        <v>57</v>
      </c>
      <c r="R565" s="1">
        <f>Table1[[#This Row],[Revenue]]+Table1[[#This Row],[VAT Charged]]</f>
        <v>342</v>
      </c>
      <c r="S565" s="1" cm="1">
        <f t="array" ref="S565">_xlfn.SWITCH(Table1[[#This Row],[Product ID]],"P001",140,"P002",80,"P003",72,"P004",30,"P005",110,"P006",24,"P007",14,"P008",12,"P009",115,"P010",360)</f>
        <v>14</v>
      </c>
      <c r="T565" s="1" cm="1">
        <f t="array" ref="T565">(_xlfn.SWITCH(Table1[[#This Row],[Product ID]],"P001",140,"P002",80,"P003",72,"P004",30,"P005",110,"P006",24,"P007",14,"P008",12,"P009",115,"P010",360))*Table1[[#This Row],[Quantity]]</f>
        <v>168</v>
      </c>
      <c r="U565" s="1" cm="1">
        <f t="array" ref="U565">_xlfn.SWITCH(Table1[[#This Row],[Product ID]],"P001",15,"P002",0,"P003",8,"P004",8,"P005",0,"P006",7,"P007",7,"P008",6,"P009",45,"P010",60)</f>
        <v>7</v>
      </c>
      <c r="V565" s="1">
        <f>Table1[[#This Row],[Shipping per Unit]]*Table1[[#This Row],[Quantity]]</f>
        <v>84</v>
      </c>
      <c r="W565" s="2">
        <f>IF(Table1[[#This Row],[Total Shipping]]&gt;0.1,0.2,0)</f>
        <v>0.2</v>
      </c>
      <c r="X565" s="4">
        <f>Table1[[#This Row],[Total Shipping]]*Table1[[#This Row],[VAT on Shipping]]</f>
        <v>16.8</v>
      </c>
      <c r="Y565" s="1">
        <f>Table1[[#This Row],[Revenue]]-Table1[[#This Row],[COGS]]</f>
        <v>117</v>
      </c>
      <c r="Z565" s="3">
        <f>(Table1[[#This Row],[Profit]]/Table1[[#This Row],[Revenue]])</f>
        <v>0.41052631578947368</v>
      </c>
      <c r="AA565" s="1">
        <f>Table1[[#This Row],[Profit]]-Table1[[#This Row],[Total Shipping]]</f>
        <v>33</v>
      </c>
      <c r="AB565" s="3">
        <f>Table1[[#This Row],[Operating Profit]]/Table1[[#This Row],[Revenue]]</f>
        <v>0.11578947368421053</v>
      </c>
    </row>
    <row r="566" spans="1:28" x14ac:dyDescent="0.25">
      <c r="A566" t="s">
        <v>280</v>
      </c>
      <c r="B566">
        <v>51</v>
      </c>
      <c r="C566" t="s">
        <v>71</v>
      </c>
      <c r="D566" t="s">
        <v>48</v>
      </c>
      <c r="E566" t="s">
        <v>31</v>
      </c>
      <c r="F566" t="s">
        <v>59</v>
      </c>
      <c r="G566" t="str" cm="1">
        <f t="array" ref="G566">_xlfn.SWITCH(F566,"Acme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566" t="s">
        <v>51</v>
      </c>
      <c r="I566" t="s">
        <v>55</v>
      </c>
      <c r="J566" t="str" cm="1">
        <f t="array" ref="J566">_xlfn.SWITCH(I566,"P001","Laptop","P002","Server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66" s="1" cm="1">
        <f t="array" ref="K566">_xlfn.SWITCH(Table1[[#This Row],[Product ID]],"P001",220,"P002",150,"P003",130,"P004",70,"P005",200,"P006",40,"P007",25,"P008",20,"P009",190,"P010",530)</f>
        <v>70</v>
      </c>
      <c r="L566">
        <v>9</v>
      </c>
      <c r="M566" s="1">
        <f>Table1[[#This Row],[Unit Price]]*Table1[[#This Row],[Quantity]]</f>
        <v>630</v>
      </c>
      <c r="N566" s="2">
        <v>0.05</v>
      </c>
      <c r="O566" s="1">
        <f>Table1[[#This Row],[Gross Value]]*(1-Table1[[#This Row],[Discount]])</f>
        <v>598.5</v>
      </c>
      <c r="P566" s="2">
        <v>0.2</v>
      </c>
      <c r="Q566" s="1">
        <f>Table1[[#This Row],[Revenue]]*Table1[[#This Row],[VAT Rate]]</f>
        <v>119.7</v>
      </c>
      <c r="R566" s="1">
        <f>Table1[[#This Row],[Revenue]]+Table1[[#This Row],[VAT Charged]]</f>
        <v>718.2</v>
      </c>
      <c r="S566" s="1" cm="1">
        <f t="array" ref="S566">_xlfn.SWITCH(Table1[[#This Row],[Product ID]],"P001",140,"P002",80,"P003",72,"P004",30,"P005",110,"P006",24,"P007",14,"P008",12,"P009",115,"P010",360)</f>
        <v>30</v>
      </c>
      <c r="T566" s="1" cm="1">
        <f t="array" ref="T566">(_xlfn.SWITCH(Table1[[#This Row],[Product ID]],"P001",140,"P002",80,"P003",72,"P004",30,"P005",110,"P006",24,"P007",14,"P008",12,"P009",115,"P010",360))*Table1[[#This Row],[Quantity]]</f>
        <v>270</v>
      </c>
      <c r="U566" s="1" cm="1">
        <f t="array" ref="U566">_xlfn.SWITCH(Table1[[#This Row],[Product ID]],"P001",15,"P002",0,"P003",8,"P004",8,"P005",0,"P006",7,"P007",7,"P008",6,"P009",45,"P010",60)</f>
        <v>8</v>
      </c>
      <c r="V566" s="1">
        <f>Table1[[#This Row],[Shipping per Unit]]*Table1[[#This Row],[Quantity]]</f>
        <v>72</v>
      </c>
      <c r="W566" s="2">
        <f>IF(Table1[[#This Row],[Total Shipping]]&gt;0.1,0.2,0)</f>
        <v>0.2</v>
      </c>
      <c r="X566" s="4">
        <f>Table1[[#This Row],[Total Shipping]]*Table1[[#This Row],[VAT on Shipping]]</f>
        <v>14.4</v>
      </c>
      <c r="Y566" s="1">
        <f>Table1[[#This Row],[Revenue]]-Table1[[#This Row],[COGS]]</f>
        <v>328.5</v>
      </c>
      <c r="Z566" s="3">
        <f>(Table1[[#This Row],[Profit]]/Table1[[#This Row],[Revenue]])</f>
        <v>0.54887218045112784</v>
      </c>
      <c r="AA566" s="1">
        <f>Table1[[#This Row],[Profit]]-Table1[[#This Row],[Total Shipping]]</f>
        <v>256.5</v>
      </c>
      <c r="AB566" s="3">
        <f>Table1[[#This Row],[Operating Profit]]/Table1[[#This Row],[Revenue]]</f>
        <v>0.42857142857142855</v>
      </c>
    </row>
    <row r="567" spans="1:28" x14ac:dyDescent="0.25">
      <c r="A567" t="s">
        <v>280</v>
      </c>
      <c r="B567">
        <v>297</v>
      </c>
      <c r="C567" t="s">
        <v>71</v>
      </c>
      <c r="D567" t="s">
        <v>30</v>
      </c>
      <c r="E567" t="s">
        <v>49</v>
      </c>
      <c r="F567" t="s">
        <v>84</v>
      </c>
      <c r="G567" t="str" cm="1">
        <f t="array" ref="G567">_xlfn.SWITCH(F567,"Acme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567" t="s">
        <v>33</v>
      </c>
      <c r="I567" t="s">
        <v>70</v>
      </c>
      <c r="J567" t="str" cm="1">
        <f t="array" ref="J567">_xlfn.SWITCH(I567,"P001","Laptop","P002","Server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567" s="1" cm="1">
        <f t="array" ref="K567">_xlfn.SWITCH(Table1[[#This Row],[Product ID]],"P001",220,"P002",150,"P003",130,"P004",70,"P005",200,"P006",40,"P007",25,"P008",20,"P009",190,"P010",530)</f>
        <v>150</v>
      </c>
      <c r="L567">
        <v>8</v>
      </c>
      <c r="M567" s="1">
        <f>Table1[[#This Row],[Unit Price]]*Table1[[#This Row],[Quantity]]</f>
        <v>1200</v>
      </c>
      <c r="N567" s="2">
        <v>0.08</v>
      </c>
      <c r="O567" s="1">
        <f>Table1[[#This Row],[Gross Value]]*(1-Table1[[#This Row],[Discount]])</f>
        <v>1104</v>
      </c>
      <c r="P567" s="2">
        <v>0.2</v>
      </c>
      <c r="Q567" s="1">
        <f>Table1[[#This Row],[Revenue]]*Table1[[#This Row],[VAT Rate]]</f>
        <v>220.8</v>
      </c>
      <c r="R567" s="1">
        <f>Table1[[#This Row],[Revenue]]+Table1[[#This Row],[VAT Charged]]</f>
        <v>1324.8</v>
      </c>
      <c r="S567" s="1" cm="1">
        <f t="array" ref="S567">_xlfn.SWITCH(Table1[[#This Row],[Product ID]],"P001",140,"P002",80,"P003",72,"P004",30,"P005",110,"P006",24,"P007",14,"P008",12,"P009",115,"P010",360)</f>
        <v>80</v>
      </c>
      <c r="T567" s="1" cm="1">
        <f t="array" ref="T567">(_xlfn.SWITCH(Table1[[#This Row],[Product ID]],"P001",140,"P002",80,"P003",72,"P004",30,"P005",110,"P006",24,"P007",14,"P008",12,"P009",115,"P010",360))*Table1[[#This Row],[Quantity]]</f>
        <v>640</v>
      </c>
      <c r="U567" s="1" cm="1">
        <f t="array" ref="U567">_xlfn.SWITCH(Table1[[#This Row],[Product ID]],"P001",15,"P002",0,"P003",8,"P004",8,"P005",0,"P006",7,"P007",7,"P008",6,"P009",45,"P010",60)</f>
        <v>0</v>
      </c>
      <c r="V567" s="1">
        <f>Table1[[#This Row],[Shipping per Unit]]*Table1[[#This Row],[Quantity]]</f>
        <v>0</v>
      </c>
      <c r="W567" s="2">
        <f>IF(Table1[[#This Row],[Total Shipping]]&gt;0.1,0.2,0)</f>
        <v>0</v>
      </c>
      <c r="X567" s="4">
        <f>Table1[[#This Row],[Total Shipping]]*Table1[[#This Row],[VAT on Shipping]]</f>
        <v>0</v>
      </c>
      <c r="Y567" s="1">
        <f>Table1[[#This Row],[Revenue]]-Table1[[#This Row],[COGS]]</f>
        <v>464</v>
      </c>
      <c r="Z567" s="3">
        <f>(Table1[[#This Row],[Profit]]/Table1[[#This Row],[Revenue]])</f>
        <v>0.42028985507246375</v>
      </c>
      <c r="AA567" s="1">
        <f>Table1[[#This Row],[Profit]]-Table1[[#This Row],[Total Shipping]]</f>
        <v>464</v>
      </c>
      <c r="AB567" s="3">
        <f>Table1[[#This Row],[Operating Profit]]/Table1[[#This Row],[Revenue]]</f>
        <v>0.42028985507246375</v>
      </c>
    </row>
    <row r="568" spans="1:28" x14ac:dyDescent="0.25">
      <c r="A568" t="s">
        <v>280</v>
      </c>
      <c r="B568">
        <v>817</v>
      </c>
      <c r="C568" t="s">
        <v>62</v>
      </c>
      <c r="D568" t="s">
        <v>48</v>
      </c>
      <c r="E568" t="s">
        <v>40</v>
      </c>
      <c r="F568" t="s">
        <v>59</v>
      </c>
      <c r="G568" t="str" cm="1">
        <f t="array" ref="G568">_xlfn.SWITCH(F568,"Acme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568" t="s">
        <v>45</v>
      </c>
      <c r="I568" t="s">
        <v>34</v>
      </c>
      <c r="J568" t="str" cm="1">
        <f t="array" ref="J568">_xlfn.SWITCH(I568,"P001","Laptop","P002","Server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568" s="1" cm="1">
        <f t="array" ref="K568">_xlfn.SWITCH(Table1[[#This Row],[Product ID]],"P001",220,"P002",150,"P003",130,"P004",70,"P005",200,"P006",40,"P007",25,"P008",20,"P009",190,"P010",530)</f>
        <v>20</v>
      </c>
      <c r="L568">
        <v>13</v>
      </c>
      <c r="M568" s="1">
        <f>Table1[[#This Row],[Unit Price]]*Table1[[#This Row],[Quantity]]</f>
        <v>260</v>
      </c>
      <c r="N568" s="2">
        <v>0.02</v>
      </c>
      <c r="O568" s="1">
        <f>Table1[[#This Row],[Gross Value]]*(1-Table1[[#This Row],[Discount]])</f>
        <v>254.79999999999998</v>
      </c>
      <c r="P568" s="2">
        <v>0.2</v>
      </c>
      <c r="Q568" s="1">
        <f>Table1[[#This Row],[Revenue]]*Table1[[#This Row],[VAT Rate]]</f>
        <v>50.96</v>
      </c>
      <c r="R568" s="1">
        <f>Table1[[#This Row],[Revenue]]+Table1[[#This Row],[VAT Charged]]</f>
        <v>305.76</v>
      </c>
      <c r="S568" s="1" cm="1">
        <f t="array" ref="S568">_xlfn.SWITCH(Table1[[#This Row],[Product ID]],"P001",140,"P002",80,"P003",72,"P004",30,"P005",110,"P006",24,"P007",14,"P008",12,"P009",115,"P010",360)</f>
        <v>12</v>
      </c>
      <c r="T568" s="1" cm="1">
        <f t="array" ref="T568">(_xlfn.SWITCH(Table1[[#This Row],[Product ID]],"P001",140,"P002",80,"P003",72,"P004",30,"P005",110,"P006",24,"P007",14,"P008",12,"P009",115,"P010",360))*Table1[[#This Row],[Quantity]]</f>
        <v>156</v>
      </c>
      <c r="U568" s="1" cm="1">
        <f t="array" ref="U568">_xlfn.SWITCH(Table1[[#This Row],[Product ID]],"P001",15,"P002",0,"P003",8,"P004",8,"P005",0,"P006",7,"P007",7,"P008",6,"P009",45,"P010",60)</f>
        <v>6</v>
      </c>
      <c r="V568" s="1">
        <f>Table1[[#This Row],[Shipping per Unit]]*Table1[[#This Row],[Quantity]]</f>
        <v>78</v>
      </c>
      <c r="W568" s="2">
        <f>IF(Table1[[#This Row],[Total Shipping]]&gt;0.1,0.2,0)</f>
        <v>0.2</v>
      </c>
      <c r="X568" s="4">
        <f>Table1[[#This Row],[Total Shipping]]*Table1[[#This Row],[VAT on Shipping]]</f>
        <v>15.600000000000001</v>
      </c>
      <c r="Y568" s="1">
        <f>Table1[[#This Row],[Revenue]]-Table1[[#This Row],[COGS]]</f>
        <v>98.799999999999983</v>
      </c>
      <c r="Z568" s="3">
        <f>(Table1[[#This Row],[Profit]]/Table1[[#This Row],[Revenue]])</f>
        <v>0.38775510204081631</v>
      </c>
      <c r="AA568" s="1">
        <f>Table1[[#This Row],[Profit]]-Table1[[#This Row],[Total Shipping]]</f>
        <v>20.799999999999983</v>
      </c>
      <c r="AB568" s="3">
        <f>Table1[[#This Row],[Operating Profit]]/Table1[[#This Row],[Revenue]]</f>
        <v>8.1632653061224428E-2</v>
      </c>
    </row>
    <row r="569" spans="1:28" x14ac:dyDescent="0.25">
      <c r="A569" t="s">
        <v>280</v>
      </c>
      <c r="B569">
        <v>934</v>
      </c>
      <c r="C569" t="s">
        <v>35</v>
      </c>
      <c r="D569" t="s">
        <v>53</v>
      </c>
      <c r="E569" t="s">
        <v>40</v>
      </c>
      <c r="F569" t="s">
        <v>119</v>
      </c>
      <c r="G569" t="str" cm="1">
        <f t="array" ref="G569">_xlfn.SWITCH(F569,"Acme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569" t="s">
        <v>51</v>
      </c>
      <c r="I569" t="s">
        <v>42</v>
      </c>
      <c r="J569" t="str" cm="1">
        <f t="array" ref="J569">_xlfn.SWITCH(I569,"P001","Laptop","P002","Server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69" s="1" cm="1">
        <f t="array" ref="K569">_xlfn.SWITCH(Table1[[#This Row],[Product ID]],"P001",220,"P002",150,"P003",130,"P004",70,"P005",200,"P006",40,"P007",25,"P008",20,"P009",190,"P010",530)</f>
        <v>40</v>
      </c>
      <c r="L569">
        <v>3</v>
      </c>
      <c r="M569" s="1">
        <f>Table1[[#This Row],[Unit Price]]*Table1[[#This Row],[Quantity]]</f>
        <v>120</v>
      </c>
      <c r="N569" s="2">
        <v>0.1</v>
      </c>
      <c r="O569" s="1">
        <f>Table1[[#This Row],[Gross Value]]*(1-Table1[[#This Row],[Discount]])</f>
        <v>108</v>
      </c>
      <c r="P569" s="2">
        <v>0.2</v>
      </c>
      <c r="Q569" s="1">
        <f>Table1[[#This Row],[Revenue]]*Table1[[#This Row],[VAT Rate]]</f>
        <v>21.6</v>
      </c>
      <c r="R569" s="1">
        <f>Table1[[#This Row],[Revenue]]+Table1[[#This Row],[VAT Charged]]</f>
        <v>129.6</v>
      </c>
      <c r="S569" s="1" cm="1">
        <f t="array" ref="S569">_xlfn.SWITCH(Table1[[#This Row],[Product ID]],"P001",140,"P002",80,"P003",72,"P004",30,"P005",110,"P006",24,"P007",14,"P008",12,"P009",115,"P010",360)</f>
        <v>24</v>
      </c>
      <c r="T569" s="1" cm="1">
        <f t="array" ref="T569">(_xlfn.SWITCH(Table1[[#This Row],[Product ID]],"P001",140,"P002",80,"P003",72,"P004",30,"P005",110,"P006",24,"P007",14,"P008",12,"P009",115,"P010",360))*Table1[[#This Row],[Quantity]]</f>
        <v>72</v>
      </c>
      <c r="U569" s="1" cm="1">
        <f t="array" ref="U569">_xlfn.SWITCH(Table1[[#This Row],[Product ID]],"P001",15,"P002",0,"P003",8,"P004",8,"P005",0,"P006",7,"P007",7,"P008",6,"P009",45,"P010",60)</f>
        <v>7</v>
      </c>
      <c r="V569" s="1">
        <f>Table1[[#This Row],[Shipping per Unit]]*Table1[[#This Row],[Quantity]]</f>
        <v>21</v>
      </c>
      <c r="W569" s="2">
        <f>IF(Table1[[#This Row],[Total Shipping]]&gt;0.1,0.2,0)</f>
        <v>0.2</v>
      </c>
      <c r="X569" s="4">
        <f>Table1[[#This Row],[Total Shipping]]*Table1[[#This Row],[VAT on Shipping]]</f>
        <v>4.2</v>
      </c>
      <c r="Y569" s="1">
        <f>Table1[[#This Row],[Revenue]]-Table1[[#This Row],[COGS]]</f>
        <v>36</v>
      </c>
      <c r="Z569" s="3">
        <f>(Table1[[#This Row],[Profit]]/Table1[[#This Row],[Revenue]])</f>
        <v>0.33333333333333331</v>
      </c>
      <c r="AA569" s="1">
        <f>Table1[[#This Row],[Profit]]-Table1[[#This Row],[Total Shipping]]</f>
        <v>15</v>
      </c>
      <c r="AB569" s="3">
        <f>Table1[[#This Row],[Operating Profit]]/Table1[[#This Row],[Revenue]]</f>
        <v>0.1388888888888889</v>
      </c>
    </row>
    <row r="570" spans="1:28" x14ac:dyDescent="0.25">
      <c r="A570" t="s">
        <v>281</v>
      </c>
      <c r="B570">
        <v>30</v>
      </c>
      <c r="C570" t="s">
        <v>65</v>
      </c>
      <c r="D570" t="s">
        <v>67</v>
      </c>
      <c r="E570" t="s">
        <v>49</v>
      </c>
      <c r="F570" t="s">
        <v>90</v>
      </c>
      <c r="G570" t="str" cm="1">
        <f t="array" ref="G570">_xlfn.SWITCH(F570,"Acme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570" t="s">
        <v>33</v>
      </c>
      <c r="I570" t="s">
        <v>42</v>
      </c>
      <c r="J570" t="str" cm="1">
        <f t="array" ref="J570">_xlfn.SWITCH(I570,"P001","Laptop","P002","Server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70" s="1" cm="1">
        <f t="array" ref="K570">_xlfn.SWITCH(Table1[[#This Row],[Product ID]],"P001",220,"P002",150,"P003",130,"P004",70,"P005",200,"P006",40,"P007",25,"P008",20,"P009",190,"P010",530)</f>
        <v>40</v>
      </c>
      <c r="L570">
        <v>12</v>
      </c>
      <c r="M570" s="1">
        <f>Table1[[#This Row],[Unit Price]]*Table1[[#This Row],[Quantity]]</f>
        <v>480</v>
      </c>
      <c r="N570" s="2">
        <v>0.06</v>
      </c>
      <c r="O570" s="1">
        <f>Table1[[#This Row],[Gross Value]]*(1-Table1[[#This Row],[Discount]])</f>
        <v>451.2</v>
      </c>
      <c r="P570" s="2">
        <v>0.2</v>
      </c>
      <c r="Q570" s="1">
        <f>Table1[[#This Row],[Revenue]]*Table1[[#This Row],[VAT Rate]]</f>
        <v>90.240000000000009</v>
      </c>
      <c r="R570" s="1">
        <f>Table1[[#This Row],[Revenue]]+Table1[[#This Row],[VAT Charged]]</f>
        <v>541.44000000000005</v>
      </c>
      <c r="S570" s="1" cm="1">
        <f t="array" ref="S570">_xlfn.SWITCH(Table1[[#This Row],[Product ID]],"P001",140,"P002",80,"P003",72,"P004",30,"P005",110,"P006",24,"P007",14,"P008",12,"P009",115,"P010",360)</f>
        <v>24</v>
      </c>
      <c r="T570" s="1" cm="1">
        <f t="array" ref="T570">(_xlfn.SWITCH(Table1[[#This Row],[Product ID]],"P001",140,"P002",80,"P003",72,"P004",30,"P005",110,"P006",24,"P007",14,"P008",12,"P009",115,"P010",360))*Table1[[#This Row],[Quantity]]</f>
        <v>288</v>
      </c>
      <c r="U570" s="1" cm="1">
        <f t="array" ref="U570">_xlfn.SWITCH(Table1[[#This Row],[Product ID]],"P001",15,"P002",0,"P003",8,"P004",8,"P005",0,"P006",7,"P007",7,"P008",6,"P009",45,"P010",60)</f>
        <v>7</v>
      </c>
      <c r="V570" s="1">
        <f>Table1[[#This Row],[Shipping per Unit]]*Table1[[#This Row],[Quantity]]</f>
        <v>84</v>
      </c>
      <c r="W570" s="2">
        <f>IF(Table1[[#This Row],[Total Shipping]]&gt;0.1,0.2,0)</f>
        <v>0.2</v>
      </c>
      <c r="X570" s="4">
        <f>Table1[[#This Row],[Total Shipping]]*Table1[[#This Row],[VAT on Shipping]]</f>
        <v>16.8</v>
      </c>
      <c r="Y570" s="1">
        <f>Table1[[#This Row],[Revenue]]-Table1[[#This Row],[COGS]]</f>
        <v>163.19999999999999</v>
      </c>
      <c r="Z570" s="3">
        <f>(Table1[[#This Row],[Profit]]/Table1[[#This Row],[Revenue]])</f>
        <v>0.36170212765957444</v>
      </c>
      <c r="AA570" s="1">
        <f>Table1[[#This Row],[Profit]]-Table1[[#This Row],[Total Shipping]]</f>
        <v>79.199999999999989</v>
      </c>
      <c r="AB570" s="3">
        <f>Table1[[#This Row],[Operating Profit]]/Table1[[#This Row],[Revenue]]</f>
        <v>0.175531914893617</v>
      </c>
    </row>
    <row r="571" spans="1:28" x14ac:dyDescent="0.25">
      <c r="A571" t="s">
        <v>281</v>
      </c>
      <c r="B571">
        <v>594</v>
      </c>
      <c r="C571" t="s">
        <v>29</v>
      </c>
      <c r="D571" t="s">
        <v>36</v>
      </c>
      <c r="E571" t="s">
        <v>31</v>
      </c>
      <c r="F571" t="s">
        <v>64</v>
      </c>
      <c r="G571" t="str" cm="1">
        <f t="array" ref="G571">_xlfn.SWITCH(F571,"Acme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571" t="s">
        <v>58</v>
      </c>
      <c r="I571" t="s">
        <v>68</v>
      </c>
      <c r="J571" t="str" cm="1">
        <f t="array" ref="J571">_xlfn.SWITCH(I571,"P001","Laptop","P002","Server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571" s="1" cm="1">
        <f t="array" ref="K571">_xlfn.SWITCH(Table1[[#This Row],[Product ID]],"P001",220,"P002",150,"P003",130,"P004",70,"P005",200,"P006",40,"P007",25,"P008",20,"P009",190,"P010",530)</f>
        <v>220</v>
      </c>
      <c r="L571">
        <v>15</v>
      </c>
      <c r="M571" s="1">
        <f>Table1[[#This Row],[Unit Price]]*Table1[[#This Row],[Quantity]]</f>
        <v>3300</v>
      </c>
      <c r="N571" s="2">
        <v>0.12</v>
      </c>
      <c r="O571" s="1">
        <f>Table1[[#This Row],[Gross Value]]*(1-Table1[[#This Row],[Discount]])</f>
        <v>2904</v>
      </c>
      <c r="P571" s="2">
        <v>0.2</v>
      </c>
      <c r="Q571" s="1">
        <f>Table1[[#This Row],[Revenue]]*Table1[[#This Row],[VAT Rate]]</f>
        <v>580.80000000000007</v>
      </c>
      <c r="R571" s="1">
        <f>Table1[[#This Row],[Revenue]]+Table1[[#This Row],[VAT Charged]]</f>
        <v>3484.8</v>
      </c>
      <c r="S571" s="1" cm="1">
        <f t="array" ref="S571">_xlfn.SWITCH(Table1[[#This Row],[Product ID]],"P001",140,"P002",80,"P003",72,"P004",30,"P005",110,"P006",24,"P007",14,"P008",12,"P009",115,"P010",360)</f>
        <v>140</v>
      </c>
      <c r="T571" s="1" cm="1">
        <f t="array" ref="T571">(_xlfn.SWITCH(Table1[[#This Row],[Product ID]],"P001",140,"P002",80,"P003",72,"P004",30,"P005",110,"P006",24,"P007",14,"P008",12,"P009",115,"P010",360))*Table1[[#This Row],[Quantity]]</f>
        <v>2100</v>
      </c>
      <c r="U571" s="1" cm="1">
        <f t="array" ref="U571">_xlfn.SWITCH(Table1[[#This Row],[Product ID]],"P001",15,"P002",0,"P003",8,"P004",8,"P005",0,"P006",7,"P007",7,"P008",6,"P009",45,"P010",60)</f>
        <v>15</v>
      </c>
      <c r="V571" s="1">
        <f>Table1[[#This Row],[Shipping per Unit]]*Table1[[#This Row],[Quantity]]</f>
        <v>225</v>
      </c>
      <c r="W571" s="2">
        <f>IF(Table1[[#This Row],[Total Shipping]]&gt;0.1,0.2,0)</f>
        <v>0.2</v>
      </c>
      <c r="X571" s="4">
        <f>Table1[[#This Row],[Total Shipping]]*Table1[[#This Row],[VAT on Shipping]]</f>
        <v>45</v>
      </c>
      <c r="Y571" s="1">
        <f>Table1[[#This Row],[Revenue]]-Table1[[#This Row],[COGS]]</f>
        <v>804</v>
      </c>
      <c r="Z571" s="3">
        <f>(Table1[[#This Row],[Profit]]/Table1[[#This Row],[Revenue]])</f>
        <v>0.27685950413223143</v>
      </c>
      <c r="AA571" s="1">
        <f>Table1[[#This Row],[Profit]]-Table1[[#This Row],[Total Shipping]]</f>
        <v>579</v>
      </c>
      <c r="AB571" s="3">
        <f>Table1[[#This Row],[Operating Profit]]/Table1[[#This Row],[Revenue]]</f>
        <v>0.1993801652892562</v>
      </c>
    </row>
    <row r="572" spans="1:28" x14ac:dyDescent="0.25">
      <c r="A572" t="s">
        <v>281</v>
      </c>
      <c r="B572">
        <v>679</v>
      </c>
      <c r="C572" t="s">
        <v>62</v>
      </c>
      <c r="D572" t="s">
        <v>30</v>
      </c>
      <c r="E572" t="s">
        <v>31</v>
      </c>
      <c r="F572" t="s">
        <v>76</v>
      </c>
      <c r="G572" t="str" cm="1">
        <f t="array" ref="G572">_xlfn.SWITCH(F572,"Acme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572" t="s">
        <v>33</v>
      </c>
      <c r="I572" t="s">
        <v>42</v>
      </c>
      <c r="J572" t="str" cm="1">
        <f t="array" ref="J572">_xlfn.SWITCH(I572,"P001","Laptop","P002","Server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72" s="1" cm="1">
        <f t="array" ref="K572">_xlfn.SWITCH(Table1[[#This Row],[Product ID]],"P001",220,"P002",150,"P003",130,"P004",70,"P005",200,"P006",40,"P007",25,"P008",20,"P009",190,"P010",530)</f>
        <v>40</v>
      </c>
      <c r="L572">
        <v>15</v>
      </c>
      <c r="M572" s="1">
        <f>Table1[[#This Row],[Unit Price]]*Table1[[#This Row],[Quantity]]</f>
        <v>600</v>
      </c>
      <c r="N572" s="2">
        <v>0.05</v>
      </c>
      <c r="O572" s="1">
        <f>Table1[[#This Row],[Gross Value]]*(1-Table1[[#This Row],[Discount]])</f>
        <v>570</v>
      </c>
      <c r="P572" s="2">
        <v>0.2</v>
      </c>
      <c r="Q572" s="1">
        <f>Table1[[#This Row],[Revenue]]*Table1[[#This Row],[VAT Rate]]</f>
        <v>114</v>
      </c>
      <c r="R572" s="1">
        <f>Table1[[#This Row],[Revenue]]+Table1[[#This Row],[VAT Charged]]</f>
        <v>684</v>
      </c>
      <c r="S572" s="1" cm="1">
        <f t="array" ref="S572">_xlfn.SWITCH(Table1[[#This Row],[Product ID]],"P001",140,"P002",80,"P003",72,"P004",30,"P005",110,"P006",24,"P007",14,"P008",12,"P009",115,"P010",360)</f>
        <v>24</v>
      </c>
      <c r="T572" s="1" cm="1">
        <f t="array" ref="T572">(_xlfn.SWITCH(Table1[[#This Row],[Product ID]],"P001",140,"P002",80,"P003",72,"P004",30,"P005",110,"P006",24,"P007",14,"P008",12,"P009",115,"P010",360))*Table1[[#This Row],[Quantity]]</f>
        <v>360</v>
      </c>
      <c r="U572" s="1" cm="1">
        <f t="array" ref="U572">_xlfn.SWITCH(Table1[[#This Row],[Product ID]],"P001",15,"P002",0,"P003",8,"P004",8,"P005",0,"P006",7,"P007",7,"P008",6,"P009",45,"P010",60)</f>
        <v>7</v>
      </c>
      <c r="V572" s="1">
        <f>Table1[[#This Row],[Shipping per Unit]]*Table1[[#This Row],[Quantity]]</f>
        <v>105</v>
      </c>
      <c r="W572" s="2">
        <f>IF(Table1[[#This Row],[Total Shipping]]&gt;0.1,0.2,0)</f>
        <v>0.2</v>
      </c>
      <c r="X572" s="4">
        <f>Table1[[#This Row],[Total Shipping]]*Table1[[#This Row],[VAT on Shipping]]</f>
        <v>21</v>
      </c>
      <c r="Y572" s="1">
        <f>Table1[[#This Row],[Revenue]]-Table1[[#This Row],[COGS]]</f>
        <v>210</v>
      </c>
      <c r="Z572" s="3">
        <f>(Table1[[#This Row],[Profit]]/Table1[[#This Row],[Revenue]])</f>
        <v>0.36842105263157893</v>
      </c>
      <c r="AA572" s="1">
        <f>Table1[[#This Row],[Profit]]-Table1[[#This Row],[Total Shipping]]</f>
        <v>105</v>
      </c>
      <c r="AB572" s="3">
        <f>Table1[[#This Row],[Operating Profit]]/Table1[[#This Row],[Revenue]]</f>
        <v>0.18421052631578946</v>
      </c>
    </row>
    <row r="573" spans="1:28" x14ac:dyDescent="0.25">
      <c r="A573" t="s">
        <v>281</v>
      </c>
      <c r="B573">
        <v>863</v>
      </c>
      <c r="C573" t="s">
        <v>29</v>
      </c>
      <c r="D573" t="s">
        <v>36</v>
      </c>
      <c r="E573" t="s">
        <v>40</v>
      </c>
      <c r="F573" t="s">
        <v>87</v>
      </c>
      <c r="G573" t="str" cm="1">
        <f t="array" ref="G573">_xlfn.SWITCH(F573,"Acme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573" t="s">
        <v>33</v>
      </c>
      <c r="I573" t="s">
        <v>75</v>
      </c>
      <c r="J573" t="str" cm="1">
        <f t="array" ref="J573">_xlfn.SWITCH(I573,"P001","Laptop","P002","Server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73" s="1" cm="1">
        <f t="array" ref="K573">_xlfn.SWITCH(Table1[[#This Row],[Product ID]],"P001",220,"P002",150,"P003",130,"P004",70,"P005",200,"P006",40,"P007",25,"P008",20,"P009",190,"P010",530)</f>
        <v>200</v>
      </c>
      <c r="L573">
        <v>2</v>
      </c>
      <c r="M573" s="1">
        <f>Table1[[#This Row],[Unit Price]]*Table1[[#This Row],[Quantity]]</f>
        <v>400</v>
      </c>
      <c r="N573" s="2">
        <v>0.04</v>
      </c>
      <c r="O573" s="1">
        <f>Table1[[#This Row],[Gross Value]]*(1-Table1[[#This Row],[Discount]])</f>
        <v>384</v>
      </c>
      <c r="P573" s="2">
        <v>0.2</v>
      </c>
      <c r="Q573" s="1">
        <f>Table1[[#This Row],[Revenue]]*Table1[[#This Row],[VAT Rate]]</f>
        <v>76.800000000000011</v>
      </c>
      <c r="R573" s="1">
        <f>Table1[[#This Row],[Revenue]]+Table1[[#This Row],[VAT Charged]]</f>
        <v>460.8</v>
      </c>
      <c r="S573" s="1" cm="1">
        <f t="array" ref="S573">_xlfn.SWITCH(Table1[[#This Row],[Product ID]],"P001",140,"P002",80,"P003",72,"P004",30,"P005",110,"P006",24,"P007",14,"P008",12,"P009",115,"P010",360)</f>
        <v>110</v>
      </c>
      <c r="T573" s="1" cm="1">
        <f t="array" ref="T573">(_xlfn.SWITCH(Table1[[#This Row],[Product ID]],"P001",140,"P002",80,"P003",72,"P004",30,"P005",110,"P006",24,"P007",14,"P008",12,"P009",115,"P010",360))*Table1[[#This Row],[Quantity]]</f>
        <v>220</v>
      </c>
      <c r="U573" s="1" cm="1">
        <f t="array" ref="U573">_xlfn.SWITCH(Table1[[#This Row],[Product ID]],"P001",15,"P002",0,"P003",8,"P004",8,"P005",0,"P006",7,"P007",7,"P008",6,"P009",45,"P010",60)</f>
        <v>0</v>
      </c>
      <c r="V573" s="1">
        <f>Table1[[#This Row],[Shipping per Unit]]*Table1[[#This Row],[Quantity]]</f>
        <v>0</v>
      </c>
      <c r="W573" s="2">
        <f>IF(Table1[[#This Row],[Total Shipping]]&gt;0.1,0.2,0)</f>
        <v>0</v>
      </c>
      <c r="X573" s="4">
        <f>Table1[[#This Row],[Total Shipping]]*Table1[[#This Row],[VAT on Shipping]]</f>
        <v>0</v>
      </c>
      <c r="Y573" s="1">
        <f>Table1[[#This Row],[Revenue]]-Table1[[#This Row],[COGS]]</f>
        <v>164</v>
      </c>
      <c r="Z573" s="3">
        <f>(Table1[[#This Row],[Profit]]/Table1[[#This Row],[Revenue]])</f>
        <v>0.42708333333333331</v>
      </c>
      <c r="AA573" s="1">
        <f>Table1[[#This Row],[Profit]]-Table1[[#This Row],[Total Shipping]]</f>
        <v>164</v>
      </c>
      <c r="AB573" s="3">
        <f>Table1[[#This Row],[Operating Profit]]/Table1[[#This Row],[Revenue]]</f>
        <v>0.42708333333333331</v>
      </c>
    </row>
    <row r="574" spans="1:28" x14ac:dyDescent="0.25">
      <c r="A574" t="s">
        <v>281</v>
      </c>
      <c r="B574">
        <v>987</v>
      </c>
      <c r="C574" t="s">
        <v>35</v>
      </c>
      <c r="D574" t="s">
        <v>39</v>
      </c>
      <c r="E574" t="s">
        <v>40</v>
      </c>
      <c r="F574" t="s">
        <v>113</v>
      </c>
      <c r="G574" t="str" cm="1">
        <f t="array" ref="G574">_xlfn.SWITCH(F574,"Acme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574" t="s">
        <v>69</v>
      </c>
      <c r="I574" t="s">
        <v>55</v>
      </c>
      <c r="J574" t="str" cm="1">
        <f t="array" ref="J574">_xlfn.SWITCH(I574,"P001","Laptop","P002","Server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74" s="1" cm="1">
        <f t="array" ref="K574">_xlfn.SWITCH(Table1[[#This Row],[Product ID]],"P001",220,"P002",150,"P003",130,"P004",70,"P005",200,"P006",40,"P007",25,"P008",20,"P009",190,"P010",530)</f>
        <v>70</v>
      </c>
      <c r="L574">
        <v>8</v>
      </c>
      <c r="M574" s="1">
        <f>Table1[[#This Row],[Unit Price]]*Table1[[#This Row],[Quantity]]</f>
        <v>560</v>
      </c>
      <c r="N574" s="2">
        <v>0.04</v>
      </c>
      <c r="O574" s="1">
        <f>Table1[[#This Row],[Gross Value]]*(1-Table1[[#This Row],[Discount]])</f>
        <v>537.6</v>
      </c>
      <c r="P574" s="2">
        <v>0.2</v>
      </c>
      <c r="Q574" s="1">
        <f>Table1[[#This Row],[Revenue]]*Table1[[#This Row],[VAT Rate]]</f>
        <v>107.52000000000001</v>
      </c>
      <c r="R574" s="1">
        <f>Table1[[#This Row],[Revenue]]+Table1[[#This Row],[VAT Charged]]</f>
        <v>645.12</v>
      </c>
      <c r="S574" s="1" cm="1">
        <f t="array" ref="S574">_xlfn.SWITCH(Table1[[#This Row],[Product ID]],"P001",140,"P002",80,"P003",72,"P004",30,"P005",110,"P006",24,"P007",14,"P008",12,"P009",115,"P010",360)</f>
        <v>30</v>
      </c>
      <c r="T574" s="1" cm="1">
        <f t="array" ref="T574">(_xlfn.SWITCH(Table1[[#This Row],[Product ID]],"P001",140,"P002",80,"P003",72,"P004",30,"P005",110,"P006",24,"P007",14,"P008",12,"P009",115,"P010",360))*Table1[[#This Row],[Quantity]]</f>
        <v>240</v>
      </c>
      <c r="U574" s="1" cm="1">
        <f t="array" ref="U574">_xlfn.SWITCH(Table1[[#This Row],[Product ID]],"P001",15,"P002",0,"P003",8,"P004",8,"P005",0,"P006",7,"P007",7,"P008",6,"P009",45,"P010",60)</f>
        <v>8</v>
      </c>
      <c r="V574" s="1">
        <f>Table1[[#This Row],[Shipping per Unit]]*Table1[[#This Row],[Quantity]]</f>
        <v>64</v>
      </c>
      <c r="W574" s="2">
        <f>IF(Table1[[#This Row],[Total Shipping]]&gt;0.1,0.2,0)</f>
        <v>0.2</v>
      </c>
      <c r="X574" s="4">
        <f>Table1[[#This Row],[Total Shipping]]*Table1[[#This Row],[VAT on Shipping]]</f>
        <v>12.8</v>
      </c>
      <c r="Y574" s="1">
        <f>Table1[[#This Row],[Revenue]]-Table1[[#This Row],[COGS]]</f>
        <v>297.60000000000002</v>
      </c>
      <c r="Z574" s="3">
        <f>(Table1[[#This Row],[Profit]]/Table1[[#This Row],[Revenue]])</f>
        <v>0.5535714285714286</v>
      </c>
      <c r="AA574" s="1">
        <f>Table1[[#This Row],[Profit]]-Table1[[#This Row],[Total Shipping]]</f>
        <v>233.60000000000002</v>
      </c>
      <c r="AB574" s="3">
        <f>Table1[[#This Row],[Operating Profit]]/Table1[[#This Row],[Revenue]]</f>
        <v>0.43452380952380953</v>
      </c>
    </row>
    <row r="575" spans="1:28" x14ac:dyDescent="0.25">
      <c r="A575" t="s">
        <v>282</v>
      </c>
      <c r="B575">
        <v>197</v>
      </c>
      <c r="C575" t="s">
        <v>35</v>
      </c>
      <c r="D575" t="s">
        <v>53</v>
      </c>
      <c r="E575" t="s">
        <v>40</v>
      </c>
      <c r="F575" t="s">
        <v>59</v>
      </c>
      <c r="G575" t="str" cm="1">
        <f t="array" ref="G575">_xlfn.SWITCH(F575,"Acme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575" t="s">
        <v>104</v>
      </c>
      <c r="I575" t="s">
        <v>34</v>
      </c>
      <c r="J575" t="str" cm="1">
        <f t="array" ref="J575">_xlfn.SWITCH(I575,"P001","Laptop","P002","Server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575" s="1" cm="1">
        <f t="array" ref="K575">_xlfn.SWITCH(Table1[[#This Row],[Product ID]],"P001",220,"P002",150,"P003",130,"P004",70,"P005",200,"P006",40,"P007",25,"P008",20,"P009",190,"P010",530)</f>
        <v>20</v>
      </c>
      <c r="L575">
        <v>19</v>
      </c>
      <c r="M575" s="1">
        <f>Table1[[#This Row],[Unit Price]]*Table1[[#This Row],[Quantity]]</f>
        <v>380</v>
      </c>
      <c r="N575" s="2">
        <v>0.02</v>
      </c>
      <c r="O575" s="1">
        <f>Table1[[#This Row],[Gross Value]]*(1-Table1[[#This Row],[Discount]])</f>
        <v>372.4</v>
      </c>
      <c r="P575" s="2">
        <v>0.2</v>
      </c>
      <c r="Q575" s="1">
        <f>Table1[[#This Row],[Revenue]]*Table1[[#This Row],[VAT Rate]]</f>
        <v>74.48</v>
      </c>
      <c r="R575" s="1">
        <f>Table1[[#This Row],[Revenue]]+Table1[[#This Row],[VAT Charged]]</f>
        <v>446.88</v>
      </c>
      <c r="S575" s="1" cm="1">
        <f t="array" ref="S575">_xlfn.SWITCH(Table1[[#This Row],[Product ID]],"P001",140,"P002",80,"P003",72,"P004",30,"P005",110,"P006",24,"P007",14,"P008",12,"P009",115,"P010",360)</f>
        <v>12</v>
      </c>
      <c r="T575" s="1" cm="1">
        <f t="array" ref="T575">(_xlfn.SWITCH(Table1[[#This Row],[Product ID]],"P001",140,"P002",80,"P003",72,"P004",30,"P005",110,"P006",24,"P007",14,"P008",12,"P009",115,"P010",360))*Table1[[#This Row],[Quantity]]</f>
        <v>228</v>
      </c>
      <c r="U575" s="1" cm="1">
        <f t="array" ref="U575">_xlfn.SWITCH(Table1[[#This Row],[Product ID]],"P001",15,"P002",0,"P003",8,"P004",8,"P005",0,"P006",7,"P007",7,"P008",6,"P009",45,"P010",60)</f>
        <v>6</v>
      </c>
      <c r="V575" s="1">
        <f>Table1[[#This Row],[Shipping per Unit]]*Table1[[#This Row],[Quantity]]</f>
        <v>114</v>
      </c>
      <c r="W575" s="2">
        <f>IF(Table1[[#This Row],[Total Shipping]]&gt;0.1,0.2,0)</f>
        <v>0.2</v>
      </c>
      <c r="X575" s="4">
        <f>Table1[[#This Row],[Total Shipping]]*Table1[[#This Row],[VAT on Shipping]]</f>
        <v>22.8</v>
      </c>
      <c r="Y575" s="1">
        <f>Table1[[#This Row],[Revenue]]-Table1[[#This Row],[COGS]]</f>
        <v>144.39999999999998</v>
      </c>
      <c r="Z575" s="3">
        <f>(Table1[[#This Row],[Profit]]/Table1[[#This Row],[Revenue]])</f>
        <v>0.38775510204081631</v>
      </c>
      <c r="AA575" s="1">
        <f>Table1[[#This Row],[Profit]]-Table1[[#This Row],[Total Shipping]]</f>
        <v>30.399999999999977</v>
      </c>
      <c r="AB575" s="3">
        <f>Table1[[#This Row],[Operating Profit]]/Table1[[#This Row],[Revenue]]</f>
        <v>8.1632653061224428E-2</v>
      </c>
    </row>
    <row r="576" spans="1:28" x14ac:dyDescent="0.25">
      <c r="A576" t="s">
        <v>282</v>
      </c>
      <c r="B576">
        <v>201</v>
      </c>
      <c r="C576" t="s">
        <v>35</v>
      </c>
      <c r="D576" t="s">
        <v>63</v>
      </c>
      <c r="E576" t="s">
        <v>49</v>
      </c>
      <c r="F576" t="s">
        <v>119</v>
      </c>
      <c r="G576" t="str" cm="1">
        <f t="array" ref="G576">_xlfn.SWITCH(F576,"Acme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576" t="s">
        <v>33</v>
      </c>
      <c r="I576" t="s">
        <v>55</v>
      </c>
      <c r="J576" t="str" cm="1">
        <f t="array" ref="J576">_xlfn.SWITCH(I576,"P001","Laptop","P002","Server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76" s="1" cm="1">
        <f t="array" ref="K576">_xlfn.SWITCH(Table1[[#This Row],[Product ID]],"P001",220,"P002",150,"P003",130,"P004",70,"P005",200,"P006",40,"P007",25,"P008",20,"P009",190,"P010",530)</f>
        <v>70</v>
      </c>
      <c r="L576">
        <v>4</v>
      </c>
      <c r="M576" s="1">
        <f>Table1[[#This Row],[Unit Price]]*Table1[[#This Row],[Quantity]]</f>
        <v>280</v>
      </c>
      <c r="N576" s="2">
        <v>7.0000000000000007E-2</v>
      </c>
      <c r="O576" s="1">
        <f>Table1[[#This Row],[Gross Value]]*(1-Table1[[#This Row],[Discount]])</f>
        <v>260.39999999999998</v>
      </c>
      <c r="P576" s="2">
        <v>0.2</v>
      </c>
      <c r="Q576" s="1">
        <f>Table1[[#This Row],[Revenue]]*Table1[[#This Row],[VAT Rate]]</f>
        <v>52.08</v>
      </c>
      <c r="R576" s="1">
        <f>Table1[[#This Row],[Revenue]]+Table1[[#This Row],[VAT Charged]]</f>
        <v>312.47999999999996</v>
      </c>
      <c r="S576" s="1" cm="1">
        <f t="array" ref="S576">_xlfn.SWITCH(Table1[[#This Row],[Product ID]],"P001",140,"P002",80,"P003",72,"P004",30,"P005",110,"P006",24,"P007",14,"P008",12,"P009",115,"P010",360)</f>
        <v>30</v>
      </c>
      <c r="T576" s="1" cm="1">
        <f t="array" ref="T576">(_xlfn.SWITCH(Table1[[#This Row],[Product ID]],"P001",140,"P002",80,"P003",72,"P004",30,"P005",110,"P006",24,"P007",14,"P008",12,"P009",115,"P010",360))*Table1[[#This Row],[Quantity]]</f>
        <v>120</v>
      </c>
      <c r="U576" s="1" cm="1">
        <f t="array" ref="U576">_xlfn.SWITCH(Table1[[#This Row],[Product ID]],"P001",15,"P002",0,"P003",8,"P004",8,"P005",0,"P006",7,"P007",7,"P008",6,"P009",45,"P010",60)</f>
        <v>8</v>
      </c>
      <c r="V576" s="1">
        <f>Table1[[#This Row],[Shipping per Unit]]*Table1[[#This Row],[Quantity]]</f>
        <v>32</v>
      </c>
      <c r="W576" s="2">
        <f>IF(Table1[[#This Row],[Total Shipping]]&gt;0.1,0.2,0)</f>
        <v>0.2</v>
      </c>
      <c r="X576" s="4">
        <f>Table1[[#This Row],[Total Shipping]]*Table1[[#This Row],[VAT on Shipping]]</f>
        <v>6.4</v>
      </c>
      <c r="Y576" s="1">
        <f>Table1[[#This Row],[Revenue]]-Table1[[#This Row],[COGS]]</f>
        <v>140.39999999999998</v>
      </c>
      <c r="Z576" s="3">
        <f>(Table1[[#This Row],[Profit]]/Table1[[#This Row],[Revenue]])</f>
        <v>0.53917050691244239</v>
      </c>
      <c r="AA576" s="1">
        <f>Table1[[#This Row],[Profit]]-Table1[[#This Row],[Total Shipping]]</f>
        <v>108.39999999999998</v>
      </c>
      <c r="AB576" s="3">
        <f>Table1[[#This Row],[Operating Profit]]/Table1[[#This Row],[Revenue]]</f>
        <v>0.41628264208909366</v>
      </c>
    </row>
    <row r="577" spans="1:28" x14ac:dyDescent="0.25">
      <c r="A577" t="s">
        <v>282</v>
      </c>
      <c r="B577">
        <v>434</v>
      </c>
      <c r="C577" t="s">
        <v>56</v>
      </c>
      <c r="D577" t="s">
        <v>48</v>
      </c>
      <c r="E577" t="s">
        <v>31</v>
      </c>
      <c r="F577" t="s">
        <v>78</v>
      </c>
      <c r="G577" t="str" cm="1">
        <f t="array" ref="G577">_xlfn.SWITCH(F577,"Acme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577" t="s">
        <v>33</v>
      </c>
      <c r="I577" t="s">
        <v>55</v>
      </c>
      <c r="J577" t="str" cm="1">
        <f t="array" ref="J577">_xlfn.SWITCH(I577,"P001","Laptop","P002","Server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77" s="1" cm="1">
        <f t="array" ref="K577">_xlfn.SWITCH(Table1[[#This Row],[Product ID]],"P001",220,"P002",150,"P003",130,"P004",70,"P005",200,"P006",40,"P007",25,"P008",20,"P009",190,"P010",530)</f>
        <v>70</v>
      </c>
      <c r="L577">
        <v>3</v>
      </c>
      <c r="M577" s="1">
        <f>Table1[[#This Row],[Unit Price]]*Table1[[#This Row],[Quantity]]</f>
        <v>210</v>
      </c>
      <c r="N577" s="2">
        <v>7.0000000000000007E-2</v>
      </c>
      <c r="O577" s="1">
        <f>Table1[[#This Row],[Gross Value]]*(1-Table1[[#This Row],[Discount]])</f>
        <v>195.29999999999998</v>
      </c>
      <c r="P577" s="2">
        <v>0.2</v>
      </c>
      <c r="Q577" s="1">
        <f>Table1[[#This Row],[Revenue]]*Table1[[#This Row],[VAT Rate]]</f>
        <v>39.06</v>
      </c>
      <c r="R577" s="1">
        <f>Table1[[#This Row],[Revenue]]+Table1[[#This Row],[VAT Charged]]</f>
        <v>234.35999999999999</v>
      </c>
      <c r="S577" s="1" cm="1">
        <f t="array" ref="S577">_xlfn.SWITCH(Table1[[#This Row],[Product ID]],"P001",140,"P002",80,"P003",72,"P004",30,"P005",110,"P006",24,"P007",14,"P008",12,"P009",115,"P010",360)</f>
        <v>30</v>
      </c>
      <c r="T577" s="1" cm="1">
        <f t="array" ref="T577">(_xlfn.SWITCH(Table1[[#This Row],[Product ID]],"P001",140,"P002",80,"P003",72,"P004",30,"P005",110,"P006",24,"P007",14,"P008",12,"P009",115,"P010",360))*Table1[[#This Row],[Quantity]]</f>
        <v>90</v>
      </c>
      <c r="U577" s="1" cm="1">
        <f t="array" ref="U577">_xlfn.SWITCH(Table1[[#This Row],[Product ID]],"P001",15,"P002",0,"P003",8,"P004",8,"P005",0,"P006",7,"P007",7,"P008",6,"P009",45,"P010",60)</f>
        <v>8</v>
      </c>
      <c r="V577" s="1">
        <f>Table1[[#This Row],[Shipping per Unit]]*Table1[[#This Row],[Quantity]]</f>
        <v>24</v>
      </c>
      <c r="W577" s="2">
        <f>IF(Table1[[#This Row],[Total Shipping]]&gt;0.1,0.2,0)</f>
        <v>0.2</v>
      </c>
      <c r="X577" s="4">
        <f>Table1[[#This Row],[Total Shipping]]*Table1[[#This Row],[VAT on Shipping]]</f>
        <v>4.8000000000000007</v>
      </c>
      <c r="Y577" s="1">
        <f>Table1[[#This Row],[Revenue]]-Table1[[#This Row],[COGS]]</f>
        <v>105.29999999999998</v>
      </c>
      <c r="Z577" s="3">
        <f>(Table1[[#This Row],[Profit]]/Table1[[#This Row],[Revenue]])</f>
        <v>0.53917050691244239</v>
      </c>
      <c r="AA577" s="1">
        <f>Table1[[#This Row],[Profit]]-Table1[[#This Row],[Total Shipping]]</f>
        <v>81.299999999999983</v>
      </c>
      <c r="AB577" s="3">
        <f>Table1[[#This Row],[Operating Profit]]/Table1[[#This Row],[Revenue]]</f>
        <v>0.41628264208909366</v>
      </c>
    </row>
    <row r="578" spans="1:28" x14ac:dyDescent="0.25">
      <c r="A578" t="s">
        <v>283</v>
      </c>
      <c r="B578">
        <v>476</v>
      </c>
      <c r="C578" t="s">
        <v>56</v>
      </c>
      <c r="D578" t="s">
        <v>63</v>
      </c>
      <c r="E578" t="s">
        <v>49</v>
      </c>
      <c r="F578" t="s">
        <v>37</v>
      </c>
      <c r="G578" t="str" cm="1">
        <f t="array" ref="G578">_xlfn.SWITCH(F578,"Acme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578" t="s">
        <v>45</v>
      </c>
      <c r="I578" t="s">
        <v>75</v>
      </c>
      <c r="J578" t="str" cm="1">
        <f t="array" ref="J578">_xlfn.SWITCH(I578,"P001","Laptop","P002","Server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78" s="1" cm="1">
        <f t="array" ref="K578">_xlfn.SWITCH(Table1[[#This Row],[Product ID]],"P001",220,"P002",150,"P003",130,"P004",70,"P005",200,"P006",40,"P007",25,"P008",20,"P009",190,"P010",530)</f>
        <v>200</v>
      </c>
      <c r="L578">
        <v>12</v>
      </c>
      <c r="M578" s="1">
        <f>Table1[[#This Row],[Unit Price]]*Table1[[#This Row],[Quantity]]</f>
        <v>2400</v>
      </c>
      <c r="N578" s="2">
        <v>0.02</v>
      </c>
      <c r="O578" s="1">
        <f>Table1[[#This Row],[Gross Value]]*(1-Table1[[#This Row],[Discount]])</f>
        <v>2352</v>
      </c>
      <c r="P578" s="2">
        <v>0.2</v>
      </c>
      <c r="Q578" s="1">
        <f>Table1[[#This Row],[Revenue]]*Table1[[#This Row],[VAT Rate]]</f>
        <v>470.40000000000003</v>
      </c>
      <c r="R578" s="1">
        <f>Table1[[#This Row],[Revenue]]+Table1[[#This Row],[VAT Charged]]</f>
        <v>2822.4</v>
      </c>
      <c r="S578" s="1" cm="1">
        <f t="array" ref="S578">_xlfn.SWITCH(Table1[[#This Row],[Product ID]],"P001",140,"P002",80,"P003",72,"P004",30,"P005",110,"P006",24,"P007",14,"P008",12,"P009",115,"P010",360)</f>
        <v>110</v>
      </c>
      <c r="T578" s="1" cm="1">
        <f t="array" ref="T578">(_xlfn.SWITCH(Table1[[#This Row],[Product ID]],"P001",140,"P002",80,"P003",72,"P004",30,"P005",110,"P006",24,"P007",14,"P008",12,"P009",115,"P010",360))*Table1[[#This Row],[Quantity]]</f>
        <v>1320</v>
      </c>
      <c r="U578" s="1" cm="1">
        <f t="array" ref="U578">_xlfn.SWITCH(Table1[[#This Row],[Product ID]],"P001",15,"P002",0,"P003",8,"P004",8,"P005",0,"P006",7,"P007",7,"P008",6,"P009",45,"P010",60)</f>
        <v>0</v>
      </c>
      <c r="V578" s="1">
        <f>Table1[[#This Row],[Shipping per Unit]]*Table1[[#This Row],[Quantity]]</f>
        <v>0</v>
      </c>
      <c r="W578" s="2">
        <f>IF(Table1[[#This Row],[Total Shipping]]&gt;0.1,0.2,0)</f>
        <v>0</v>
      </c>
      <c r="X578" s="4">
        <f>Table1[[#This Row],[Total Shipping]]*Table1[[#This Row],[VAT on Shipping]]</f>
        <v>0</v>
      </c>
      <c r="Y578" s="1">
        <f>Table1[[#This Row],[Revenue]]-Table1[[#This Row],[COGS]]</f>
        <v>1032</v>
      </c>
      <c r="Z578" s="3">
        <f>(Table1[[#This Row],[Profit]]/Table1[[#This Row],[Revenue]])</f>
        <v>0.43877551020408162</v>
      </c>
      <c r="AA578" s="1">
        <f>Table1[[#This Row],[Profit]]-Table1[[#This Row],[Total Shipping]]</f>
        <v>1032</v>
      </c>
      <c r="AB578" s="3">
        <f>Table1[[#This Row],[Operating Profit]]/Table1[[#This Row],[Revenue]]</f>
        <v>0.43877551020408162</v>
      </c>
    </row>
    <row r="579" spans="1:28" x14ac:dyDescent="0.25">
      <c r="A579" t="s">
        <v>283</v>
      </c>
      <c r="B579">
        <v>498</v>
      </c>
      <c r="C579" t="s">
        <v>71</v>
      </c>
      <c r="D579" t="s">
        <v>48</v>
      </c>
      <c r="E579" t="s">
        <v>31</v>
      </c>
      <c r="F579" t="s">
        <v>126</v>
      </c>
      <c r="G579" t="str" cm="1">
        <f t="array" ref="G579">_xlfn.SWITCH(F579,"Acme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579" t="s">
        <v>45</v>
      </c>
      <c r="I579" t="s">
        <v>55</v>
      </c>
      <c r="J579" t="str" cm="1">
        <f t="array" ref="J579">_xlfn.SWITCH(I579,"P001","Laptop","P002","Server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79" s="1" cm="1">
        <f t="array" ref="K579">_xlfn.SWITCH(Table1[[#This Row],[Product ID]],"P001",220,"P002",150,"P003",130,"P004",70,"P005",200,"P006",40,"P007",25,"P008",20,"P009",190,"P010",530)</f>
        <v>70</v>
      </c>
      <c r="L579">
        <v>17</v>
      </c>
      <c r="M579" s="1">
        <f>Table1[[#This Row],[Unit Price]]*Table1[[#This Row],[Quantity]]</f>
        <v>1190</v>
      </c>
      <c r="N579" s="2">
        <v>0.03</v>
      </c>
      <c r="O579" s="1">
        <f>Table1[[#This Row],[Gross Value]]*(1-Table1[[#This Row],[Discount]])</f>
        <v>1154.3</v>
      </c>
      <c r="P579" s="2">
        <v>0.2</v>
      </c>
      <c r="Q579" s="1">
        <f>Table1[[#This Row],[Revenue]]*Table1[[#This Row],[VAT Rate]]</f>
        <v>230.86</v>
      </c>
      <c r="R579" s="1">
        <f>Table1[[#This Row],[Revenue]]+Table1[[#This Row],[VAT Charged]]</f>
        <v>1385.1599999999999</v>
      </c>
      <c r="S579" s="1" cm="1">
        <f t="array" ref="S579">_xlfn.SWITCH(Table1[[#This Row],[Product ID]],"P001",140,"P002",80,"P003",72,"P004",30,"P005",110,"P006",24,"P007",14,"P008",12,"P009",115,"P010",360)</f>
        <v>30</v>
      </c>
      <c r="T579" s="1" cm="1">
        <f t="array" ref="T579">(_xlfn.SWITCH(Table1[[#This Row],[Product ID]],"P001",140,"P002",80,"P003",72,"P004",30,"P005",110,"P006",24,"P007",14,"P008",12,"P009",115,"P010",360))*Table1[[#This Row],[Quantity]]</f>
        <v>510</v>
      </c>
      <c r="U579" s="1" cm="1">
        <f t="array" ref="U579">_xlfn.SWITCH(Table1[[#This Row],[Product ID]],"P001",15,"P002",0,"P003",8,"P004",8,"P005",0,"P006",7,"P007",7,"P008",6,"P009",45,"P010",60)</f>
        <v>8</v>
      </c>
      <c r="V579" s="1">
        <f>Table1[[#This Row],[Shipping per Unit]]*Table1[[#This Row],[Quantity]]</f>
        <v>136</v>
      </c>
      <c r="W579" s="2">
        <f>IF(Table1[[#This Row],[Total Shipping]]&gt;0.1,0.2,0)</f>
        <v>0.2</v>
      </c>
      <c r="X579" s="4">
        <f>Table1[[#This Row],[Total Shipping]]*Table1[[#This Row],[VAT on Shipping]]</f>
        <v>27.200000000000003</v>
      </c>
      <c r="Y579" s="1">
        <f>Table1[[#This Row],[Revenue]]-Table1[[#This Row],[COGS]]</f>
        <v>644.29999999999995</v>
      </c>
      <c r="Z579" s="3">
        <f>(Table1[[#This Row],[Profit]]/Table1[[#This Row],[Revenue]])</f>
        <v>0.5581737849779087</v>
      </c>
      <c r="AA579" s="1">
        <f>Table1[[#This Row],[Profit]]-Table1[[#This Row],[Total Shipping]]</f>
        <v>508.29999999999995</v>
      </c>
      <c r="AB579" s="3">
        <f>Table1[[#This Row],[Operating Profit]]/Table1[[#This Row],[Revenue]]</f>
        <v>0.44035346097201766</v>
      </c>
    </row>
    <row r="580" spans="1:28" x14ac:dyDescent="0.25">
      <c r="A580" t="s">
        <v>283</v>
      </c>
      <c r="B580">
        <v>585</v>
      </c>
      <c r="C580" t="s">
        <v>29</v>
      </c>
      <c r="D580" t="s">
        <v>72</v>
      </c>
      <c r="E580" t="s">
        <v>40</v>
      </c>
      <c r="F580" t="s">
        <v>98</v>
      </c>
      <c r="G580" t="str" cm="1">
        <f t="array" ref="G580">_xlfn.SWITCH(F580,"Acme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580" t="s">
        <v>45</v>
      </c>
      <c r="I580" t="s">
        <v>55</v>
      </c>
      <c r="J580" t="str" cm="1">
        <f t="array" ref="J580">_xlfn.SWITCH(I580,"P001","Laptop","P002","Server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80" s="1" cm="1">
        <f t="array" ref="K580">_xlfn.SWITCH(Table1[[#This Row],[Product ID]],"P001",220,"P002",150,"P003",130,"P004",70,"P005",200,"P006",40,"P007",25,"P008",20,"P009",190,"P010",530)</f>
        <v>70</v>
      </c>
      <c r="L580">
        <v>5</v>
      </c>
      <c r="M580" s="1">
        <f>Table1[[#This Row],[Unit Price]]*Table1[[#This Row],[Quantity]]</f>
        <v>350</v>
      </c>
      <c r="N580" s="2">
        <v>0.03</v>
      </c>
      <c r="O580" s="1">
        <f>Table1[[#This Row],[Gross Value]]*(1-Table1[[#This Row],[Discount]])</f>
        <v>339.5</v>
      </c>
      <c r="P580" s="2">
        <v>0.2</v>
      </c>
      <c r="Q580" s="1">
        <f>Table1[[#This Row],[Revenue]]*Table1[[#This Row],[VAT Rate]]</f>
        <v>67.900000000000006</v>
      </c>
      <c r="R580" s="1">
        <f>Table1[[#This Row],[Revenue]]+Table1[[#This Row],[VAT Charged]]</f>
        <v>407.4</v>
      </c>
      <c r="S580" s="1" cm="1">
        <f t="array" ref="S580">_xlfn.SWITCH(Table1[[#This Row],[Product ID]],"P001",140,"P002",80,"P003",72,"P004",30,"P005",110,"P006",24,"P007",14,"P008",12,"P009",115,"P010",360)</f>
        <v>30</v>
      </c>
      <c r="T580" s="1" cm="1">
        <f t="array" ref="T580">(_xlfn.SWITCH(Table1[[#This Row],[Product ID]],"P001",140,"P002",80,"P003",72,"P004",30,"P005",110,"P006",24,"P007",14,"P008",12,"P009",115,"P010",360))*Table1[[#This Row],[Quantity]]</f>
        <v>150</v>
      </c>
      <c r="U580" s="1" cm="1">
        <f t="array" ref="U580">_xlfn.SWITCH(Table1[[#This Row],[Product ID]],"P001",15,"P002",0,"P003",8,"P004",8,"P005",0,"P006",7,"P007",7,"P008",6,"P009",45,"P010",60)</f>
        <v>8</v>
      </c>
      <c r="V580" s="1">
        <f>Table1[[#This Row],[Shipping per Unit]]*Table1[[#This Row],[Quantity]]</f>
        <v>40</v>
      </c>
      <c r="W580" s="2">
        <f>IF(Table1[[#This Row],[Total Shipping]]&gt;0.1,0.2,0)</f>
        <v>0.2</v>
      </c>
      <c r="X580" s="4">
        <f>Table1[[#This Row],[Total Shipping]]*Table1[[#This Row],[VAT on Shipping]]</f>
        <v>8</v>
      </c>
      <c r="Y580" s="1">
        <f>Table1[[#This Row],[Revenue]]-Table1[[#This Row],[COGS]]</f>
        <v>189.5</v>
      </c>
      <c r="Z580" s="3">
        <f>(Table1[[#This Row],[Profit]]/Table1[[#This Row],[Revenue]])</f>
        <v>0.5581737849779087</v>
      </c>
      <c r="AA580" s="1">
        <f>Table1[[#This Row],[Profit]]-Table1[[#This Row],[Total Shipping]]</f>
        <v>149.5</v>
      </c>
      <c r="AB580" s="3">
        <f>Table1[[#This Row],[Operating Profit]]/Table1[[#This Row],[Revenue]]</f>
        <v>0.44035346097201766</v>
      </c>
    </row>
    <row r="581" spans="1:28" x14ac:dyDescent="0.25">
      <c r="A581" t="s">
        <v>284</v>
      </c>
      <c r="B581">
        <v>807</v>
      </c>
      <c r="C581" t="s">
        <v>83</v>
      </c>
      <c r="D581" t="s">
        <v>95</v>
      </c>
      <c r="E581" t="s">
        <v>31</v>
      </c>
      <c r="F581" t="s">
        <v>41</v>
      </c>
      <c r="G581" t="str" cm="1">
        <f t="array" ref="G581">_xlfn.SWITCH(F581,"Acme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581" t="s">
        <v>45</v>
      </c>
      <c r="I581" t="s">
        <v>60</v>
      </c>
      <c r="J581" t="str" cm="1">
        <f t="array" ref="J581">_xlfn.SWITCH(I581,"P001","Laptop","P002","Server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581" s="1" cm="1">
        <f t="array" ref="K581">_xlfn.SWITCH(Table1[[#This Row],[Product ID]],"P001",220,"P002",150,"P003",130,"P004",70,"P005",200,"P006",40,"P007",25,"P008",20,"P009",190,"P010",530)</f>
        <v>25</v>
      </c>
      <c r="L581">
        <v>13</v>
      </c>
      <c r="M581" s="1">
        <f>Table1[[#This Row],[Unit Price]]*Table1[[#This Row],[Quantity]]</f>
        <v>325</v>
      </c>
      <c r="N581" s="2">
        <v>0.02</v>
      </c>
      <c r="O581" s="1">
        <f>Table1[[#This Row],[Gross Value]]*(1-Table1[[#This Row],[Discount]])</f>
        <v>318.5</v>
      </c>
      <c r="P581" s="2">
        <v>0.2</v>
      </c>
      <c r="Q581" s="1">
        <f>Table1[[#This Row],[Revenue]]*Table1[[#This Row],[VAT Rate]]</f>
        <v>63.7</v>
      </c>
      <c r="R581" s="1">
        <f>Table1[[#This Row],[Revenue]]+Table1[[#This Row],[VAT Charged]]</f>
        <v>382.2</v>
      </c>
      <c r="S581" s="1" cm="1">
        <f t="array" ref="S581">_xlfn.SWITCH(Table1[[#This Row],[Product ID]],"P001",140,"P002",80,"P003",72,"P004",30,"P005",110,"P006",24,"P007",14,"P008",12,"P009",115,"P010",360)</f>
        <v>14</v>
      </c>
      <c r="T581" s="1" cm="1">
        <f t="array" ref="T581">(_xlfn.SWITCH(Table1[[#This Row],[Product ID]],"P001",140,"P002",80,"P003",72,"P004",30,"P005",110,"P006",24,"P007",14,"P008",12,"P009",115,"P010",360))*Table1[[#This Row],[Quantity]]</f>
        <v>182</v>
      </c>
      <c r="U581" s="1" cm="1">
        <f t="array" ref="U581">_xlfn.SWITCH(Table1[[#This Row],[Product ID]],"P001",15,"P002",0,"P003",8,"P004",8,"P005",0,"P006",7,"P007",7,"P008",6,"P009",45,"P010",60)</f>
        <v>7</v>
      </c>
      <c r="V581" s="1">
        <f>Table1[[#This Row],[Shipping per Unit]]*Table1[[#This Row],[Quantity]]</f>
        <v>91</v>
      </c>
      <c r="W581" s="2">
        <f>IF(Table1[[#This Row],[Total Shipping]]&gt;0.1,0.2,0)</f>
        <v>0.2</v>
      </c>
      <c r="X581" s="4">
        <f>Table1[[#This Row],[Total Shipping]]*Table1[[#This Row],[VAT on Shipping]]</f>
        <v>18.2</v>
      </c>
      <c r="Y581" s="1">
        <f>Table1[[#This Row],[Revenue]]-Table1[[#This Row],[COGS]]</f>
        <v>136.5</v>
      </c>
      <c r="Z581" s="3">
        <f>(Table1[[#This Row],[Profit]]/Table1[[#This Row],[Revenue]])</f>
        <v>0.42857142857142855</v>
      </c>
      <c r="AA581" s="1">
        <f>Table1[[#This Row],[Profit]]-Table1[[#This Row],[Total Shipping]]</f>
        <v>45.5</v>
      </c>
      <c r="AB581" s="3">
        <f>Table1[[#This Row],[Operating Profit]]/Table1[[#This Row],[Revenue]]</f>
        <v>0.14285714285714285</v>
      </c>
    </row>
    <row r="582" spans="1:28" x14ac:dyDescent="0.25">
      <c r="A582" t="s">
        <v>285</v>
      </c>
      <c r="B582">
        <v>495</v>
      </c>
      <c r="C582" t="s">
        <v>65</v>
      </c>
      <c r="D582" t="s">
        <v>30</v>
      </c>
      <c r="E582" t="s">
        <v>49</v>
      </c>
      <c r="F582" t="s">
        <v>126</v>
      </c>
      <c r="G582" t="str" cm="1">
        <f t="array" ref="G582">_xlfn.SWITCH(F582,"Acme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582" t="s">
        <v>69</v>
      </c>
      <c r="I582" t="s">
        <v>55</v>
      </c>
      <c r="J582" t="str" cm="1">
        <f t="array" ref="J582">_xlfn.SWITCH(I582,"P001","Laptop","P002","Server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82" s="1" cm="1">
        <f t="array" ref="K582">_xlfn.SWITCH(Table1[[#This Row],[Product ID]],"P001",220,"P002",150,"P003",130,"P004",70,"P005",200,"P006",40,"P007",25,"P008",20,"P009",190,"P010",530)</f>
        <v>70</v>
      </c>
      <c r="L582">
        <v>2</v>
      </c>
      <c r="M582" s="1">
        <f>Table1[[#This Row],[Unit Price]]*Table1[[#This Row],[Quantity]]</f>
        <v>140</v>
      </c>
      <c r="N582" s="2">
        <v>0.06</v>
      </c>
      <c r="O582" s="1">
        <f>Table1[[#This Row],[Gross Value]]*(1-Table1[[#This Row],[Discount]])</f>
        <v>131.6</v>
      </c>
      <c r="P582" s="2">
        <v>0.2</v>
      </c>
      <c r="Q582" s="1">
        <f>Table1[[#This Row],[Revenue]]*Table1[[#This Row],[VAT Rate]]</f>
        <v>26.32</v>
      </c>
      <c r="R582" s="1">
        <f>Table1[[#This Row],[Revenue]]+Table1[[#This Row],[VAT Charged]]</f>
        <v>157.91999999999999</v>
      </c>
      <c r="S582" s="1" cm="1">
        <f t="array" ref="S582">_xlfn.SWITCH(Table1[[#This Row],[Product ID]],"P001",140,"P002",80,"P003",72,"P004",30,"P005",110,"P006",24,"P007",14,"P008",12,"P009",115,"P010",360)</f>
        <v>30</v>
      </c>
      <c r="T582" s="1" cm="1">
        <f t="array" ref="T582">(_xlfn.SWITCH(Table1[[#This Row],[Product ID]],"P001",140,"P002",80,"P003",72,"P004",30,"P005",110,"P006",24,"P007",14,"P008",12,"P009",115,"P010",360))*Table1[[#This Row],[Quantity]]</f>
        <v>60</v>
      </c>
      <c r="U582" s="1" cm="1">
        <f t="array" ref="U582">_xlfn.SWITCH(Table1[[#This Row],[Product ID]],"P001",15,"P002",0,"P003",8,"P004",8,"P005",0,"P006",7,"P007",7,"P008",6,"P009",45,"P010",60)</f>
        <v>8</v>
      </c>
      <c r="V582" s="1">
        <f>Table1[[#This Row],[Shipping per Unit]]*Table1[[#This Row],[Quantity]]</f>
        <v>16</v>
      </c>
      <c r="W582" s="2">
        <f>IF(Table1[[#This Row],[Total Shipping]]&gt;0.1,0.2,0)</f>
        <v>0.2</v>
      </c>
      <c r="X582" s="4">
        <f>Table1[[#This Row],[Total Shipping]]*Table1[[#This Row],[VAT on Shipping]]</f>
        <v>3.2</v>
      </c>
      <c r="Y582" s="1">
        <f>Table1[[#This Row],[Revenue]]-Table1[[#This Row],[COGS]]</f>
        <v>71.599999999999994</v>
      </c>
      <c r="Z582" s="3">
        <f>(Table1[[#This Row],[Profit]]/Table1[[#This Row],[Revenue]])</f>
        <v>0.54407294832826747</v>
      </c>
      <c r="AA582" s="1">
        <f>Table1[[#This Row],[Profit]]-Table1[[#This Row],[Total Shipping]]</f>
        <v>55.599999999999994</v>
      </c>
      <c r="AB582" s="3">
        <f>Table1[[#This Row],[Operating Profit]]/Table1[[#This Row],[Revenue]]</f>
        <v>0.42249240121580545</v>
      </c>
    </row>
    <row r="583" spans="1:28" x14ac:dyDescent="0.25">
      <c r="A583" t="s">
        <v>285</v>
      </c>
      <c r="B583">
        <v>644</v>
      </c>
      <c r="C583" t="s">
        <v>62</v>
      </c>
      <c r="D583" t="s">
        <v>72</v>
      </c>
      <c r="E583" t="s">
        <v>49</v>
      </c>
      <c r="F583" t="s">
        <v>119</v>
      </c>
      <c r="G583" t="str" cm="1">
        <f t="array" ref="G583">_xlfn.SWITCH(F583,"Acme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583" t="s">
        <v>33</v>
      </c>
      <c r="I583" t="s">
        <v>55</v>
      </c>
      <c r="J583" t="str" cm="1">
        <f t="array" ref="J583">_xlfn.SWITCH(I583,"P001","Laptop","P002","Server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83" s="1" cm="1">
        <f t="array" ref="K583">_xlfn.SWITCH(Table1[[#This Row],[Product ID]],"P001",220,"P002",150,"P003",130,"P004",70,"P005",200,"P006",40,"P007",25,"P008",20,"P009",190,"P010",530)</f>
        <v>70</v>
      </c>
      <c r="L583">
        <v>12</v>
      </c>
      <c r="M583" s="1">
        <f>Table1[[#This Row],[Unit Price]]*Table1[[#This Row],[Quantity]]</f>
        <v>840</v>
      </c>
      <c r="N583" s="2">
        <v>0.02</v>
      </c>
      <c r="O583" s="1">
        <f>Table1[[#This Row],[Gross Value]]*(1-Table1[[#This Row],[Discount]])</f>
        <v>823.19999999999993</v>
      </c>
      <c r="P583" s="2">
        <v>0.2</v>
      </c>
      <c r="Q583" s="1">
        <f>Table1[[#This Row],[Revenue]]*Table1[[#This Row],[VAT Rate]]</f>
        <v>164.64</v>
      </c>
      <c r="R583" s="1">
        <f>Table1[[#This Row],[Revenue]]+Table1[[#This Row],[VAT Charged]]</f>
        <v>987.83999999999992</v>
      </c>
      <c r="S583" s="1" cm="1">
        <f t="array" ref="S583">_xlfn.SWITCH(Table1[[#This Row],[Product ID]],"P001",140,"P002",80,"P003",72,"P004",30,"P005",110,"P006",24,"P007",14,"P008",12,"P009",115,"P010",360)</f>
        <v>30</v>
      </c>
      <c r="T583" s="1" cm="1">
        <f t="array" ref="T583">(_xlfn.SWITCH(Table1[[#This Row],[Product ID]],"P001",140,"P002",80,"P003",72,"P004",30,"P005",110,"P006",24,"P007",14,"P008",12,"P009",115,"P010",360))*Table1[[#This Row],[Quantity]]</f>
        <v>360</v>
      </c>
      <c r="U583" s="1" cm="1">
        <f t="array" ref="U583">_xlfn.SWITCH(Table1[[#This Row],[Product ID]],"P001",15,"P002",0,"P003",8,"P004",8,"P005",0,"P006",7,"P007",7,"P008",6,"P009",45,"P010",60)</f>
        <v>8</v>
      </c>
      <c r="V583" s="1">
        <f>Table1[[#This Row],[Shipping per Unit]]*Table1[[#This Row],[Quantity]]</f>
        <v>96</v>
      </c>
      <c r="W583" s="2">
        <f>IF(Table1[[#This Row],[Total Shipping]]&gt;0.1,0.2,0)</f>
        <v>0.2</v>
      </c>
      <c r="X583" s="4">
        <f>Table1[[#This Row],[Total Shipping]]*Table1[[#This Row],[VAT on Shipping]]</f>
        <v>19.200000000000003</v>
      </c>
      <c r="Y583" s="1">
        <f>Table1[[#This Row],[Revenue]]-Table1[[#This Row],[COGS]]</f>
        <v>463.19999999999993</v>
      </c>
      <c r="Z583" s="3">
        <f>(Table1[[#This Row],[Profit]]/Table1[[#This Row],[Revenue]])</f>
        <v>0.56268221574344024</v>
      </c>
      <c r="AA583" s="1">
        <f>Table1[[#This Row],[Profit]]-Table1[[#This Row],[Total Shipping]]</f>
        <v>367.19999999999993</v>
      </c>
      <c r="AB583" s="3">
        <f>Table1[[#This Row],[Operating Profit]]/Table1[[#This Row],[Revenue]]</f>
        <v>0.44606413994169092</v>
      </c>
    </row>
    <row r="584" spans="1:28" x14ac:dyDescent="0.25">
      <c r="A584" t="s">
        <v>285</v>
      </c>
      <c r="B584">
        <v>836</v>
      </c>
      <c r="C584" t="s">
        <v>35</v>
      </c>
      <c r="D584" t="s">
        <v>67</v>
      </c>
      <c r="E584" t="s">
        <v>40</v>
      </c>
      <c r="F584" t="s">
        <v>64</v>
      </c>
      <c r="G584" t="str" cm="1">
        <f t="array" ref="G584">_xlfn.SWITCH(F584,"Acme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584" t="s">
        <v>58</v>
      </c>
      <c r="I584" t="s">
        <v>60</v>
      </c>
      <c r="J584" t="str" cm="1">
        <f t="array" ref="J584">_xlfn.SWITCH(I584,"P001","Laptop","P002","Server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584" s="1" cm="1">
        <f t="array" ref="K584">_xlfn.SWITCH(Table1[[#This Row],[Product ID]],"P001",220,"P002",150,"P003",130,"P004",70,"P005",200,"P006",40,"P007",25,"P008",20,"P009",190,"P010",530)</f>
        <v>25</v>
      </c>
      <c r="L584">
        <v>8</v>
      </c>
      <c r="M584" s="1">
        <f>Table1[[#This Row],[Unit Price]]*Table1[[#This Row],[Quantity]]</f>
        <v>200</v>
      </c>
      <c r="N584" s="2">
        <v>0.06</v>
      </c>
      <c r="O584" s="1">
        <f>Table1[[#This Row],[Gross Value]]*(1-Table1[[#This Row],[Discount]])</f>
        <v>188</v>
      </c>
      <c r="P584" s="2">
        <v>0.2</v>
      </c>
      <c r="Q584" s="1">
        <f>Table1[[#This Row],[Revenue]]*Table1[[#This Row],[VAT Rate]]</f>
        <v>37.6</v>
      </c>
      <c r="R584" s="1">
        <f>Table1[[#This Row],[Revenue]]+Table1[[#This Row],[VAT Charged]]</f>
        <v>225.6</v>
      </c>
      <c r="S584" s="1" cm="1">
        <f t="array" ref="S584">_xlfn.SWITCH(Table1[[#This Row],[Product ID]],"P001",140,"P002",80,"P003",72,"P004",30,"P005",110,"P006",24,"P007",14,"P008",12,"P009",115,"P010",360)</f>
        <v>14</v>
      </c>
      <c r="T584" s="1" cm="1">
        <f t="array" ref="T584">(_xlfn.SWITCH(Table1[[#This Row],[Product ID]],"P001",140,"P002",80,"P003",72,"P004",30,"P005",110,"P006",24,"P007",14,"P008",12,"P009",115,"P010",360))*Table1[[#This Row],[Quantity]]</f>
        <v>112</v>
      </c>
      <c r="U584" s="1" cm="1">
        <f t="array" ref="U584">_xlfn.SWITCH(Table1[[#This Row],[Product ID]],"P001",15,"P002",0,"P003",8,"P004",8,"P005",0,"P006",7,"P007",7,"P008",6,"P009",45,"P010",60)</f>
        <v>7</v>
      </c>
      <c r="V584" s="1">
        <f>Table1[[#This Row],[Shipping per Unit]]*Table1[[#This Row],[Quantity]]</f>
        <v>56</v>
      </c>
      <c r="W584" s="2">
        <f>IF(Table1[[#This Row],[Total Shipping]]&gt;0.1,0.2,0)</f>
        <v>0.2</v>
      </c>
      <c r="X584" s="4">
        <f>Table1[[#This Row],[Total Shipping]]*Table1[[#This Row],[VAT on Shipping]]</f>
        <v>11.200000000000001</v>
      </c>
      <c r="Y584" s="1">
        <f>Table1[[#This Row],[Revenue]]-Table1[[#This Row],[COGS]]</f>
        <v>76</v>
      </c>
      <c r="Z584" s="3">
        <f>(Table1[[#This Row],[Profit]]/Table1[[#This Row],[Revenue]])</f>
        <v>0.40425531914893614</v>
      </c>
      <c r="AA584" s="1">
        <f>Table1[[#This Row],[Profit]]-Table1[[#This Row],[Total Shipping]]</f>
        <v>20</v>
      </c>
      <c r="AB584" s="3">
        <f>Table1[[#This Row],[Operating Profit]]/Table1[[#This Row],[Revenue]]</f>
        <v>0.10638297872340426</v>
      </c>
    </row>
    <row r="585" spans="1:28" x14ac:dyDescent="0.25">
      <c r="A585" t="s">
        <v>285</v>
      </c>
      <c r="B585">
        <v>909</v>
      </c>
      <c r="C585" t="s">
        <v>56</v>
      </c>
      <c r="D585" t="s">
        <v>36</v>
      </c>
      <c r="E585" t="s">
        <v>31</v>
      </c>
      <c r="F585" t="s">
        <v>79</v>
      </c>
      <c r="G585" t="str" cm="1">
        <f t="array" ref="G585">_xlfn.SWITCH(F585,"Acme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585" t="s">
        <v>58</v>
      </c>
      <c r="I585" t="s">
        <v>46</v>
      </c>
      <c r="J585" t="str" cm="1">
        <f t="array" ref="J585">_xlfn.SWITCH(I585,"P001","Laptop","P002","Server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585" s="1" cm="1">
        <f t="array" ref="K585">_xlfn.SWITCH(Table1[[#This Row],[Product ID]],"P001",220,"P002",150,"P003",130,"P004",70,"P005",200,"P006",40,"P007",25,"P008",20,"P009",190,"P010",530)</f>
        <v>530</v>
      </c>
      <c r="L585">
        <v>16</v>
      </c>
      <c r="M585" s="1">
        <f>Table1[[#This Row],[Unit Price]]*Table1[[#This Row],[Quantity]]</f>
        <v>8480</v>
      </c>
      <c r="N585" s="2">
        <v>0.03</v>
      </c>
      <c r="O585" s="1">
        <f>Table1[[#This Row],[Gross Value]]*(1-Table1[[#This Row],[Discount]])</f>
        <v>8225.6</v>
      </c>
      <c r="P585" s="2">
        <v>0.2</v>
      </c>
      <c r="Q585" s="1">
        <f>Table1[[#This Row],[Revenue]]*Table1[[#This Row],[VAT Rate]]</f>
        <v>1645.1200000000001</v>
      </c>
      <c r="R585" s="1">
        <f>Table1[[#This Row],[Revenue]]+Table1[[#This Row],[VAT Charged]]</f>
        <v>9870.7200000000012</v>
      </c>
      <c r="S585" s="1" cm="1">
        <f t="array" ref="S585">_xlfn.SWITCH(Table1[[#This Row],[Product ID]],"P001",140,"P002",80,"P003",72,"P004",30,"P005",110,"P006",24,"P007",14,"P008",12,"P009",115,"P010",360)</f>
        <v>360</v>
      </c>
      <c r="T585" s="1" cm="1">
        <f t="array" ref="T585">(_xlfn.SWITCH(Table1[[#This Row],[Product ID]],"P001",140,"P002",80,"P003",72,"P004",30,"P005",110,"P006",24,"P007",14,"P008",12,"P009",115,"P010",360))*Table1[[#This Row],[Quantity]]</f>
        <v>5760</v>
      </c>
      <c r="U585" s="1" cm="1">
        <f t="array" ref="U585">_xlfn.SWITCH(Table1[[#This Row],[Product ID]],"P001",15,"P002",0,"P003",8,"P004",8,"P005",0,"P006",7,"P007",7,"P008",6,"P009",45,"P010",60)</f>
        <v>60</v>
      </c>
      <c r="V585" s="1">
        <f>Table1[[#This Row],[Shipping per Unit]]*Table1[[#This Row],[Quantity]]</f>
        <v>960</v>
      </c>
      <c r="W585" s="2">
        <f>IF(Table1[[#This Row],[Total Shipping]]&gt;0.1,0.2,0)</f>
        <v>0.2</v>
      </c>
      <c r="X585" s="4">
        <f>Table1[[#This Row],[Total Shipping]]*Table1[[#This Row],[VAT on Shipping]]</f>
        <v>192</v>
      </c>
      <c r="Y585" s="1">
        <f>Table1[[#This Row],[Revenue]]-Table1[[#This Row],[COGS]]</f>
        <v>2465.6000000000004</v>
      </c>
      <c r="Z585" s="3">
        <f>(Table1[[#This Row],[Profit]]/Table1[[#This Row],[Revenue]])</f>
        <v>0.29974713090838362</v>
      </c>
      <c r="AA585" s="1">
        <f>Table1[[#This Row],[Profit]]-Table1[[#This Row],[Total Shipping]]</f>
        <v>1505.6000000000004</v>
      </c>
      <c r="AB585" s="3">
        <f>Table1[[#This Row],[Operating Profit]]/Table1[[#This Row],[Revenue]]</f>
        <v>0.18303831939311421</v>
      </c>
    </row>
    <row r="586" spans="1:28" x14ac:dyDescent="0.25">
      <c r="A586" t="s">
        <v>286</v>
      </c>
      <c r="B586">
        <v>186</v>
      </c>
      <c r="C586" t="s">
        <v>29</v>
      </c>
      <c r="D586" t="s">
        <v>39</v>
      </c>
      <c r="E586" t="s">
        <v>40</v>
      </c>
      <c r="F586" t="s">
        <v>74</v>
      </c>
      <c r="G586" t="str" cm="1">
        <f t="array" ref="G586">_xlfn.SWITCH(F586,"Acme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586" t="s">
        <v>69</v>
      </c>
      <c r="I586" t="s">
        <v>75</v>
      </c>
      <c r="J586" t="str" cm="1">
        <f t="array" ref="J586">_xlfn.SWITCH(I586,"P001","Laptop","P002","Server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86" s="1" cm="1">
        <f t="array" ref="K586">_xlfn.SWITCH(Table1[[#This Row],[Product ID]],"P001",220,"P002",150,"P003",130,"P004",70,"P005",200,"P006",40,"P007",25,"P008",20,"P009",190,"P010",530)</f>
        <v>200</v>
      </c>
      <c r="L586">
        <v>11</v>
      </c>
      <c r="M586" s="1">
        <f>Table1[[#This Row],[Unit Price]]*Table1[[#This Row],[Quantity]]</f>
        <v>2200</v>
      </c>
      <c r="N586" s="2">
        <v>7.0000000000000007E-2</v>
      </c>
      <c r="O586" s="1">
        <f>Table1[[#This Row],[Gross Value]]*(1-Table1[[#This Row],[Discount]])</f>
        <v>2045.9999999999998</v>
      </c>
      <c r="P586" s="2">
        <v>0.2</v>
      </c>
      <c r="Q586" s="1">
        <f>Table1[[#This Row],[Revenue]]*Table1[[#This Row],[VAT Rate]]</f>
        <v>409.2</v>
      </c>
      <c r="R586" s="1">
        <f>Table1[[#This Row],[Revenue]]+Table1[[#This Row],[VAT Charged]]</f>
        <v>2455.1999999999998</v>
      </c>
      <c r="S586" s="1" cm="1">
        <f t="array" ref="S586">_xlfn.SWITCH(Table1[[#This Row],[Product ID]],"P001",140,"P002",80,"P003",72,"P004",30,"P005",110,"P006",24,"P007",14,"P008",12,"P009",115,"P010",360)</f>
        <v>110</v>
      </c>
      <c r="T586" s="1" cm="1">
        <f t="array" ref="T586">(_xlfn.SWITCH(Table1[[#This Row],[Product ID]],"P001",140,"P002",80,"P003",72,"P004",30,"P005",110,"P006",24,"P007",14,"P008",12,"P009",115,"P010",360))*Table1[[#This Row],[Quantity]]</f>
        <v>1210</v>
      </c>
      <c r="U586" s="1" cm="1">
        <f t="array" ref="U586">_xlfn.SWITCH(Table1[[#This Row],[Product ID]],"P001",15,"P002",0,"P003",8,"P004",8,"P005",0,"P006",7,"P007",7,"P008",6,"P009",45,"P010",60)</f>
        <v>0</v>
      </c>
      <c r="V586" s="1">
        <f>Table1[[#This Row],[Shipping per Unit]]*Table1[[#This Row],[Quantity]]</f>
        <v>0</v>
      </c>
      <c r="W586" s="2">
        <f>IF(Table1[[#This Row],[Total Shipping]]&gt;0.1,0.2,0)</f>
        <v>0</v>
      </c>
      <c r="X586" s="4">
        <f>Table1[[#This Row],[Total Shipping]]*Table1[[#This Row],[VAT on Shipping]]</f>
        <v>0</v>
      </c>
      <c r="Y586" s="1">
        <f>Table1[[#This Row],[Revenue]]-Table1[[#This Row],[COGS]]</f>
        <v>835.99999999999977</v>
      </c>
      <c r="Z586" s="3">
        <f>(Table1[[#This Row],[Profit]]/Table1[[#This Row],[Revenue]])</f>
        <v>0.40860215053763432</v>
      </c>
      <c r="AA586" s="1">
        <f>Table1[[#This Row],[Profit]]-Table1[[#This Row],[Total Shipping]]</f>
        <v>835.99999999999977</v>
      </c>
      <c r="AB586" s="3">
        <f>Table1[[#This Row],[Operating Profit]]/Table1[[#This Row],[Revenue]]</f>
        <v>0.40860215053763432</v>
      </c>
    </row>
    <row r="587" spans="1:28" x14ac:dyDescent="0.25">
      <c r="A587" t="s">
        <v>286</v>
      </c>
      <c r="B587">
        <v>336</v>
      </c>
      <c r="C587" t="s">
        <v>62</v>
      </c>
      <c r="D587" t="s">
        <v>63</v>
      </c>
      <c r="E587" t="s">
        <v>40</v>
      </c>
      <c r="F587" t="s">
        <v>92</v>
      </c>
      <c r="G587" t="str" cm="1">
        <f t="array" ref="G587">_xlfn.SWITCH(F587,"Acme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587" t="s">
        <v>104</v>
      </c>
      <c r="I587" t="s">
        <v>55</v>
      </c>
      <c r="J587" t="str" cm="1">
        <f t="array" ref="J587">_xlfn.SWITCH(I587,"P001","Laptop","P002","Server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87" s="1" cm="1">
        <f t="array" ref="K587">_xlfn.SWITCH(Table1[[#This Row],[Product ID]],"P001",220,"P002",150,"P003",130,"P004",70,"P005",200,"P006",40,"P007",25,"P008",20,"P009",190,"P010",530)</f>
        <v>70</v>
      </c>
      <c r="L587">
        <v>10</v>
      </c>
      <c r="M587" s="1">
        <f>Table1[[#This Row],[Unit Price]]*Table1[[#This Row],[Quantity]]</f>
        <v>700</v>
      </c>
      <c r="N587" s="2">
        <v>0.04</v>
      </c>
      <c r="O587" s="1">
        <f>Table1[[#This Row],[Gross Value]]*(1-Table1[[#This Row],[Discount]])</f>
        <v>672</v>
      </c>
      <c r="P587" s="2">
        <v>0.2</v>
      </c>
      <c r="Q587" s="1">
        <f>Table1[[#This Row],[Revenue]]*Table1[[#This Row],[VAT Rate]]</f>
        <v>134.4</v>
      </c>
      <c r="R587" s="1">
        <f>Table1[[#This Row],[Revenue]]+Table1[[#This Row],[VAT Charged]]</f>
        <v>806.4</v>
      </c>
      <c r="S587" s="1" cm="1">
        <f t="array" ref="S587">_xlfn.SWITCH(Table1[[#This Row],[Product ID]],"P001",140,"P002",80,"P003",72,"P004",30,"P005",110,"P006",24,"P007",14,"P008",12,"P009",115,"P010",360)</f>
        <v>30</v>
      </c>
      <c r="T587" s="1" cm="1">
        <f t="array" ref="T587">(_xlfn.SWITCH(Table1[[#This Row],[Product ID]],"P001",140,"P002",80,"P003",72,"P004",30,"P005",110,"P006",24,"P007",14,"P008",12,"P009",115,"P010",360))*Table1[[#This Row],[Quantity]]</f>
        <v>300</v>
      </c>
      <c r="U587" s="1" cm="1">
        <f t="array" ref="U587">_xlfn.SWITCH(Table1[[#This Row],[Product ID]],"P001",15,"P002",0,"P003",8,"P004",8,"P005",0,"P006",7,"P007",7,"P008",6,"P009",45,"P010",60)</f>
        <v>8</v>
      </c>
      <c r="V587" s="1">
        <f>Table1[[#This Row],[Shipping per Unit]]*Table1[[#This Row],[Quantity]]</f>
        <v>80</v>
      </c>
      <c r="W587" s="2">
        <f>IF(Table1[[#This Row],[Total Shipping]]&gt;0.1,0.2,0)</f>
        <v>0.2</v>
      </c>
      <c r="X587" s="4">
        <f>Table1[[#This Row],[Total Shipping]]*Table1[[#This Row],[VAT on Shipping]]</f>
        <v>16</v>
      </c>
      <c r="Y587" s="1">
        <f>Table1[[#This Row],[Revenue]]-Table1[[#This Row],[COGS]]</f>
        <v>372</v>
      </c>
      <c r="Z587" s="3">
        <f>(Table1[[#This Row],[Profit]]/Table1[[#This Row],[Revenue]])</f>
        <v>0.5535714285714286</v>
      </c>
      <c r="AA587" s="1">
        <f>Table1[[#This Row],[Profit]]-Table1[[#This Row],[Total Shipping]]</f>
        <v>292</v>
      </c>
      <c r="AB587" s="3">
        <f>Table1[[#This Row],[Operating Profit]]/Table1[[#This Row],[Revenue]]</f>
        <v>0.43452380952380953</v>
      </c>
    </row>
    <row r="588" spans="1:28" x14ac:dyDescent="0.25">
      <c r="A588" t="s">
        <v>286</v>
      </c>
      <c r="B588">
        <v>421</v>
      </c>
      <c r="C588" t="s">
        <v>65</v>
      </c>
      <c r="D588" t="s">
        <v>57</v>
      </c>
      <c r="E588" t="s">
        <v>40</v>
      </c>
      <c r="F588" t="s">
        <v>32</v>
      </c>
      <c r="G588" t="str" cm="1">
        <f t="array" ref="G588">_xlfn.SWITCH(F588,"Acme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588" t="s">
        <v>45</v>
      </c>
      <c r="I588" t="s">
        <v>34</v>
      </c>
      <c r="J588" t="str" cm="1">
        <f t="array" ref="J588">_xlfn.SWITCH(I588,"P001","Laptop","P002","Server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588" s="1" cm="1">
        <f t="array" ref="K588">_xlfn.SWITCH(Table1[[#This Row],[Product ID]],"P001",220,"P002",150,"P003",130,"P004",70,"P005",200,"P006",40,"P007",25,"P008",20,"P009",190,"P010",530)</f>
        <v>20</v>
      </c>
      <c r="L588">
        <v>7</v>
      </c>
      <c r="M588" s="1">
        <f>Table1[[#This Row],[Unit Price]]*Table1[[#This Row],[Quantity]]</f>
        <v>140</v>
      </c>
      <c r="N588" s="2">
        <v>0.08</v>
      </c>
      <c r="O588" s="1">
        <f>Table1[[#This Row],[Gross Value]]*(1-Table1[[#This Row],[Discount]])</f>
        <v>128.80000000000001</v>
      </c>
      <c r="P588" s="2">
        <v>0.2</v>
      </c>
      <c r="Q588" s="1">
        <f>Table1[[#This Row],[Revenue]]*Table1[[#This Row],[VAT Rate]]</f>
        <v>25.760000000000005</v>
      </c>
      <c r="R588" s="1">
        <f>Table1[[#This Row],[Revenue]]+Table1[[#This Row],[VAT Charged]]</f>
        <v>154.56</v>
      </c>
      <c r="S588" s="1" cm="1">
        <f t="array" ref="S588">_xlfn.SWITCH(Table1[[#This Row],[Product ID]],"P001",140,"P002",80,"P003",72,"P004",30,"P005",110,"P006",24,"P007",14,"P008",12,"P009",115,"P010",360)</f>
        <v>12</v>
      </c>
      <c r="T588" s="1" cm="1">
        <f t="array" ref="T588">(_xlfn.SWITCH(Table1[[#This Row],[Product ID]],"P001",140,"P002",80,"P003",72,"P004",30,"P005",110,"P006",24,"P007",14,"P008",12,"P009",115,"P010",360))*Table1[[#This Row],[Quantity]]</f>
        <v>84</v>
      </c>
      <c r="U588" s="1" cm="1">
        <f t="array" ref="U588">_xlfn.SWITCH(Table1[[#This Row],[Product ID]],"P001",15,"P002",0,"P003",8,"P004",8,"P005",0,"P006",7,"P007",7,"P008",6,"P009",45,"P010",60)</f>
        <v>6</v>
      </c>
      <c r="V588" s="1">
        <f>Table1[[#This Row],[Shipping per Unit]]*Table1[[#This Row],[Quantity]]</f>
        <v>42</v>
      </c>
      <c r="W588" s="2">
        <f>IF(Table1[[#This Row],[Total Shipping]]&gt;0.1,0.2,0)</f>
        <v>0.2</v>
      </c>
      <c r="X588" s="4">
        <f>Table1[[#This Row],[Total Shipping]]*Table1[[#This Row],[VAT on Shipping]]</f>
        <v>8.4</v>
      </c>
      <c r="Y588" s="1">
        <f>Table1[[#This Row],[Revenue]]-Table1[[#This Row],[COGS]]</f>
        <v>44.800000000000011</v>
      </c>
      <c r="Z588" s="3">
        <f>(Table1[[#This Row],[Profit]]/Table1[[#This Row],[Revenue]])</f>
        <v>0.34782608695652178</v>
      </c>
      <c r="AA588" s="1">
        <f>Table1[[#This Row],[Profit]]-Table1[[#This Row],[Total Shipping]]</f>
        <v>2.8000000000000114</v>
      </c>
      <c r="AB588" s="3">
        <f>Table1[[#This Row],[Operating Profit]]/Table1[[#This Row],[Revenue]]</f>
        <v>2.1739130434782695E-2</v>
      </c>
    </row>
    <row r="589" spans="1:28" x14ac:dyDescent="0.25">
      <c r="A589" t="s">
        <v>287</v>
      </c>
      <c r="B589">
        <v>182</v>
      </c>
      <c r="C589" t="s">
        <v>35</v>
      </c>
      <c r="D589" t="s">
        <v>95</v>
      </c>
      <c r="E589" t="s">
        <v>49</v>
      </c>
      <c r="F589" t="s">
        <v>102</v>
      </c>
      <c r="G589" t="str" cm="1">
        <f t="array" ref="G589">_xlfn.SWITCH(F589,"Acme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589" t="s">
        <v>58</v>
      </c>
      <c r="I589" t="s">
        <v>75</v>
      </c>
      <c r="J589" t="str" cm="1">
        <f t="array" ref="J589">_xlfn.SWITCH(I589,"P001","Laptop","P002","Server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89" s="1" cm="1">
        <f t="array" ref="K589">_xlfn.SWITCH(Table1[[#This Row],[Product ID]],"P001",220,"P002",150,"P003",130,"P004",70,"P005",200,"P006",40,"P007",25,"P008",20,"P009",190,"P010",530)</f>
        <v>200</v>
      </c>
      <c r="L589">
        <v>10</v>
      </c>
      <c r="M589" s="1">
        <f>Table1[[#This Row],[Unit Price]]*Table1[[#This Row],[Quantity]]</f>
        <v>2000</v>
      </c>
      <c r="N589" s="2">
        <v>0.03</v>
      </c>
      <c r="O589" s="1">
        <f>Table1[[#This Row],[Gross Value]]*(1-Table1[[#This Row],[Discount]])</f>
        <v>1940</v>
      </c>
      <c r="P589" s="2">
        <v>0.2</v>
      </c>
      <c r="Q589" s="1">
        <f>Table1[[#This Row],[Revenue]]*Table1[[#This Row],[VAT Rate]]</f>
        <v>388</v>
      </c>
      <c r="R589" s="1">
        <f>Table1[[#This Row],[Revenue]]+Table1[[#This Row],[VAT Charged]]</f>
        <v>2328</v>
      </c>
      <c r="S589" s="1" cm="1">
        <f t="array" ref="S589">_xlfn.SWITCH(Table1[[#This Row],[Product ID]],"P001",140,"P002",80,"P003",72,"P004",30,"P005",110,"P006",24,"P007",14,"P008",12,"P009",115,"P010",360)</f>
        <v>110</v>
      </c>
      <c r="T589" s="1" cm="1">
        <f t="array" ref="T589">(_xlfn.SWITCH(Table1[[#This Row],[Product ID]],"P001",140,"P002",80,"P003",72,"P004",30,"P005",110,"P006",24,"P007",14,"P008",12,"P009",115,"P010",360))*Table1[[#This Row],[Quantity]]</f>
        <v>1100</v>
      </c>
      <c r="U589" s="1" cm="1">
        <f t="array" ref="U589">_xlfn.SWITCH(Table1[[#This Row],[Product ID]],"P001",15,"P002",0,"P003",8,"P004",8,"P005",0,"P006",7,"P007",7,"P008",6,"P009",45,"P010",60)</f>
        <v>0</v>
      </c>
      <c r="V589" s="1">
        <f>Table1[[#This Row],[Shipping per Unit]]*Table1[[#This Row],[Quantity]]</f>
        <v>0</v>
      </c>
      <c r="W589" s="2">
        <f>IF(Table1[[#This Row],[Total Shipping]]&gt;0.1,0.2,0)</f>
        <v>0</v>
      </c>
      <c r="X589" s="4">
        <f>Table1[[#This Row],[Total Shipping]]*Table1[[#This Row],[VAT on Shipping]]</f>
        <v>0</v>
      </c>
      <c r="Y589" s="1">
        <f>Table1[[#This Row],[Revenue]]-Table1[[#This Row],[COGS]]</f>
        <v>840</v>
      </c>
      <c r="Z589" s="3">
        <f>(Table1[[#This Row],[Profit]]/Table1[[#This Row],[Revenue]])</f>
        <v>0.4329896907216495</v>
      </c>
      <c r="AA589" s="1">
        <f>Table1[[#This Row],[Profit]]-Table1[[#This Row],[Total Shipping]]</f>
        <v>840</v>
      </c>
      <c r="AB589" s="3">
        <f>Table1[[#This Row],[Operating Profit]]/Table1[[#This Row],[Revenue]]</f>
        <v>0.4329896907216495</v>
      </c>
    </row>
    <row r="590" spans="1:28" x14ac:dyDescent="0.25">
      <c r="A590" t="s">
        <v>287</v>
      </c>
      <c r="B590">
        <v>441</v>
      </c>
      <c r="C590" t="s">
        <v>56</v>
      </c>
      <c r="D590" t="s">
        <v>53</v>
      </c>
      <c r="E590" t="s">
        <v>31</v>
      </c>
      <c r="F590" t="s">
        <v>90</v>
      </c>
      <c r="G590" t="str" cm="1">
        <f t="array" ref="G590">_xlfn.SWITCH(F590,"Acme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590" t="s">
        <v>33</v>
      </c>
      <c r="I590" t="s">
        <v>75</v>
      </c>
      <c r="J590" t="str" cm="1">
        <f t="array" ref="J590">_xlfn.SWITCH(I590,"P001","Laptop","P002","Server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90" s="1" cm="1">
        <f t="array" ref="K590">_xlfn.SWITCH(Table1[[#This Row],[Product ID]],"P001",220,"P002",150,"P003",130,"P004",70,"P005",200,"P006",40,"P007",25,"P008",20,"P009",190,"P010",530)</f>
        <v>200</v>
      </c>
      <c r="L590">
        <v>4</v>
      </c>
      <c r="M590" s="1">
        <f>Table1[[#This Row],[Unit Price]]*Table1[[#This Row],[Quantity]]</f>
        <v>800</v>
      </c>
      <c r="N590" s="2">
        <v>0.1</v>
      </c>
      <c r="O590" s="1">
        <f>Table1[[#This Row],[Gross Value]]*(1-Table1[[#This Row],[Discount]])</f>
        <v>720</v>
      </c>
      <c r="P590" s="2">
        <v>0.2</v>
      </c>
      <c r="Q590" s="1">
        <f>Table1[[#This Row],[Revenue]]*Table1[[#This Row],[VAT Rate]]</f>
        <v>144</v>
      </c>
      <c r="R590" s="1">
        <f>Table1[[#This Row],[Revenue]]+Table1[[#This Row],[VAT Charged]]</f>
        <v>864</v>
      </c>
      <c r="S590" s="1" cm="1">
        <f t="array" ref="S590">_xlfn.SWITCH(Table1[[#This Row],[Product ID]],"P001",140,"P002",80,"P003",72,"P004",30,"P005",110,"P006",24,"P007",14,"P008",12,"P009",115,"P010",360)</f>
        <v>110</v>
      </c>
      <c r="T590" s="1" cm="1">
        <f t="array" ref="T590">(_xlfn.SWITCH(Table1[[#This Row],[Product ID]],"P001",140,"P002",80,"P003",72,"P004",30,"P005",110,"P006",24,"P007",14,"P008",12,"P009",115,"P010",360))*Table1[[#This Row],[Quantity]]</f>
        <v>440</v>
      </c>
      <c r="U590" s="1" cm="1">
        <f t="array" ref="U590">_xlfn.SWITCH(Table1[[#This Row],[Product ID]],"P001",15,"P002",0,"P003",8,"P004",8,"P005",0,"P006",7,"P007",7,"P008",6,"P009",45,"P010",60)</f>
        <v>0</v>
      </c>
      <c r="V590" s="1">
        <f>Table1[[#This Row],[Shipping per Unit]]*Table1[[#This Row],[Quantity]]</f>
        <v>0</v>
      </c>
      <c r="W590" s="2">
        <f>IF(Table1[[#This Row],[Total Shipping]]&gt;0.1,0.2,0)</f>
        <v>0</v>
      </c>
      <c r="X590" s="4">
        <f>Table1[[#This Row],[Total Shipping]]*Table1[[#This Row],[VAT on Shipping]]</f>
        <v>0</v>
      </c>
      <c r="Y590" s="1">
        <f>Table1[[#This Row],[Revenue]]-Table1[[#This Row],[COGS]]</f>
        <v>280</v>
      </c>
      <c r="Z590" s="3">
        <f>(Table1[[#This Row],[Profit]]/Table1[[#This Row],[Revenue]])</f>
        <v>0.3888888888888889</v>
      </c>
      <c r="AA590" s="1">
        <f>Table1[[#This Row],[Profit]]-Table1[[#This Row],[Total Shipping]]</f>
        <v>280</v>
      </c>
      <c r="AB590" s="3">
        <f>Table1[[#This Row],[Operating Profit]]/Table1[[#This Row],[Revenue]]</f>
        <v>0.3888888888888889</v>
      </c>
    </row>
    <row r="591" spans="1:28" x14ac:dyDescent="0.25">
      <c r="A591" t="s">
        <v>287</v>
      </c>
      <c r="B591">
        <v>671</v>
      </c>
      <c r="C591" t="s">
        <v>29</v>
      </c>
      <c r="D591" t="s">
        <v>48</v>
      </c>
      <c r="E591" t="s">
        <v>31</v>
      </c>
      <c r="F591" t="s">
        <v>90</v>
      </c>
      <c r="G591" t="str" cm="1">
        <f t="array" ref="G591">_xlfn.SWITCH(F591,"Acme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591" t="s">
        <v>58</v>
      </c>
      <c r="I591" t="s">
        <v>55</v>
      </c>
      <c r="J591" t="str" cm="1">
        <f t="array" ref="J591">_xlfn.SWITCH(I591,"P001","Laptop","P002","Server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591" s="1" cm="1">
        <f t="array" ref="K591">_xlfn.SWITCH(Table1[[#This Row],[Product ID]],"P001",220,"P002",150,"P003",130,"P004",70,"P005",200,"P006",40,"P007",25,"P008",20,"P009",190,"P010",530)</f>
        <v>70</v>
      </c>
      <c r="L591">
        <v>4</v>
      </c>
      <c r="M591" s="1">
        <f>Table1[[#This Row],[Unit Price]]*Table1[[#This Row],[Quantity]]</f>
        <v>280</v>
      </c>
      <c r="N591" s="2">
        <v>0.05</v>
      </c>
      <c r="O591" s="1">
        <f>Table1[[#This Row],[Gross Value]]*(1-Table1[[#This Row],[Discount]])</f>
        <v>266</v>
      </c>
      <c r="P591" s="2">
        <v>0.2</v>
      </c>
      <c r="Q591" s="1">
        <f>Table1[[#This Row],[Revenue]]*Table1[[#This Row],[VAT Rate]]</f>
        <v>53.2</v>
      </c>
      <c r="R591" s="1">
        <f>Table1[[#This Row],[Revenue]]+Table1[[#This Row],[VAT Charged]]</f>
        <v>319.2</v>
      </c>
      <c r="S591" s="1" cm="1">
        <f t="array" ref="S591">_xlfn.SWITCH(Table1[[#This Row],[Product ID]],"P001",140,"P002",80,"P003",72,"P004",30,"P005",110,"P006",24,"P007",14,"P008",12,"P009",115,"P010",360)</f>
        <v>30</v>
      </c>
      <c r="T591" s="1" cm="1">
        <f t="array" ref="T591">(_xlfn.SWITCH(Table1[[#This Row],[Product ID]],"P001",140,"P002",80,"P003",72,"P004",30,"P005",110,"P006",24,"P007",14,"P008",12,"P009",115,"P010",360))*Table1[[#This Row],[Quantity]]</f>
        <v>120</v>
      </c>
      <c r="U591" s="1" cm="1">
        <f t="array" ref="U591">_xlfn.SWITCH(Table1[[#This Row],[Product ID]],"P001",15,"P002",0,"P003",8,"P004",8,"P005",0,"P006",7,"P007",7,"P008",6,"P009",45,"P010",60)</f>
        <v>8</v>
      </c>
      <c r="V591" s="1">
        <f>Table1[[#This Row],[Shipping per Unit]]*Table1[[#This Row],[Quantity]]</f>
        <v>32</v>
      </c>
      <c r="W591" s="2">
        <f>IF(Table1[[#This Row],[Total Shipping]]&gt;0.1,0.2,0)</f>
        <v>0.2</v>
      </c>
      <c r="X591" s="4">
        <f>Table1[[#This Row],[Total Shipping]]*Table1[[#This Row],[VAT on Shipping]]</f>
        <v>6.4</v>
      </c>
      <c r="Y591" s="1">
        <f>Table1[[#This Row],[Revenue]]-Table1[[#This Row],[COGS]]</f>
        <v>146</v>
      </c>
      <c r="Z591" s="3">
        <f>(Table1[[#This Row],[Profit]]/Table1[[#This Row],[Revenue]])</f>
        <v>0.54887218045112784</v>
      </c>
      <c r="AA591" s="1">
        <f>Table1[[#This Row],[Profit]]-Table1[[#This Row],[Total Shipping]]</f>
        <v>114</v>
      </c>
      <c r="AB591" s="3">
        <f>Table1[[#This Row],[Operating Profit]]/Table1[[#This Row],[Revenue]]</f>
        <v>0.42857142857142855</v>
      </c>
    </row>
    <row r="592" spans="1:28" x14ac:dyDescent="0.25">
      <c r="A592" t="s">
        <v>287</v>
      </c>
      <c r="B592">
        <v>942</v>
      </c>
      <c r="C592" t="s">
        <v>29</v>
      </c>
      <c r="D592" t="s">
        <v>53</v>
      </c>
      <c r="E592" t="s">
        <v>31</v>
      </c>
      <c r="F592" t="s">
        <v>59</v>
      </c>
      <c r="G592" t="str" cm="1">
        <f t="array" ref="G592">_xlfn.SWITCH(F592,"Acme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592" t="s">
        <v>58</v>
      </c>
      <c r="I592" t="s">
        <v>42</v>
      </c>
      <c r="J592" t="str" cm="1">
        <f t="array" ref="J592">_xlfn.SWITCH(I592,"P001","Laptop","P002","Server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92" s="1" cm="1">
        <f t="array" ref="K592">_xlfn.SWITCH(Table1[[#This Row],[Product ID]],"P001",220,"P002",150,"P003",130,"P004",70,"P005",200,"P006",40,"P007",25,"P008",20,"P009",190,"P010",530)</f>
        <v>40</v>
      </c>
      <c r="L592">
        <v>17</v>
      </c>
      <c r="M592" s="1">
        <f>Table1[[#This Row],[Unit Price]]*Table1[[#This Row],[Quantity]]</f>
        <v>680</v>
      </c>
      <c r="N592" s="2">
        <v>0.01</v>
      </c>
      <c r="O592" s="1">
        <f>Table1[[#This Row],[Gross Value]]*(1-Table1[[#This Row],[Discount]])</f>
        <v>673.2</v>
      </c>
      <c r="P592" s="2">
        <v>0.2</v>
      </c>
      <c r="Q592" s="1">
        <f>Table1[[#This Row],[Revenue]]*Table1[[#This Row],[VAT Rate]]</f>
        <v>134.64000000000001</v>
      </c>
      <c r="R592" s="1">
        <f>Table1[[#This Row],[Revenue]]+Table1[[#This Row],[VAT Charged]]</f>
        <v>807.84</v>
      </c>
      <c r="S592" s="1" cm="1">
        <f t="array" ref="S592">_xlfn.SWITCH(Table1[[#This Row],[Product ID]],"P001",140,"P002",80,"P003",72,"P004",30,"P005",110,"P006",24,"P007",14,"P008",12,"P009",115,"P010",360)</f>
        <v>24</v>
      </c>
      <c r="T592" s="1" cm="1">
        <f t="array" ref="T592">(_xlfn.SWITCH(Table1[[#This Row],[Product ID]],"P001",140,"P002",80,"P003",72,"P004",30,"P005",110,"P006",24,"P007",14,"P008",12,"P009",115,"P010",360))*Table1[[#This Row],[Quantity]]</f>
        <v>408</v>
      </c>
      <c r="U592" s="1" cm="1">
        <f t="array" ref="U592">_xlfn.SWITCH(Table1[[#This Row],[Product ID]],"P001",15,"P002",0,"P003",8,"P004",8,"P005",0,"P006",7,"P007",7,"P008",6,"P009",45,"P010",60)</f>
        <v>7</v>
      </c>
      <c r="V592" s="1">
        <f>Table1[[#This Row],[Shipping per Unit]]*Table1[[#This Row],[Quantity]]</f>
        <v>119</v>
      </c>
      <c r="W592" s="2">
        <f>IF(Table1[[#This Row],[Total Shipping]]&gt;0.1,0.2,0)</f>
        <v>0.2</v>
      </c>
      <c r="X592" s="4">
        <f>Table1[[#This Row],[Total Shipping]]*Table1[[#This Row],[VAT on Shipping]]</f>
        <v>23.8</v>
      </c>
      <c r="Y592" s="1">
        <f>Table1[[#This Row],[Revenue]]-Table1[[#This Row],[COGS]]</f>
        <v>265.20000000000005</v>
      </c>
      <c r="Z592" s="3">
        <f>(Table1[[#This Row],[Profit]]/Table1[[#This Row],[Revenue]])</f>
        <v>0.39393939393939398</v>
      </c>
      <c r="AA592" s="1">
        <f>Table1[[#This Row],[Profit]]-Table1[[#This Row],[Total Shipping]]</f>
        <v>146.20000000000005</v>
      </c>
      <c r="AB592" s="3">
        <f>Table1[[#This Row],[Operating Profit]]/Table1[[#This Row],[Revenue]]</f>
        <v>0.21717171717171724</v>
      </c>
    </row>
    <row r="593" spans="1:28" x14ac:dyDescent="0.25">
      <c r="A593" t="s">
        <v>288</v>
      </c>
      <c r="B593">
        <v>6</v>
      </c>
      <c r="C593" t="s">
        <v>62</v>
      </c>
      <c r="D593" t="s">
        <v>36</v>
      </c>
      <c r="E593" t="s">
        <v>49</v>
      </c>
      <c r="F593" t="s">
        <v>64</v>
      </c>
      <c r="G593" t="str" cm="1">
        <f t="array" ref="G593">_xlfn.SWITCH(F593,"Acme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593" t="s">
        <v>33</v>
      </c>
      <c r="I593" t="s">
        <v>60</v>
      </c>
      <c r="J593" t="str" cm="1">
        <f t="array" ref="J593">_xlfn.SWITCH(I593,"P001","Laptop","P002","Server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593" s="1" cm="1">
        <f t="array" ref="K593">_xlfn.SWITCH(Table1[[#This Row],[Product ID]],"P001",220,"P002",150,"P003",130,"P004",70,"P005",200,"P006",40,"P007",25,"P008",20,"P009",190,"P010",530)</f>
        <v>25</v>
      </c>
      <c r="L593">
        <v>6</v>
      </c>
      <c r="M593" s="1">
        <f>Table1[[#This Row],[Unit Price]]*Table1[[#This Row],[Quantity]]</f>
        <v>150</v>
      </c>
      <c r="N593" s="2">
        <v>0.08</v>
      </c>
      <c r="O593" s="1">
        <f>Table1[[#This Row],[Gross Value]]*(1-Table1[[#This Row],[Discount]])</f>
        <v>138</v>
      </c>
      <c r="P593" s="2">
        <v>0.2</v>
      </c>
      <c r="Q593" s="1">
        <f>Table1[[#This Row],[Revenue]]*Table1[[#This Row],[VAT Rate]]</f>
        <v>27.6</v>
      </c>
      <c r="R593" s="1">
        <f>Table1[[#This Row],[Revenue]]+Table1[[#This Row],[VAT Charged]]</f>
        <v>165.6</v>
      </c>
      <c r="S593" s="1" cm="1">
        <f t="array" ref="S593">_xlfn.SWITCH(Table1[[#This Row],[Product ID]],"P001",140,"P002",80,"P003",72,"P004",30,"P005",110,"P006",24,"P007",14,"P008",12,"P009",115,"P010",360)</f>
        <v>14</v>
      </c>
      <c r="T593" s="1" cm="1">
        <f t="array" ref="T593">(_xlfn.SWITCH(Table1[[#This Row],[Product ID]],"P001",140,"P002",80,"P003",72,"P004",30,"P005",110,"P006",24,"P007",14,"P008",12,"P009",115,"P010",360))*Table1[[#This Row],[Quantity]]</f>
        <v>84</v>
      </c>
      <c r="U593" s="1" cm="1">
        <f t="array" ref="U593">_xlfn.SWITCH(Table1[[#This Row],[Product ID]],"P001",15,"P002",0,"P003",8,"P004",8,"P005",0,"P006",7,"P007",7,"P008",6,"P009",45,"P010",60)</f>
        <v>7</v>
      </c>
      <c r="V593" s="1">
        <f>Table1[[#This Row],[Shipping per Unit]]*Table1[[#This Row],[Quantity]]</f>
        <v>42</v>
      </c>
      <c r="W593" s="2">
        <f>IF(Table1[[#This Row],[Total Shipping]]&gt;0.1,0.2,0)</f>
        <v>0.2</v>
      </c>
      <c r="X593" s="4">
        <f>Table1[[#This Row],[Total Shipping]]*Table1[[#This Row],[VAT on Shipping]]</f>
        <v>8.4</v>
      </c>
      <c r="Y593" s="1">
        <f>Table1[[#This Row],[Revenue]]-Table1[[#This Row],[COGS]]</f>
        <v>54</v>
      </c>
      <c r="Z593" s="3">
        <f>(Table1[[#This Row],[Profit]]/Table1[[#This Row],[Revenue]])</f>
        <v>0.39130434782608697</v>
      </c>
      <c r="AA593" s="1">
        <f>Table1[[#This Row],[Profit]]-Table1[[#This Row],[Total Shipping]]</f>
        <v>12</v>
      </c>
      <c r="AB593" s="3">
        <f>Table1[[#This Row],[Operating Profit]]/Table1[[#This Row],[Revenue]]</f>
        <v>8.6956521739130432E-2</v>
      </c>
    </row>
    <row r="594" spans="1:28" x14ac:dyDescent="0.25">
      <c r="A594" t="s">
        <v>288</v>
      </c>
      <c r="B594">
        <v>912</v>
      </c>
      <c r="C594" t="s">
        <v>83</v>
      </c>
      <c r="D594" t="s">
        <v>36</v>
      </c>
      <c r="E594" t="s">
        <v>40</v>
      </c>
      <c r="F594" t="s">
        <v>98</v>
      </c>
      <c r="G594" t="str" cm="1">
        <f t="array" ref="G594">_xlfn.SWITCH(F594,"Acme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594" t="s">
        <v>51</v>
      </c>
      <c r="I594" t="s">
        <v>42</v>
      </c>
      <c r="J594" t="str" cm="1">
        <f t="array" ref="J594">_xlfn.SWITCH(I594,"P001","Laptop","P002","Server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594" s="1" cm="1">
        <f t="array" ref="K594">_xlfn.SWITCH(Table1[[#This Row],[Product ID]],"P001",220,"P002",150,"P003",130,"P004",70,"P005",200,"P006",40,"P007",25,"P008",20,"P009",190,"P010",530)</f>
        <v>40</v>
      </c>
      <c r="L594">
        <v>12</v>
      </c>
      <c r="M594" s="1">
        <f>Table1[[#This Row],[Unit Price]]*Table1[[#This Row],[Quantity]]</f>
        <v>480</v>
      </c>
      <c r="N594" s="2">
        <v>0.03</v>
      </c>
      <c r="O594" s="1">
        <f>Table1[[#This Row],[Gross Value]]*(1-Table1[[#This Row],[Discount]])</f>
        <v>465.59999999999997</v>
      </c>
      <c r="P594" s="2">
        <v>0.2</v>
      </c>
      <c r="Q594" s="1">
        <f>Table1[[#This Row],[Revenue]]*Table1[[#This Row],[VAT Rate]]</f>
        <v>93.12</v>
      </c>
      <c r="R594" s="1">
        <f>Table1[[#This Row],[Revenue]]+Table1[[#This Row],[VAT Charged]]</f>
        <v>558.72</v>
      </c>
      <c r="S594" s="1" cm="1">
        <f t="array" ref="S594">_xlfn.SWITCH(Table1[[#This Row],[Product ID]],"P001",140,"P002",80,"P003",72,"P004",30,"P005",110,"P006",24,"P007",14,"P008",12,"P009",115,"P010",360)</f>
        <v>24</v>
      </c>
      <c r="T594" s="1" cm="1">
        <f t="array" ref="T594">(_xlfn.SWITCH(Table1[[#This Row],[Product ID]],"P001",140,"P002",80,"P003",72,"P004",30,"P005",110,"P006",24,"P007",14,"P008",12,"P009",115,"P010",360))*Table1[[#This Row],[Quantity]]</f>
        <v>288</v>
      </c>
      <c r="U594" s="1" cm="1">
        <f t="array" ref="U594">_xlfn.SWITCH(Table1[[#This Row],[Product ID]],"P001",15,"P002",0,"P003",8,"P004",8,"P005",0,"P006",7,"P007",7,"P008",6,"P009",45,"P010",60)</f>
        <v>7</v>
      </c>
      <c r="V594" s="1">
        <f>Table1[[#This Row],[Shipping per Unit]]*Table1[[#This Row],[Quantity]]</f>
        <v>84</v>
      </c>
      <c r="W594" s="2">
        <f>IF(Table1[[#This Row],[Total Shipping]]&gt;0.1,0.2,0)</f>
        <v>0.2</v>
      </c>
      <c r="X594" s="4">
        <f>Table1[[#This Row],[Total Shipping]]*Table1[[#This Row],[VAT on Shipping]]</f>
        <v>16.8</v>
      </c>
      <c r="Y594" s="1">
        <f>Table1[[#This Row],[Revenue]]-Table1[[#This Row],[COGS]]</f>
        <v>177.59999999999997</v>
      </c>
      <c r="Z594" s="3">
        <f>(Table1[[#This Row],[Profit]]/Table1[[#This Row],[Revenue]])</f>
        <v>0.38144329896907214</v>
      </c>
      <c r="AA594" s="1">
        <f>Table1[[#This Row],[Profit]]-Table1[[#This Row],[Total Shipping]]</f>
        <v>93.599999999999966</v>
      </c>
      <c r="AB594" s="3">
        <f>Table1[[#This Row],[Operating Profit]]/Table1[[#This Row],[Revenue]]</f>
        <v>0.2010309278350515</v>
      </c>
    </row>
    <row r="595" spans="1:28" x14ac:dyDescent="0.25">
      <c r="A595" t="s">
        <v>289</v>
      </c>
      <c r="B595">
        <v>469</v>
      </c>
      <c r="C595" t="s">
        <v>38</v>
      </c>
      <c r="D595" t="s">
        <v>63</v>
      </c>
      <c r="E595" t="s">
        <v>31</v>
      </c>
      <c r="F595" t="s">
        <v>98</v>
      </c>
      <c r="G595" t="str" cm="1">
        <f t="array" ref="G595">_xlfn.SWITCH(F595,"Acme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595" t="s">
        <v>45</v>
      </c>
      <c r="I595" t="s">
        <v>34</v>
      </c>
      <c r="J595" t="str" cm="1">
        <f t="array" ref="J595">_xlfn.SWITCH(I595,"P001","Laptop","P002","Server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595" s="1" cm="1">
        <f t="array" ref="K595">_xlfn.SWITCH(Table1[[#This Row],[Product ID]],"P001",220,"P002",150,"P003",130,"P004",70,"P005",200,"P006",40,"P007",25,"P008",20,"P009",190,"P010",530)</f>
        <v>20</v>
      </c>
      <c r="L595">
        <v>16</v>
      </c>
      <c r="M595" s="1">
        <f>Table1[[#This Row],[Unit Price]]*Table1[[#This Row],[Quantity]]</f>
        <v>320</v>
      </c>
      <c r="N595" s="2">
        <v>0.1</v>
      </c>
      <c r="O595" s="1">
        <f>Table1[[#This Row],[Gross Value]]*(1-Table1[[#This Row],[Discount]])</f>
        <v>288</v>
      </c>
      <c r="P595" s="2">
        <v>0.2</v>
      </c>
      <c r="Q595" s="1">
        <f>Table1[[#This Row],[Revenue]]*Table1[[#This Row],[VAT Rate]]</f>
        <v>57.6</v>
      </c>
      <c r="R595" s="1">
        <f>Table1[[#This Row],[Revenue]]+Table1[[#This Row],[VAT Charged]]</f>
        <v>345.6</v>
      </c>
      <c r="S595" s="1" cm="1">
        <f t="array" ref="S595">_xlfn.SWITCH(Table1[[#This Row],[Product ID]],"P001",140,"P002",80,"P003",72,"P004",30,"P005",110,"P006",24,"P007",14,"P008",12,"P009",115,"P010",360)</f>
        <v>12</v>
      </c>
      <c r="T595" s="1" cm="1">
        <f t="array" ref="T595">(_xlfn.SWITCH(Table1[[#This Row],[Product ID]],"P001",140,"P002",80,"P003",72,"P004",30,"P005",110,"P006",24,"P007",14,"P008",12,"P009",115,"P010",360))*Table1[[#This Row],[Quantity]]</f>
        <v>192</v>
      </c>
      <c r="U595" s="1" cm="1">
        <f t="array" ref="U595">_xlfn.SWITCH(Table1[[#This Row],[Product ID]],"P001",15,"P002",0,"P003",8,"P004",8,"P005",0,"P006",7,"P007",7,"P008",6,"P009",45,"P010",60)</f>
        <v>6</v>
      </c>
      <c r="V595" s="1">
        <f>Table1[[#This Row],[Shipping per Unit]]*Table1[[#This Row],[Quantity]]</f>
        <v>96</v>
      </c>
      <c r="W595" s="2">
        <f>IF(Table1[[#This Row],[Total Shipping]]&gt;0.1,0.2,0)</f>
        <v>0.2</v>
      </c>
      <c r="X595" s="4">
        <f>Table1[[#This Row],[Total Shipping]]*Table1[[#This Row],[VAT on Shipping]]</f>
        <v>19.200000000000003</v>
      </c>
      <c r="Y595" s="1">
        <f>Table1[[#This Row],[Revenue]]-Table1[[#This Row],[COGS]]</f>
        <v>96</v>
      </c>
      <c r="Z595" s="3">
        <f>(Table1[[#This Row],[Profit]]/Table1[[#This Row],[Revenue]])</f>
        <v>0.33333333333333331</v>
      </c>
      <c r="AA595" s="1">
        <f>Table1[[#This Row],[Profit]]-Table1[[#This Row],[Total Shipping]]</f>
        <v>0</v>
      </c>
      <c r="AB595" s="3">
        <f>Table1[[#This Row],[Operating Profit]]/Table1[[#This Row],[Revenue]]</f>
        <v>0</v>
      </c>
    </row>
    <row r="596" spans="1:28" x14ac:dyDescent="0.25">
      <c r="A596" t="s">
        <v>289</v>
      </c>
      <c r="B596">
        <v>744</v>
      </c>
      <c r="C596" t="s">
        <v>38</v>
      </c>
      <c r="D596" t="s">
        <v>72</v>
      </c>
      <c r="E596" t="s">
        <v>31</v>
      </c>
      <c r="F596" t="s">
        <v>98</v>
      </c>
      <c r="G596" t="str" cm="1">
        <f t="array" ref="G596">_xlfn.SWITCH(F596,"Acme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596" t="s">
        <v>33</v>
      </c>
      <c r="I596" t="s">
        <v>91</v>
      </c>
      <c r="J596" t="str" cm="1">
        <f t="array" ref="J596">_xlfn.SWITCH(I596,"P001","Laptop","P002","Server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596" s="1" cm="1">
        <f t="array" ref="K596">_xlfn.SWITCH(Table1[[#This Row],[Product ID]],"P001",220,"P002",150,"P003",130,"P004",70,"P005",200,"P006",40,"P007",25,"P008",20,"P009",190,"P010",530)</f>
        <v>190</v>
      </c>
      <c r="L596">
        <v>7</v>
      </c>
      <c r="M596" s="1">
        <f>Table1[[#This Row],[Unit Price]]*Table1[[#This Row],[Quantity]]</f>
        <v>1330</v>
      </c>
      <c r="N596" s="2">
        <v>7.0000000000000007E-2</v>
      </c>
      <c r="O596" s="1">
        <f>Table1[[#This Row],[Gross Value]]*(1-Table1[[#This Row],[Discount]])</f>
        <v>1236.8999999999999</v>
      </c>
      <c r="P596" s="2">
        <v>0.2</v>
      </c>
      <c r="Q596" s="1">
        <f>Table1[[#This Row],[Revenue]]*Table1[[#This Row],[VAT Rate]]</f>
        <v>247.38</v>
      </c>
      <c r="R596" s="1">
        <f>Table1[[#This Row],[Revenue]]+Table1[[#This Row],[VAT Charged]]</f>
        <v>1484.2799999999997</v>
      </c>
      <c r="S596" s="1" cm="1">
        <f t="array" ref="S596">_xlfn.SWITCH(Table1[[#This Row],[Product ID]],"P001",140,"P002",80,"P003",72,"P004",30,"P005",110,"P006",24,"P007",14,"P008",12,"P009",115,"P010",360)</f>
        <v>115</v>
      </c>
      <c r="T596" s="1" cm="1">
        <f t="array" ref="T596">(_xlfn.SWITCH(Table1[[#This Row],[Product ID]],"P001",140,"P002",80,"P003",72,"P004",30,"P005",110,"P006",24,"P007",14,"P008",12,"P009",115,"P010",360))*Table1[[#This Row],[Quantity]]</f>
        <v>805</v>
      </c>
      <c r="U596" s="1" cm="1">
        <f t="array" ref="U596">_xlfn.SWITCH(Table1[[#This Row],[Product ID]],"P001",15,"P002",0,"P003",8,"P004",8,"P005",0,"P006",7,"P007",7,"P008",6,"P009",45,"P010",60)</f>
        <v>45</v>
      </c>
      <c r="V596" s="1">
        <f>Table1[[#This Row],[Shipping per Unit]]*Table1[[#This Row],[Quantity]]</f>
        <v>315</v>
      </c>
      <c r="W596" s="2">
        <f>IF(Table1[[#This Row],[Total Shipping]]&gt;0.1,0.2,0)</f>
        <v>0.2</v>
      </c>
      <c r="X596" s="4">
        <f>Table1[[#This Row],[Total Shipping]]*Table1[[#This Row],[VAT on Shipping]]</f>
        <v>63</v>
      </c>
      <c r="Y596" s="1">
        <f>Table1[[#This Row],[Revenue]]-Table1[[#This Row],[COGS]]</f>
        <v>431.89999999999986</v>
      </c>
      <c r="Z596" s="3">
        <f>(Table1[[#This Row],[Profit]]/Table1[[#This Row],[Revenue]])</f>
        <v>0.3491794001131861</v>
      </c>
      <c r="AA596" s="1">
        <f>Table1[[#This Row],[Profit]]-Table1[[#This Row],[Total Shipping]]</f>
        <v>116.89999999999986</v>
      </c>
      <c r="AB596" s="3">
        <f>Table1[[#This Row],[Operating Profit]]/Table1[[#This Row],[Revenue]]</f>
        <v>9.4510469722693738E-2</v>
      </c>
    </row>
    <row r="597" spans="1:28" x14ac:dyDescent="0.25">
      <c r="A597" t="s">
        <v>290</v>
      </c>
      <c r="B597">
        <v>314</v>
      </c>
      <c r="C597" t="s">
        <v>56</v>
      </c>
      <c r="D597" t="s">
        <v>72</v>
      </c>
      <c r="E597" t="s">
        <v>49</v>
      </c>
      <c r="F597" t="s">
        <v>102</v>
      </c>
      <c r="G597" t="str" cm="1">
        <f t="array" ref="G597">_xlfn.SWITCH(F597,"Acme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597" t="s">
        <v>45</v>
      </c>
      <c r="I597" t="s">
        <v>68</v>
      </c>
      <c r="J597" t="str" cm="1">
        <f t="array" ref="J597">_xlfn.SWITCH(I597,"P001","Laptop","P002","Server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597" s="1" cm="1">
        <f t="array" ref="K597">_xlfn.SWITCH(Table1[[#This Row],[Product ID]],"P001",220,"P002",150,"P003",130,"P004",70,"P005",200,"P006",40,"P007",25,"P008",20,"P009",190,"P010",530)</f>
        <v>220</v>
      </c>
      <c r="L597">
        <v>19</v>
      </c>
      <c r="M597" s="1">
        <f>Table1[[#This Row],[Unit Price]]*Table1[[#This Row],[Quantity]]</f>
        <v>4180</v>
      </c>
      <c r="N597" s="2">
        <v>0.1</v>
      </c>
      <c r="O597" s="1">
        <f>Table1[[#This Row],[Gross Value]]*(1-Table1[[#This Row],[Discount]])</f>
        <v>3762</v>
      </c>
      <c r="P597" s="2">
        <v>0.2</v>
      </c>
      <c r="Q597" s="1">
        <f>Table1[[#This Row],[Revenue]]*Table1[[#This Row],[VAT Rate]]</f>
        <v>752.40000000000009</v>
      </c>
      <c r="R597" s="1">
        <f>Table1[[#This Row],[Revenue]]+Table1[[#This Row],[VAT Charged]]</f>
        <v>4514.3999999999996</v>
      </c>
      <c r="S597" s="1" cm="1">
        <f t="array" ref="S597">_xlfn.SWITCH(Table1[[#This Row],[Product ID]],"P001",140,"P002",80,"P003",72,"P004",30,"P005",110,"P006",24,"P007",14,"P008",12,"P009",115,"P010",360)</f>
        <v>140</v>
      </c>
      <c r="T597" s="1" cm="1">
        <f t="array" ref="T597">(_xlfn.SWITCH(Table1[[#This Row],[Product ID]],"P001",140,"P002",80,"P003",72,"P004",30,"P005",110,"P006",24,"P007",14,"P008",12,"P009",115,"P010",360))*Table1[[#This Row],[Quantity]]</f>
        <v>2660</v>
      </c>
      <c r="U597" s="1" cm="1">
        <f t="array" ref="U597">_xlfn.SWITCH(Table1[[#This Row],[Product ID]],"P001",15,"P002",0,"P003",8,"P004",8,"P005",0,"P006",7,"P007",7,"P008",6,"P009",45,"P010",60)</f>
        <v>15</v>
      </c>
      <c r="V597" s="1">
        <f>Table1[[#This Row],[Shipping per Unit]]*Table1[[#This Row],[Quantity]]</f>
        <v>285</v>
      </c>
      <c r="W597" s="2">
        <f>IF(Table1[[#This Row],[Total Shipping]]&gt;0.1,0.2,0)</f>
        <v>0.2</v>
      </c>
      <c r="X597" s="4">
        <f>Table1[[#This Row],[Total Shipping]]*Table1[[#This Row],[VAT on Shipping]]</f>
        <v>57</v>
      </c>
      <c r="Y597" s="1">
        <f>Table1[[#This Row],[Revenue]]-Table1[[#This Row],[COGS]]</f>
        <v>1102</v>
      </c>
      <c r="Z597" s="3">
        <f>(Table1[[#This Row],[Profit]]/Table1[[#This Row],[Revenue]])</f>
        <v>0.29292929292929293</v>
      </c>
      <c r="AA597" s="1">
        <f>Table1[[#This Row],[Profit]]-Table1[[#This Row],[Total Shipping]]</f>
        <v>817</v>
      </c>
      <c r="AB597" s="3">
        <f>Table1[[#This Row],[Operating Profit]]/Table1[[#This Row],[Revenue]]</f>
        <v>0.21717171717171718</v>
      </c>
    </row>
    <row r="598" spans="1:28" x14ac:dyDescent="0.25">
      <c r="A598" t="s">
        <v>290</v>
      </c>
      <c r="B598">
        <v>545</v>
      </c>
      <c r="C598" t="s">
        <v>38</v>
      </c>
      <c r="D598" t="s">
        <v>48</v>
      </c>
      <c r="E598" t="s">
        <v>31</v>
      </c>
      <c r="F598" t="s">
        <v>54</v>
      </c>
      <c r="G598" t="str" cm="1">
        <f t="array" ref="G598">_xlfn.SWITCH(F598,"Acme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598" t="s">
        <v>33</v>
      </c>
      <c r="I598" t="s">
        <v>75</v>
      </c>
      <c r="J598" t="str" cm="1">
        <f t="array" ref="J598">_xlfn.SWITCH(I598,"P001","Laptop","P002","Server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98" s="1" cm="1">
        <f t="array" ref="K598">_xlfn.SWITCH(Table1[[#This Row],[Product ID]],"P001",220,"P002",150,"P003",130,"P004",70,"P005",200,"P006",40,"P007",25,"P008",20,"P009",190,"P010",530)</f>
        <v>200</v>
      </c>
      <c r="L598">
        <v>15</v>
      </c>
      <c r="M598" s="1">
        <f>Table1[[#This Row],[Unit Price]]*Table1[[#This Row],[Quantity]]</f>
        <v>3000</v>
      </c>
      <c r="N598" s="2">
        <v>0.08</v>
      </c>
      <c r="O598" s="1">
        <f>Table1[[#This Row],[Gross Value]]*(1-Table1[[#This Row],[Discount]])</f>
        <v>2760</v>
      </c>
      <c r="P598" s="2">
        <v>0.2</v>
      </c>
      <c r="Q598" s="1">
        <f>Table1[[#This Row],[Revenue]]*Table1[[#This Row],[VAT Rate]]</f>
        <v>552</v>
      </c>
      <c r="R598" s="1">
        <f>Table1[[#This Row],[Revenue]]+Table1[[#This Row],[VAT Charged]]</f>
        <v>3312</v>
      </c>
      <c r="S598" s="1" cm="1">
        <f t="array" ref="S598">_xlfn.SWITCH(Table1[[#This Row],[Product ID]],"P001",140,"P002",80,"P003",72,"P004",30,"P005",110,"P006",24,"P007",14,"P008",12,"P009",115,"P010",360)</f>
        <v>110</v>
      </c>
      <c r="T598" s="1" cm="1">
        <f t="array" ref="T598">(_xlfn.SWITCH(Table1[[#This Row],[Product ID]],"P001",140,"P002",80,"P003",72,"P004",30,"P005",110,"P006",24,"P007",14,"P008",12,"P009",115,"P010",360))*Table1[[#This Row],[Quantity]]</f>
        <v>1650</v>
      </c>
      <c r="U598" s="1" cm="1">
        <f t="array" ref="U598">_xlfn.SWITCH(Table1[[#This Row],[Product ID]],"P001",15,"P002",0,"P003",8,"P004",8,"P005",0,"P006",7,"P007",7,"P008",6,"P009",45,"P010",60)</f>
        <v>0</v>
      </c>
      <c r="V598" s="1">
        <f>Table1[[#This Row],[Shipping per Unit]]*Table1[[#This Row],[Quantity]]</f>
        <v>0</v>
      </c>
      <c r="W598" s="2">
        <f>IF(Table1[[#This Row],[Total Shipping]]&gt;0.1,0.2,0)</f>
        <v>0</v>
      </c>
      <c r="X598" s="4">
        <f>Table1[[#This Row],[Total Shipping]]*Table1[[#This Row],[VAT on Shipping]]</f>
        <v>0</v>
      </c>
      <c r="Y598" s="1">
        <f>Table1[[#This Row],[Revenue]]-Table1[[#This Row],[COGS]]</f>
        <v>1110</v>
      </c>
      <c r="Z598" s="3">
        <f>(Table1[[#This Row],[Profit]]/Table1[[#This Row],[Revenue]])</f>
        <v>0.40217391304347827</v>
      </c>
      <c r="AA598" s="1">
        <f>Table1[[#This Row],[Profit]]-Table1[[#This Row],[Total Shipping]]</f>
        <v>1110</v>
      </c>
      <c r="AB598" s="3">
        <f>Table1[[#This Row],[Operating Profit]]/Table1[[#This Row],[Revenue]]</f>
        <v>0.40217391304347827</v>
      </c>
    </row>
    <row r="599" spans="1:28" x14ac:dyDescent="0.25">
      <c r="A599" t="s">
        <v>290</v>
      </c>
      <c r="B599">
        <v>559</v>
      </c>
      <c r="C599" t="s">
        <v>35</v>
      </c>
      <c r="D599" t="s">
        <v>53</v>
      </c>
      <c r="E599" t="s">
        <v>49</v>
      </c>
      <c r="F599" t="s">
        <v>87</v>
      </c>
      <c r="G599" t="str" cm="1">
        <f t="array" ref="G599">_xlfn.SWITCH(F599,"Acme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599" t="s">
        <v>58</v>
      </c>
      <c r="I599" t="s">
        <v>75</v>
      </c>
      <c r="J599" t="str" cm="1">
        <f t="array" ref="J599">_xlfn.SWITCH(I599,"P001","Laptop","P002","Server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599" s="1" cm="1">
        <f t="array" ref="K599">_xlfn.SWITCH(Table1[[#This Row],[Product ID]],"P001",220,"P002",150,"P003",130,"P004",70,"P005",200,"P006",40,"P007",25,"P008",20,"P009",190,"P010",530)</f>
        <v>200</v>
      </c>
      <c r="L599">
        <v>17</v>
      </c>
      <c r="M599" s="1">
        <f>Table1[[#This Row],[Unit Price]]*Table1[[#This Row],[Quantity]]</f>
        <v>3400</v>
      </c>
      <c r="N599" s="2">
        <v>0.02</v>
      </c>
      <c r="O599" s="1">
        <f>Table1[[#This Row],[Gross Value]]*(1-Table1[[#This Row],[Discount]])</f>
        <v>3332</v>
      </c>
      <c r="P599" s="2">
        <v>0.2</v>
      </c>
      <c r="Q599" s="1">
        <f>Table1[[#This Row],[Revenue]]*Table1[[#This Row],[VAT Rate]]</f>
        <v>666.40000000000009</v>
      </c>
      <c r="R599" s="1">
        <f>Table1[[#This Row],[Revenue]]+Table1[[#This Row],[VAT Charged]]</f>
        <v>3998.4</v>
      </c>
      <c r="S599" s="1" cm="1">
        <f t="array" ref="S599">_xlfn.SWITCH(Table1[[#This Row],[Product ID]],"P001",140,"P002",80,"P003",72,"P004",30,"P005",110,"P006",24,"P007",14,"P008",12,"P009",115,"P010",360)</f>
        <v>110</v>
      </c>
      <c r="T599" s="1" cm="1">
        <f t="array" ref="T599">(_xlfn.SWITCH(Table1[[#This Row],[Product ID]],"P001",140,"P002",80,"P003",72,"P004",30,"P005",110,"P006",24,"P007",14,"P008",12,"P009",115,"P010",360))*Table1[[#This Row],[Quantity]]</f>
        <v>1870</v>
      </c>
      <c r="U599" s="1" cm="1">
        <f t="array" ref="U599">_xlfn.SWITCH(Table1[[#This Row],[Product ID]],"P001",15,"P002",0,"P003",8,"P004",8,"P005",0,"P006",7,"P007",7,"P008",6,"P009",45,"P010",60)</f>
        <v>0</v>
      </c>
      <c r="V599" s="1">
        <f>Table1[[#This Row],[Shipping per Unit]]*Table1[[#This Row],[Quantity]]</f>
        <v>0</v>
      </c>
      <c r="W599" s="2">
        <f>IF(Table1[[#This Row],[Total Shipping]]&gt;0.1,0.2,0)</f>
        <v>0</v>
      </c>
      <c r="X599" s="4">
        <f>Table1[[#This Row],[Total Shipping]]*Table1[[#This Row],[VAT on Shipping]]</f>
        <v>0</v>
      </c>
      <c r="Y599" s="1">
        <f>Table1[[#This Row],[Revenue]]-Table1[[#This Row],[COGS]]</f>
        <v>1462</v>
      </c>
      <c r="Z599" s="3">
        <f>(Table1[[#This Row],[Profit]]/Table1[[#This Row],[Revenue]])</f>
        <v>0.43877551020408162</v>
      </c>
      <c r="AA599" s="1">
        <f>Table1[[#This Row],[Profit]]-Table1[[#This Row],[Total Shipping]]</f>
        <v>1462</v>
      </c>
      <c r="AB599" s="3">
        <f>Table1[[#This Row],[Operating Profit]]/Table1[[#This Row],[Revenue]]</f>
        <v>0.43877551020408162</v>
      </c>
    </row>
    <row r="600" spans="1:28" x14ac:dyDescent="0.25">
      <c r="A600" t="s">
        <v>290</v>
      </c>
      <c r="B600">
        <v>608</v>
      </c>
      <c r="C600" t="s">
        <v>56</v>
      </c>
      <c r="D600" t="s">
        <v>30</v>
      </c>
      <c r="E600" t="s">
        <v>40</v>
      </c>
      <c r="F600" t="s">
        <v>64</v>
      </c>
      <c r="G600" t="str" cm="1">
        <f t="array" ref="G600">_xlfn.SWITCH(F600,"Acme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600" t="s">
        <v>33</v>
      </c>
      <c r="I600" t="s">
        <v>42</v>
      </c>
      <c r="J600" t="str" cm="1">
        <f t="array" ref="J600">_xlfn.SWITCH(I600,"P001","Laptop","P002","Server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00" s="1" cm="1">
        <f t="array" ref="K600">_xlfn.SWITCH(Table1[[#This Row],[Product ID]],"P001",220,"P002",150,"P003",130,"P004",70,"P005",200,"P006",40,"P007",25,"P008",20,"P009",190,"P010",530)</f>
        <v>40</v>
      </c>
      <c r="L600">
        <v>19</v>
      </c>
      <c r="M600" s="1">
        <f>Table1[[#This Row],[Unit Price]]*Table1[[#This Row],[Quantity]]</f>
        <v>760</v>
      </c>
      <c r="N600" s="2">
        <v>0.06</v>
      </c>
      <c r="O600" s="1">
        <f>Table1[[#This Row],[Gross Value]]*(1-Table1[[#This Row],[Discount]])</f>
        <v>714.4</v>
      </c>
      <c r="P600" s="2">
        <v>0.2</v>
      </c>
      <c r="Q600" s="1">
        <f>Table1[[#This Row],[Revenue]]*Table1[[#This Row],[VAT Rate]]</f>
        <v>142.88</v>
      </c>
      <c r="R600" s="1">
        <f>Table1[[#This Row],[Revenue]]+Table1[[#This Row],[VAT Charged]]</f>
        <v>857.28</v>
      </c>
      <c r="S600" s="1" cm="1">
        <f t="array" ref="S600">_xlfn.SWITCH(Table1[[#This Row],[Product ID]],"P001",140,"P002",80,"P003",72,"P004",30,"P005",110,"P006",24,"P007",14,"P008",12,"P009",115,"P010",360)</f>
        <v>24</v>
      </c>
      <c r="T600" s="1" cm="1">
        <f t="array" ref="T600">(_xlfn.SWITCH(Table1[[#This Row],[Product ID]],"P001",140,"P002",80,"P003",72,"P004",30,"P005",110,"P006",24,"P007",14,"P008",12,"P009",115,"P010",360))*Table1[[#This Row],[Quantity]]</f>
        <v>456</v>
      </c>
      <c r="U600" s="1" cm="1">
        <f t="array" ref="U600">_xlfn.SWITCH(Table1[[#This Row],[Product ID]],"P001",15,"P002",0,"P003",8,"P004",8,"P005",0,"P006",7,"P007",7,"P008",6,"P009",45,"P010",60)</f>
        <v>7</v>
      </c>
      <c r="V600" s="1">
        <f>Table1[[#This Row],[Shipping per Unit]]*Table1[[#This Row],[Quantity]]</f>
        <v>133</v>
      </c>
      <c r="W600" s="2">
        <f>IF(Table1[[#This Row],[Total Shipping]]&gt;0.1,0.2,0)</f>
        <v>0.2</v>
      </c>
      <c r="X600" s="4">
        <f>Table1[[#This Row],[Total Shipping]]*Table1[[#This Row],[VAT on Shipping]]</f>
        <v>26.6</v>
      </c>
      <c r="Y600" s="1">
        <f>Table1[[#This Row],[Revenue]]-Table1[[#This Row],[COGS]]</f>
        <v>258.39999999999998</v>
      </c>
      <c r="Z600" s="3">
        <f>(Table1[[#This Row],[Profit]]/Table1[[#This Row],[Revenue]])</f>
        <v>0.36170212765957444</v>
      </c>
      <c r="AA600" s="1">
        <f>Table1[[#This Row],[Profit]]-Table1[[#This Row],[Total Shipping]]</f>
        <v>125.39999999999998</v>
      </c>
      <c r="AB600" s="3">
        <f>Table1[[#This Row],[Operating Profit]]/Table1[[#This Row],[Revenue]]</f>
        <v>0.175531914893617</v>
      </c>
    </row>
    <row r="601" spans="1:28" x14ac:dyDescent="0.25">
      <c r="A601" t="s">
        <v>290</v>
      </c>
      <c r="B601">
        <v>687</v>
      </c>
      <c r="C601" t="s">
        <v>65</v>
      </c>
      <c r="D601" t="s">
        <v>95</v>
      </c>
      <c r="E601" t="s">
        <v>40</v>
      </c>
      <c r="F601" t="s">
        <v>79</v>
      </c>
      <c r="G601" t="str" cm="1">
        <f t="array" ref="G601">_xlfn.SWITCH(F601,"Acme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01" t="s">
        <v>58</v>
      </c>
      <c r="I601" t="s">
        <v>42</v>
      </c>
      <c r="J601" t="str" cm="1">
        <f t="array" ref="J601">_xlfn.SWITCH(I601,"P001","Laptop","P002","Server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01" s="1" cm="1">
        <f t="array" ref="K601">_xlfn.SWITCH(Table1[[#This Row],[Product ID]],"P001",220,"P002",150,"P003",130,"P004",70,"P005",200,"P006",40,"P007",25,"P008",20,"P009",190,"P010",530)</f>
        <v>40</v>
      </c>
      <c r="L601">
        <v>8</v>
      </c>
      <c r="M601" s="1">
        <f>Table1[[#This Row],[Unit Price]]*Table1[[#This Row],[Quantity]]</f>
        <v>320</v>
      </c>
      <c r="N601" s="2">
        <v>0.12</v>
      </c>
      <c r="O601" s="1">
        <f>Table1[[#This Row],[Gross Value]]*(1-Table1[[#This Row],[Discount]])</f>
        <v>281.60000000000002</v>
      </c>
      <c r="P601" s="2">
        <v>0.2</v>
      </c>
      <c r="Q601" s="1">
        <f>Table1[[#This Row],[Revenue]]*Table1[[#This Row],[VAT Rate]]</f>
        <v>56.320000000000007</v>
      </c>
      <c r="R601" s="1">
        <f>Table1[[#This Row],[Revenue]]+Table1[[#This Row],[VAT Charged]]</f>
        <v>337.92</v>
      </c>
      <c r="S601" s="1" cm="1">
        <f t="array" ref="S601">_xlfn.SWITCH(Table1[[#This Row],[Product ID]],"P001",140,"P002",80,"P003",72,"P004",30,"P005",110,"P006",24,"P007",14,"P008",12,"P009",115,"P010",360)</f>
        <v>24</v>
      </c>
      <c r="T601" s="1" cm="1">
        <f t="array" ref="T601">(_xlfn.SWITCH(Table1[[#This Row],[Product ID]],"P001",140,"P002",80,"P003",72,"P004",30,"P005",110,"P006",24,"P007",14,"P008",12,"P009",115,"P010",360))*Table1[[#This Row],[Quantity]]</f>
        <v>192</v>
      </c>
      <c r="U601" s="1" cm="1">
        <f t="array" ref="U601">_xlfn.SWITCH(Table1[[#This Row],[Product ID]],"P001",15,"P002",0,"P003",8,"P004",8,"P005",0,"P006",7,"P007",7,"P008",6,"P009",45,"P010",60)</f>
        <v>7</v>
      </c>
      <c r="V601" s="1">
        <f>Table1[[#This Row],[Shipping per Unit]]*Table1[[#This Row],[Quantity]]</f>
        <v>56</v>
      </c>
      <c r="W601" s="2">
        <f>IF(Table1[[#This Row],[Total Shipping]]&gt;0.1,0.2,0)</f>
        <v>0.2</v>
      </c>
      <c r="X601" s="4">
        <f>Table1[[#This Row],[Total Shipping]]*Table1[[#This Row],[VAT on Shipping]]</f>
        <v>11.200000000000001</v>
      </c>
      <c r="Y601" s="1">
        <f>Table1[[#This Row],[Revenue]]-Table1[[#This Row],[COGS]]</f>
        <v>89.600000000000023</v>
      </c>
      <c r="Z601" s="3">
        <f>(Table1[[#This Row],[Profit]]/Table1[[#This Row],[Revenue]])</f>
        <v>0.31818181818181823</v>
      </c>
      <c r="AA601" s="1">
        <f>Table1[[#This Row],[Profit]]-Table1[[#This Row],[Total Shipping]]</f>
        <v>33.600000000000023</v>
      </c>
      <c r="AB601" s="3">
        <f>Table1[[#This Row],[Operating Profit]]/Table1[[#This Row],[Revenue]]</f>
        <v>0.11931818181818189</v>
      </c>
    </row>
    <row r="602" spans="1:28" x14ac:dyDescent="0.25">
      <c r="A602" t="s">
        <v>290</v>
      </c>
      <c r="B602">
        <v>747</v>
      </c>
      <c r="C602" t="s">
        <v>56</v>
      </c>
      <c r="D602" t="s">
        <v>57</v>
      </c>
      <c r="E602" t="s">
        <v>40</v>
      </c>
      <c r="F602" t="s">
        <v>87</v>
      </c>
      <c r="G602" t="str" cm="1">
        <f t="array" ref="G602">_xlfn.SWITCH(F602,"Acme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602" t="s">
        <v>51</v>
      </c>
      <c r="I602" t="s">
        <v>91</v>
      </c>
      <c r="J602" t="str" cm="1">
        <f t="array" ref="J602">_xlfn.SWITCH(I602,"P001","Laptop","P002","Server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02" s="1" cm="1">
        <f t="array" ref="K602">_xlfn.SWITCH(Table1[[#This Row],[Product ID]],"P001",220,"P002",150,"P003",130,"P004",70,"P005",200,"P006",40,"P007",25,"P008",20,"P009",190,"P010",530)</f>
        <v>190</v>
      </c>
      <c r="L602">
        <v>3</v>
      </c>
      <c r="M602" s="1">
        <f>Table1[[#This Row],[Unit Price]]*Table1[[#This Row],[Quantity]]</f>
        <v>570</v>
      </c>
      <c r="N602" s="2">
        <v>0.05</v>
      </c>
      <c r="O602" s="1">
        <f>Table1[[#This Row],[Gross Value]]*(1-Table1[[#This Row],[Discount]])</f>
        <v>541.5</v>
      </c>
      <c r="P602" s="2">
        <v>0.2</v>
      </c>
      <c r="Q602" s="1">
        <f>Table1[[#This Row],[Revenue]]*Table1[[#This Row],[VAT Rate]]</f>
        <v>108.30000000000001</v>
      </c>
      <c r="R602" s="1">
        <f>Table1[[#This Row],[Revenue]]+Table1[[#This Row],[VAT Charged]]</f>
        <v>649.79999999999995</v>
      </c>
      <c r="S602" s="1" cm="1">
        <f t="array" ref="S602">_xlfn.SWITCH(Table1[[#This Row],[Product ID]],"P001",140,"P002",80,"P003",72,"P004",30,"P005",110,"P006",24,"P007",14,"P008",12,"P009",115,"P010",360)</f>
        <v>115</v>
      </c>
      <c r="T602" s="1" cm="1">
        <f t="array" ref="T602">(_xlfn.SWITCH(Table1[[#This Row],[Product ID]],"P001",140,"P002",80,"P003",72,"P004",30,"P005",110,"P006",24,"P007",14,"P008",12,"P009",115,"P010",360))*Table1[[#This Row],[Quantity]]</f>
        <v>345</v>
      </c>
      <c r="U602" s="1" cm="1">
        <f t="array" ref="U602">_xlfn.SWITCH(Table1[[#This Row],[Product ID]],"P001",15,"P002",0,"P003",8,"P004",8,"P005",0,"P006",7,"P007",7,"P008",6,"P009",45,"P010",60)</f>
        <v>45</v>
      </c>
      <c r="V602" s="1">
        <f>Table1[[#This Row],[Shipping per Unit]]*Table1[[#This Row],[Quantity]]</f>
        <v>135</v>
      </c>
      <c r="W602" s="2">
        <f>IF(Table1[[#This Row],[Total Shipping]]&gt;0.1,0.2,0)</f>
        <v>0.2</v>
      </c>
      <c r="X602" s="4">
        <f>Table1[[#This Row],[Total Shipping]]*Table1[[#This Row],[VAT on Shipping]]</f>
        <v>27</v>
      </c>
      <c r="Y602" s="1">
        <f>Table1[[#This Row],[Revenue]]-Table1[[#This Row],[COGS]]</f>
        <v>196.5</v>
      </c>
      <c r="Z602" s="3">
        <f>(Table1[[#This Row],[Profit]]/Table1[[#This Row],[Revenue]])</f>
        <v>0.36288088642659277</v>
      </c>
      <c r="AA602" s="1">
        <f>Table1[[#This Row],[Profit]]-Table1[[#This Row],[Total Shipping]]</f>
        <v>61.5</v>
      </c>
      <c r="AB602" s="3">
        <f>Table1[[#This Row],[Operating Profit]]/Table1[[#This Row],[Revenue]]</f>
        <v>0.11357340720221606</v>
      </c>
    </row>
    <row r="603" spans="1:28" x14ac:dyDescent="0.25">
      <c r="A603" t="s">
        <v>290</v>
      </c>
      <c r="B603">
        <v>867</v>
      </c>
      <c r="C603" t="s">
        <v>65</v>
      </c>
      <c r="D603" t="s">
        <v>39</v>
      </c>
      <c r="E603" t="s">
        <v>31</v>
      </c>
      <c r="F603" t="s">
        <v>32</v>
      </c>
      <c r="G603" t="str" cm="1">
        <f t="array" ref="G603">_xlfn.SWITCH(F603,"Acme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603" t="s">
        <v>69</v>
      </c>
      <c r="I603" t="s">
        <v>42</v>
      </c>
      <c r="J603" t="str" cm="1">
        <f t="array" ref="J603">_xlfn.SWITCH(I603,"P001","Laptop","P002","Server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03" s="1" cm="1">
        <f t="array" ref="K603">_xlfn.SWITCH(Table1[[#This Row],[Product ID]],"P001",220,"P002",150,"P003",130,"P004",70,"P005",200,"P006",40,"P007",25,"P008",20,"P009",190,"P010",530)</f>
        <v>40</v>
      </c>
      <c r="L603">
        <v>7</v>
      </c>
      <c r="M603" s="1">
        <f>Table1[[#This Row],[Unit Price]]*Table1[[#This Row],[Quantity]]</f>
        <v>280</v>
      </c>
      <c r="N603" s="2">
        <v>0.06</v>
      </c>
      <c r="O603" s="1">
        <f>Table1[[#This Row],[Gross Value]]*(1-Table1[[#This Row],[Discount]])</f>
        <v>263.2</v>
      </c>
      <c r="P603" s="2">
        <v>0.2</v>
      </c>
      <c r="Q603" s="1">
        <f>Table1[[#This Row],[Revenue]]*Table1[[#This Row],[VAT Rate]]</f>
        <v>52.64</v>
      </c>
      <c r="R603" s="1">
        <f>Table1[[#This Row],[Revenue]]+Table1[[#This Row],[VAT Charged]]</f>
        <v>315.83999999999997</v>
      </c>
      <c r="S603" s="1" cm="1">
        <f t="array" ref="S603">_xlfn.SWITCH(Table1[[#This Row],[Product ID]],"P001",140,"P002",80,"P003",72,"P004",30,"P005",110,"P006",24,"P007",14,"P008",12,"P009",115,"P010",360)</f>
        <v>24</v>
      </c>
      <c r="T603" s="1" cm="1">
        <f t="array" ref="T603">(_xlfn.SWITCH(Table1[[#This Row],[Product ID]],"P001",140,"P002",80,"P003",72,"P004",30,"P005",110,"P006",24,"P007",14,"P008",12,"P009",115,"P010",360))*Table1[[#This Row],[Quantity]]</f>
        <v>168</v>
      </c>
      <c r="U603" s="1" cm="1">
        <f t="array" ref="U603">_xlfn.SWITCH(Table1[[#This Row],[Product ID]],"P001",15,"P002",0,"P003",8,"P004",8,"P005",0,"P006",7,"P007",7,"P008",6,"P009",45,"P010",60)</f>
        <v>7</v>
      </c>
      <c r="V603" s="1">
        <f>Table1[[#This Row],[Shipping per Unit]]*Table1[[#This Row],[Quantity]]</f>
        <v>49</v>
      </c>
      <c r="W603" s="2">
        <f>IF(Table1[[#This Row],[Total Shipping]]&gt;0.1,0.2,0)</f>
        <v>0.2</v>
      </c>
      <c r="X603" s="4">
        <f>Table1[[#This Row],[Total Shipping]]*Table1[[#This Row],[VAT on Shipping]]</f>
        <v>9.8000000000000007</v>
      </c>
      <c r="Y603" s="1">
        <f>Table1[[#This Row],[Revenue]]-Table1[[#This Row],[COGS]]</f>
        <v>95.199999999999989</v>
      </c>
      <c r="Z603" s="3">
        <f>(Table1[[#This Row],[Profit]]/Table1[[#This Row],[Revenue]])</f>
        <v>0.36170212765957444</v>
      </c>
      <c r="AA603" s="1">
        <f>Table1[[#This Row],[Profit]]-Table1[[#This Row],[Total Shipping]]</f>
        <v>46.199999999999989</v>
      </c>
      <c r="AB603" s="3">
        <f>Table1[[#This Row],[Operating Profit]]/Table1[[#This Row],[Revenue]]</f>
        <v>0.175531914893617</v>
      </c>
    </row>
    <row r="604" spans="1:28" x14ac:dyDescent="0.25">
      <c r="A604" t="s">
        <v>291</v>
      </c>
      <c r="B604">
        <v>730</v>
      </c>
      <c r="C604" t="s">
        <v>29</v>
      </c>
      <c r="D604" t="s">
        <v>95</v>
      </c>
      <c r="E604" t="s">
        <v>31</v>
      </c>
      <c r="F604" t="s">
        <v>78</v>
      </c>
      <c r="G604" t="str" cm="1">
        <f t="array" ref="G604">_xlfn.SWITCH(F604,"Acme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604" t="s">
        <v>69</v>
      </c>
      <c r="I604" t="s">
        <v>91</v>
      </c>
      <c r="J604" t="str" cm="1">
        <f t="array" ref="J604">_xlfn.SWITCH(I604,"P001","Laptop","P002","Server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04" s="1" cm="1">
        <f t="array" ref="K604">_xlfn.SWITCH(Table1[[#This Row],[Product ID]],"P001",220,"P002",150,"P003",130,"P004",70,"P005",200,"P006",40,"P007",25,"P008",20,"P009",190,"P010",530)</f>
        <v>190</v>
      </c>
      <c r="L604">
        <v>4</v>
      </c>
      <c r="M604" s="1">
        <f>Table1[[#This Row],[Unit Price]]*Table1[[#This Row],[Quantity]]</f>
        <v>760</v>
      </c>
      <c r="N604" s="2">
        <v>7.0000000000000007E-2</v>
      </c>
      <c r="O604" s="1">
        <f>Table1[[#This Row],[Gross Value]]*(1-Table1[[#This Row],[Discount]])</f>
        <v>706.8</v>
      </c>
      <c r="P604" s="2">
        <v>0.2</v>
      </c>
      <c r="Q604" s="1">
        <f>Table1[[#This Row],[Revenue]]*Table1[[#This Row],[VAT Rate]]</f>
        <v>141.35999999999999</v>
      </c>
      <c r="R604" s="1">
        <f>Table1[[#This Row],[Revenue]]+Table1[[#This Row],[VAT Charged]]</f>
        <v>848.16</v>
      </c>
      <c r="S604" s="1" cm="1">
        <f t="array" ref="S604">_xlfn.SWITCH(Table1[[#This Row],[Product ID]],"P001",140,"P002",80,"P003",72,"P004",30,"P005",110,"P006",24,"P007",14,"P008",12,"P009",115,"P010",360)</f>
        <v>115</v>
      </c>
      <c r="T604" s="1" cm="1">
        <f t="array" ref="T604">(_xlfn.SWITCH(Table1[[#This Row],[Product ID]],"P001",140,"P002",80,"P003",72,"P004",30,"P005",110,"P006",24,"P007",14,"P008",12,"P009",115,"P010",360))*Table1[[#This Row],[Quantity]]</f>
        <v>460</v>
      </c>
      <c r="U604" s="1" cm="1">
        <f t="array" ref="U604">_xlfn.SWITCH(Table1[[#This Row],[Product ID]],"P001",15,"P002",0,"P003",8,"P004",8,"P005",0,"P006",7,"P007",7,"P008",6,"P009",45,"P010",60)</f>
        <v>45</v>
      </c>
      <c r="V604" s="1">
        <f>Table1[[#This Row],[Shipping per Unit]]*Table1[[#This Row],[Quantity]]</f>
        <v>180</v>
      </c>
      <c r="W604" s="2">
        <f>IF(Table1[[#This Row],[Total Shipping]]&gt;0.1,0.2,0)</f>
        <v>0.2</v>
      </c>
      <c r="X604" s="4">
        <f>Table1[[#This Row],[Total Shipping]]*Table1[[#This Row],[VAT on Shipping]]</f>
        <v>36</v>
      </c>
      <c r="Y604" s="1">
        <f>Table1[[#This Row],[Revenue]]-Table1[[#This Row],[COGS]]</f>
        <v>246.79999999999995</v>
      </c>
      <c r="Z604" s="3">
        <f>(Table1[[#This Row],[Profit]]/Table1[[#This Row],[Revenue]])</f>
        <v>0.34917940011318616</v>
      </c>
      <c r="AA604" s="1">
        <f>Table1[[#This Row],[Profit]]-Table1[[#This Row],[Total Shipping]]</f>
        <v>66.799999999999955</v>
      </c>
      <c r="AB604" s="3">
        <f>Table1[[#This Row],[Operating Profit]]/Table1[[#This Row],[Revenue]]</f>
        <v>9.451046972269378E-2</v>
      </c>
    </row>
    <row r="605" spans="1:28" x14ac:dyDescent="0.25">
      <c r="A605" t="s">
        <v>291</v>
      </c>
      <c r="B605">
        <v>782</v>
      </c>
      <c r="C605" t="s">
        <v>38</v>
      </c>
      <c r="D605" t="s">
        <v>57</v>
      </c>
      <c r="E605" t="s">
        <v>49</v>
      </c>
      <c r="F605" t="s">
        <v>78</v>
      </c>
      <c r="G605" t="str" cm="1">
        <f t="array" ref="G605">_xlfn.SWITCH(F605,"Acme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605" t="s">
        <v>33</v>
      </c>
      <c r="I605" t="s">
        <v>68</v>
      </c>
      <c r="J605" t="str" cm="1">
        <f t="array" ref="J605">_xlfn.SWITCH(I605,"P001","Laptop","P002","Server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605" s="1" cm="1">
        <f t="array" ref="K605">_xlfn.SWITCH(Table1[[#This Row],[Product ID]],"P001",220,"P002",150,"P003",130,"P004",70,"P005",200,"P006",40,"P007",25,"P008",20,"P009",190,"P010",530)</f>
        <v>220</v>
      </c>
      <c r="L605">
        <v>2</v>
      </c>
      <c r="M605" s="1">
        <f>Table1[[#This Row],[Unit Price]]*Table1[[#This Row],[Quantity]]</f>
        <v>440</v>
      </c>
      <c r="N605" s="2">
        <v>0.1</v>
      </c>
      <c r="O605" s="1">
        <f>Table1[[#This Row],[Gross Value]]*(1-Table1[[#This Row],[Discount]])</f>
        <v>396</v>
      </c>
      <c r="P605" s="2">
        <v>0.2</v>
      </c>
      <c r="Q605" s="1">
        <f>Table1[[#This Row],[Revenue]]*Table1[[#This Row],[VAT Rate]]</f>
        <v>79.2</v>
      </c>
      <c r="R605" s="1">
        <f>Table1[[#This Row],[Revenue]]+Table1[[#This Row],[VAT Charged]]</f>
        <v>475.2</v>
      </c>
      <c r="S605" s="1" cm="1">
        <f t="array" ref="S605">_xlfn.SWITCH(Table1[[#This Row],[Product ID]],"P001",140,"P002",80,"P003",72,"P004",30,"P005",110,"P006",24,"P007",14,"P008",12,"P009",115,"P010",360)</f>
        <v>140</v>
      </c>
      <c r="T605" s="1" cm="1">
        <f t="array" ref="T605">(_xlfn.SWITCH(Table1[[#This Row],[Product ID]],"P001",140,"P002",80,"P003",72,"P004",30,"P005",110,"P006",24,"P007",14,"P008",12,"P009",115,"P010",360))*Table1[[#This Row],[Quantity]]</f>
        <v>280</v>
      </c>
      <c r="U605" s="1" cm="1">
        <f t="array" ref="U605">_xlfn.SWITCH(Table1[[#This Row],[Product ID]],"P001",15,"P002",0,"P003",8,"P004",8,"P005",0,"P006",7,"P007",7,"P008",6,"P009",45,"P010",60)</f>
        <v>15</v>
      </c>
      <c r="V605" s="1">
        <f>Table1[[#This Row],[Shipping per Unit]]*Table1[[#This Row],[Quantity]]</f>
        <v>30</v>
      </c>
      <c r="W605" s="2">
        <f>IF(Table1[[#This Row],[Total Shipping]]&gt;0.1,0.2,0)</f>
        <v>0.2</v>
      </c>
      <c r="X605" s="4">
        <f>Table1[[#This Row],[Total Shipping]]*Table1[[#This Row],[VAT on Shipping]]</f>
        <v>6</v>
      </c>
      <c r="Y605" s="1">
        <f>Table1[[#This Row],[Revenue]]-Table1[[#This Row],[COGS]]</f>
        <v>116</v>
      </c>
      <c r="Z605" s="3">
        <f>(Table1[[#This Row],[Profit]]/Table1[[#This Row],[Revenue]])</f>
        <v>0.29292929292929293</v>
      </c>
      <c r="AA605" s="1">
        <f>Table1[[#This Row],[Profit]]-Table1[[#This Row],[Total Shipping]]</f>
        <v>86</v>
      </c>
      <c r="AB605" s="3">
        <f>Table1[[#This Row],[Operating Profit]]/Table1[[#This Row],[Revenue]]</f>
        <v>0.21717171717171718</v>
      </c>
    </row>
    <row r="606" spans="1:28" x14ac:dyDescent="0.25">
      <c r="A606" t="s">
        <v>291</v>
      </c>
      <c r="B606">
        <v>960</v>
      </c>
      <c r="C606" t="s">
        <v>56</v>
      </c>
      <c r="D606" t="s">
        <v>53</v>
      </c>
      <c r="E606" t="s">
        <v>40</v>
      </c>
      <c r="F606" t="s">
        <v>66</v>
      </c>
      <c r="G606" t="str" cm="1">
        <f t="array" ref="G606">_xlfn.SWITCH(F606,"Acme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606" t="s">
        <v>45</v>
      </c>
      <c r="I606" t="s">
        <v>55</v>
      </c>
      <c r="J606" t="str" cm="1">
        <f t="array" ref="J606">_xlfn.SWITCH(I606,"P001","Laptop","P002","Server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06" s="1" cm="1">
        <f t="array" ref="K606">_xlfn.SWITCH(Table1[[#This Row],[Product ID]],"P001",220,"P002",150,"P003",130,"P004",70,"P005",200,"P006",40,"P007",25,"P008",20,"P009",190,"P010",530)</f>
        <v>70</v>
      </c>
      <c r="L606">
        <v>14</v>
      </c>
      <c r="M606" s="1">
        <f>Table1[[#This Row],[Unit Price]]*Table1[[#This Row],[Quantity]]</f>
        <v>980</v>
      </c>
      <c r="N606" s="2">
        <v>0.06</v>
      </c>
      <c r="O606" s="1">
        <f>Table1[[#This Row],[Gross Value]]*(1-Table1[[#This Row],[Discount]])</f>
        <v>921.19999999999993</v>
      </c>
      <c r="P606" s="2">
        <v>0.2</v>
      </c>
      <c r="Q606" s="1">
        <f>Table1[[#This Row],[Revenue]]*Table1[[#This Row],[VAT Rate]]</f>
        <v>184.24</v>
      </c>
      <c r="R606" s="1">
        <f>Table1[[#This Row],[Revenue]]+Table1[[#This Row],[VAT Charged]]</f>
        <v>1105.44</v>
      </c>
      <c r="S606" s="1" cm="1">
        <f t="array" ref="S606">_xlfn.SWITCH(Table1[[#This Row],[Product ID]],"P001",140,"P002",80,"P003",72,"P004",30,"P005",110,"P006",24,"P007",14,"P008",12,"P009",115,"P010",360)</f>
        <v>30</v>
      </c>
      <c r="T606" s="1" cm="1">
        <f t="array" ref="T606">(_xlfn.SWITCH(Table1[[#This Row],[Product ID]],"P001",140,"P002",80,"P003",72,"P004",30,"P005",110,"P006",24,"P007",14,"P008",12,"P009",115,"P010",360))*Table1[[#This Row],[Quantity]]</f>
        <v>420</v>
      </c>
      <c r="U606" s="1" cm="1">
        <f t="array" ref="U606">_xlfn.SWITCH(Table1[[#This Row],[Product ID]],"P001",15,"P002",0,"P003",8,"P004",8,"P005",0,"P006",7,"P007",7,"P008",6,"P009",45,"P010",60)</f>
        <v>8</v>
      </c>
      <c r="V606" s="1">
        <f>Table1[[#This Row],[Shipping per Unit]]*Table1[[#This Row],[Quantity]]</f>
        <v>112</v>
      </c>
      <c r="W606" s="2">
        <f>IF(Table1[[#This Row],[Total Shipping]]&gt;0.1,0.2,0)</f>
        <v>0.2</v>
      </c>
      <c r="X606" s="4">
        <f>Table1[[#This Row],[Total Shipping]]*Table1[[#This Row],[VAT on Shipping]]</f>
        <v>22.400000000000002</v>
      </c>
      <c r="Y606" s="1">
        <f>Table1[[#This Row],[Revenue]]-Table1[[#This Row],[COGS]]</f>
        <v>501.19999999999993</v>
      </c>
      <c r="Z606" s="3">
        <f>(Table1[[#This Row],[Profit]]/Table1[[#This Row],[Revenue]])</f>
        <v>0.54407294832826747</v>
      </c>
      <c r="AA606" s="1">
        <f>Table1[[#This Row],[Profit]]-Table1[[#This Row],[Total Shipping]]</f>
        <v>389.19999999999993</v>
      </c>
      <c r="AB606" s="3">
        <f>Table1[[#This Row],[Operating Profit]]/Table1[[#This Row],[Revenue]]</f>
        <v>0.42249240121580545</v>
      </c>
    </row>
    <row r="607" spans="1:28" x14ac:dyDescent="0.25">
      <c r="A607" t="s">
        <v>292</v>
      </c>
      <c r="B607">
        <v>29</v>
      </c>
      <c r="C607" t="s">
        <v>62</v>
      </c>
      <c r="D607" t="s">
        <v>63</v>
      </c>
      <c r="E607" t="s">
        <v>31</v>
      </c>
      <c r="F607" t="s">
        <v>74</v>
      </c>
      <c r="G607" t="str" cm="1">
        <f t="array" ref="G607">_xlfn.SWITCH(F607,"Acme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607" t="s">
        <v>45</v>
      </c>
      <c r="I607" t="s">
        <v>42</v>
      </c>
      <c r="J607" t="str" cm="1">
        <f t="array" ref="J607">_xlfn.SWITCH(I607,"P001","Laptop","P002","Server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07" s="1" cm="1">
        <f t="array" ref="K607">_xlfn.SWITCH(Table1[[#This Row],[Product ID]],"P001",220,"P002",150,"P003",130,"P004",70,"P005",200,"P006",40,"P007",25,"P008",20,"P009",190,"P010",530)</f>
        <v>40</v>
      </c>
      <c r="L607">
        <v>7</v>
      </c>
      <c r="M607" s="1">
        <f>Table1[[#This Row],[Unit Price]]*Table1[[#This Row],[Quantity]]</f>
        <v>280</v>
      </c>
      <c r="N607" s="2">
        <v>0.06</v>
      </c>
      <c r="O607" s="1">
        <f>Table1[[#This Row],[Gross Value]]*(1-Table1[[#This Row],[Discount]])</f>
        <v>263.2</v>
      </c>
      <c r="P607" s="2">
        <v>0.2</v>
      </c>
      <c r="Q607" s="1">
        <f>Table1[[#This Row],[Revenue]]*Table1[[#This Row],[VAT Rate]]</f>
        <v>52.64</v>
      </c>
      <c r="R607" s="1">
        <f>Table1[[#This Row],[Revenue]]+Table1[[#This Row],[VAT Charged]]</f>
        <v>315.83999999999997</v>
      </c>
      <c r="S607" s="1" cm="1">
        <f t="array" ref="S607">_xlfn.SWITCH(Table1[[#This Row],[Product ID]],"P001",140,"P002",80,"P003",72,"P004",30,"P005",110,"P006",24,"P007",14,"P008",12,"P009",115,"P010",360)</f>
        <v>24</v>
      </c>
      <c r="T607" s="1" cm="1">
        <f t="array" ref="T607">(_xlfn.SWITCH(Table1[[#This Row],[Product ID]],"P001",140,"P002",80,"P003",72,"P004",30,"P005",110,"P006",24,"P007",14,"P008",12,"P009",115,"P010",360))*Table1[[#This Row],[Quantity]]</f>
        <v>168</v>
      </c>
      <c r="U607" s="1" cm="1">
        <f t="array" ref="U607">_xlfn.SWITCH(Table1[[#This Row],[Product ID]],"P001",15,"P002",0,"P003",8,"P004",8,"P005",0,"P006",7,"P007",7,"P008",6,"P009",45,"P010",60)</f>
        <v>7</v>
      </c>
      <c r="V607" s="1">
        <f>Table1[[#This Row],[Shipping per Unit]]*Table1[[#This Row],[Quantity]]</f>
        <v>49</v>
      </c>
      <c r="W607" s="2">
        <f>IF(Table1[[#This Row],[Total Shipping]]&gt;0.1,0.2,0)</f>
        <v>0.2</v>
      </c>
      <c r="X607" s="4">
        <f>Table1[[#This Row],[Total Shipping]]*Table1[[#This Row],[VAT on Shipping]]</f>
        <v>9.8000000000000007</v>
      </c>
      <c r="Y607" s="1">
        <f>Table1[[#This Row],[Revenue]]-Table1[[#This Row],[COGS]]</f>
        <v>95.199999999999989</v>
      </c>
      <c r="Z607" s="3">
        <f>(Table1[[#This Row],[Profit]]/Table1[[#This Row],[Revenue]])</f>
        <v>0.36170212765957444</v>
      </c>
      <c r="AA607" s="1">
        <f>Table1[[#This Row],[Profit]]-Table1[[#This Row],[Total Shipping]]</f>
        <v>46.199999999999989</v>
      </c>
      <c r="AB607" s="3">
        <f>Table1[[#This Row],[Operating Profit]]/Table1[[#This Row],[Revenue]]</f>
        <v>0.175531914893617</v>
      </c>
    </row>
    <row r="608" spans="1:28" x14ac:dyDescent="0.25">
      <c r="A608" t="s">
        <v>292</v>
      </c>
      <c r="B608">
        <v>112</v>
      </c>
      <c r="C608" t="s">
        <v>35</v>
      </c>
      <c r="D608" t="s">
        <v>53</v>
      </c>
      <c r="E608" t="s">
        <v>49</v>
      </c>
      <c r="F608" t="s">
        <v>86</v>
      </c>
      <c r="G608" t="str" cm="1">
        <f t="array" ref="G608">_xlfn.SWITCH(F608,"Acme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608" t="s">
        <v>51</v>
      </c>
      <c r="I608" t="s">
        <v>52</v>
      </c>
      <c r="J608" t="str" cm="1">
        <f t="array" ref="J608">_xlfn.SWITCH(I608,"P001","Laptop","P002","Server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608" s="1" cm="1">
        <f t="array" ref="K608">_xlfn.SWITCH(Table1[[#This Row],[Product ID]],"P001",220,"P002",150,"P003",130,"P004",70,"P005",200,"P006",40,"P007",25,"P008",20,"P009",190,"P010",530)</f>
        <v>130</v>
      </c>
      <c r="L608">
        <v>6</v>
      </c>
      <c r="M608" s="1">
        <f>Table1[[#This Row],[Unit Price]]*Table1[[#This Row],[Quantity]]</f>
        <v>780</v>
      </c>
      <c r="N608" s="2">
        <v>0.06</v>
      </c>
      <c r="O608" s="1">
        <f>Table1[[#This Row],[Gross Value]]*(1-Table1[[#This Row],[Discount]])</f>
        <v>733.19999999999993</v>
      </c>
      <c r="P608" s="2">
        <v>0.2</v>
      </c>
      <c r="Q608" s="1">
        <f>Table1[[#This Row],[Revenue]]*Table1[[#This Row],[VAT Rate]]</f>
        <v>146.63999999999999</v>
      </c>
      <c r="R608" s="1">
        <f>Table1[[#This Row],[Revenue]]+Table1[[#This Row],[VAT Charged]]</f>
        <v>879.83999999999992</v>
      </c>
      <c r="S608" s="1" cm="1">
        <f t="array" ref="S608">_xlfn.SWITCH(Table1[[#This Row],[Product ID]],"P001",140,"P002",80,"P003",72,"P004",30,"P005",110,"P006",24,"P007",14,"P008",12,"P009",115,"P010",360)</f>
        <v>72</v>
      </c>
      <c r="T608" s="1" cm="1">
        <f t="array" ref="T608">(_xlfn.SWITCH(Table1[[#This Row],[Product ID]],"P001",140,"P002",80,"P003",72,"P004",30,"P005",110,"P006",24,"P007",14,"P008",12,"P009",115,"P010",360))*Table1[[#This Row],[Quantity]]</f>
        <v>432</v>
      </c>
      <c r="U608" s="1" cm="1">
        <f t="array" ref="U608">_xlfn.SWITCH(Table1[[#This Row],[Product ID]],"P001",15,"P002",0,"P003",8,"P004",8,"P005",0,"P006",7,"P007",7,"P008",6,"P009",45,"P010",60)</f>
        <v>8</v>
      </c>
      <c r="V608" s="1">
        <f>Table1[[#This Row],[Shipping per Unit]]*Table1[[#This Row],[Quantity]]</f>
        <v>48</v>
      </c>
      <c r="W608" s="2">
        <f>IF(Table1[[#This Row],[Total Shipping]]&gt;0.1,0.2,0)</f>
        <v>0.2</v>
      </c>
      <c r="X608" s="4">
        <f>Table1[[#This Row],[Total Shipping]]*Table1[[#This Row],[VAT on Shipping]]</f>
        <v>9.6000000000000014</v>
      </c>
      <c r="Y608" s="1">
        <f>Table1[[#This Row],[Revenue]]-Table1[[#This Row],[COGS]]</f>
        <v>301.19999999999993</v>
      </c>
      <c r="Z608" s="3">
        <f>(Table1[[#This Row],[Profit]]/Table1[[#This Row],[Revenue]])</f>
        <v>0.41080196399345331</v>
      </c>
      <c r="AA608" s="1">
        <f>Table1[[#This Row],[Profit]]-Table1[[#This Row],[Total Shipping]]</f>
        <v>253.19999999999993</v>
      </c>
      <c r="AB608" s="3">
        <f>Table1[[#This Row],[Operating Profit]]/Table1[[#This Row],[Revenue]]</f>
        <v>0.34533551554828146</v>
      </c>
    </row>
    <row r="609" spans="1:28" x14ac:dyDescent="0.25">
      <c r="A609" t="s">
        <v>292</v>
      </c>
      <c r="B609">
        <v>800</v>
      </c>
      <c r="C609" t="s">
        <v>35</v>
      </c>
      <c r="D609" t="s">
        <v>63</v>
      </c>
      <c r="E609" t="s">
        <v>40</v>
      </c>
      <c r="F609" t="s">
        <v>119</v>
      </c>
      <c r="G609" t="str" cm="1">
        <f t="array" ref="G609">_xlfn.SWITCH(F609,"Acme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609" t="s">
        <v>33</v>
      </c>
      <c r="I609" t="s">
        <v>42</v>
      </c>
      <c r="J609" t="str" cm="1">
        <f t="array" ref="J609">_xlfn.SWITCH(I609,"P001","Laptop","P002","Server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09" s="1" cm="1">
        <f t="array" ref="K609">_xlfn.SWITCH(Table1[[#This Row],[Product ID]],"P001",220,"P002",150,"P003",130,"P004",70,"P005",200,"P006",40,"P007",25,"P008",20,"P009",190,"P010",530)</f>
        <v>40</v>
      </c>
      <c r="L609">
        <v>17</v>
      </c>
      <c r="M609" s="1">
        <f>Table1[[#This Row],[Unit Price]]*Table1[[#This Row],[Quantity]]</f>
        <v>680</v>
      </c>
      <c r="N609" s="2">
        <v>0.1</v>
      </c>
      <c r="O609" s="1">
        <f>Table1[[#This Row],[Gross Value]]*(1-Table1[[#This Row],[Discount]])</f>
        <v>612</v>
      </c>
      <c r="P609" s="2">
        <v>0.2</v>
      </c>
      <c r="Q609" s="1">
        <f>Table1[[#This Row],[Revenue]]*Table1[[#This Row],[VAT Rate]]</f>
        <v>122.4</v>
      </c>
      <c r="R609" s="1">
        <f>Table1[[#This Row],[Revenue]]+Table1[[#This Row],[VAT Charged]]</f>
        <v>734.4</v>
      </c>
      <c r="S609" s="1" cm="1">
        <f t="array" ref="S609">_xlfn.SWITCH(Table1[[#This Row],[Product ID]],"P001",140,"P002",80,"P003",72,"P004",30,"P005",110,"P006",24,"P007",14,"P008",12,"P009",115,"P010",360)</f>
        <v>24</v>
      </c>
      <c r="T609" s="1" cm="1">
        <f t="array" ref="T609">(_xlfn.SWITCH(Table1[[#This Row],[Product ID]],"P001",140,"P002",80,"P003",72,"P004",30,"P005",110,"P006",24,"P007",14,"P008",12,"P009",115,"P010",360))*Table1[[#This Row],[Quantity]]</f>
        <v>408</v>
      </c>
      <c r="U609" s="1" cm="1">
        <f t="array" ref="U609">_xlfn.SWITCH(Table1[[#This Row],[Product ID]],"P001",15,"P002",0,"P003",8,"P004",8,"P005",0,"P006",7,"P007",7,"P008",6,"P009",45,"P010",60)</f>
        <v>7</v>
      </c>
      <c r="V609" s="1">
        <f>Table1[[#This Row],[Shipping per Unit]]*Table1[[#This Row],[Quantity]]</f>
        <v>119</v>
      </c>
      <c r="W609" s="2">
        <f>IF(Table1[[#This Row],[Total Shipping]]&gt;0.1,0.2,0)</f>
        <v>0.2</v>
      </c>
      <c r="X609" s="4">
        <f>Table1[[#This Row],[Total Shipping]]*Table1[[#This Row],[VAT on Shipping]]</f>
        <v>23.8</v>
      </c>
      <c r="Y609" s="1">
        <f>Table1[[#This Row],[Revenue]]-Table1[[#This Row],[COGS]]</f>
        <v>204</v>
      </c>
      <c r="Z609" s="3">
        <f>(Table1[[#This Row],[Profit]]/Table1[[#This Row],[Revenue]])</f>
        <v>0.33333333333333331</v>
      </c>
      <c r="AA609" s="1">
        <f>Table1[[#This Row],[Profit]]-Table1[[#This Row],[Total Shipping]]</f>
        <v>85</v>
      </c>
      <c r="AB609" s="3">
        <f>Table1[[#This Row],[Operating Profit]]/Table1[[#This Row],[Revenue]]</f>
        <v>0.1388888888888889</v>
      </c>
    </row>
    <row r="610" spans="1:28" x14ac:dyDescent="0.25">
      <c r="A610" t="s">
        <v>292</v>
      </c>
      <c r="B610">
        <v>914</v>
      </c>
      <c r="C610" t="s">
        <v>65</v>
      </c>
      <c r="D610" t="s">
        <v>30</v>
      </c>
      <c r="E610" t="s">
        <v>40</v>
      </c>
      <c r="F610" t="s">
        <v>59</v>
      </c>
      <c r="G610" t="str" cm="1">
        <f t="array" ref="G610">_xlfn.SWITCH(F610,"Acme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610" t="s">
        <v>58</v>
      </c>
      <c r="I610" t="s">
        <v>46</v>
      </c>
      <c r="J610" t="str" cm="1">
        <f t="array" ref="J610">_xlfn.SWITCH(I610,"P001","Laptop","P002","Server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10" s="1" cm="1">
        <f t="array" ref="K610">_xlfn.SWITCH(Table1[[#This Row],[Product ID]],"P001",220,"P002",150,"P003",130,"P004",70,"P005",200,"P006",40,"P007",25,"P008",20,"P009",190,"P010",530)</f>
        <v>530</v>
      </c>
      <c r="L610">
        <v>9</v>
      </c>
      <c r="M610" s="1">
        <f>Table1[[#This Row],[Unit Price]]*Table1[[#This Row],[Quantity]]</f>
        <v>4770</v>
      </c>
      <c r="N610" s="2">
        <v>7.0000000000000007E-2</v>
      </c>
      <c r="O610" s="1">
        <f>Table1[[#This Row],[Gross Value]]*(1-Table1[[#This Row],[Discount]])</f>
        <v>4436.0999999999995</v>
      </c>
      <c r="P610" s="2">
        <v>0.2</v>
      </c>
      <c r="Q610" s="1">
        <f>Table1[[#This Row],[Revenue]]*Table1[[#This Row],[VAT Rate]]</f>
        <v>887.21999999999991</v>
      </c>
      <c r="R610" s="1">
        <f>Table1[[#This Row],[Revenue]]+Table1[[#This Row],[VAT Charged]]</f>
        <v>5323.32</v>
      </c>
      <c r="S610" s="1" cm="1">
        <f t="array" ref="S610">_xlfn.SWITCH(Table1[[#This Row],[Product ID]],"P001",140,"P002",80,"P003",72,"P004",30,"P005",110,"P006",24,"P007",14,"P008",12,"P009",115,"P010",360)</f>
        <v>360</v>
      </c>
      <c r="T610" s="1" cm="1">
        <f t="array" ref="T610">(_xlfn.SWITCH(Table1[[#This Row],[Product ID]],"P001",140,"P002",80,"P003",72,"P004",30,"P005",110,"P006",24,"P007",14,"P008",12,"P009",115,"P010",360))*Table1[[#This Row],[Quantity]]</f>
        <v>3240</v>
      </c>
      <c r="U610" s="1" cm="1">
        <f t="array" ref="U610">_xlfn.SWITCH(Table1[[#This Row],[Product ID]],"P001",15,"P002",0,"P003",8,"P004",8,"P005",0,"P006",7,"P007",7,"P008",6,"P009",45,"P010",60)</f>
        <v>60</v>
      </c>
      <c r="V610" s="1">
        <f>Table1[[#This Row],[Shipping per Unit]]*Table1[[#This Row],[Quantity]]</f>
        <v>540</v>
      </c>
      <c r="W610" s="2">
        <f>IF(Table1[[#This Row],[Total Shipping]]&gt;0.1,0.2,0)</f>
        <v>0.2</v>
      </c>
      <c r="X610" s="4">
        <f>Table1[[#This Row],[Total Shipping]]*Table1[[#This Row],[VAT on Shipping]]</f>
        <v>108</v>
      </c>
      <c r="Y610" s="1">
        <f>Table1[[#This Row],[Revenue]]-Table1[[#This Row],[COGS]]</f>
        <v>1196.0999999999995</v>
      </c>
      <c r="Z610" s="3">
        <f>(Table1[[#This Row],[Profit]]/Table1[[#This Row],[Revenue]])</f>
        <v>0.26962872793670106</v>
      </c>
      <c r="AA610" s="1">
        <f>Table1[[#This Row],[Profit]]-Table1[[#This Row],[Total Shipping]]</f>
        <v>656.09999999999945</v>
      </c>
      <c r="AB610" s="3">
        <f>Table1[[#This Row],[Operating Profit]]/Table1[[#This Row],[Revenue]]</f>
        <v>0.14790018259281792</v>
      </c>
    </row>
    <row r="611" spans="1:28" x14ac:dyDescent="0.25">
      <c r="A611" t="s">
        <v>293</v>
      </c>
      <c r="B611">
        <v>62</v>
      </c>
      <c r="C611" t="s">
        <v>35</v>
      </c>
      <c r="D611" t="s">
        <v>63</v>
      </c>
      <c r="E611" t="s">
        <v>31</v>
      </c>
      <c r="F611" t="s">
        <v>87</v>
      </c>
      <c r="G611" t="str" cm="1">
        <f t="array" ref="G611">_xlfn.SWITCH(F611,"Acme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611" t="s">
        <v>33</v>
      </c>
      <c r="I611" t="s">
        <v>42</v>
      </c>
      <c r="J611" t="str" cm="1">
        <f t="array" ref="J611">_xlfn.SWITCH(I611,"P001","Laptop","P002","Server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11" s="1" cm="1">
        <f t="array" ref="K611">_xlfn.SWITCH(Table1[[#This Row],[Product ID]],"P001",220,"P002",150,"P003",130,"P004",70,"P005",200,"P006",40,"P007",25,"P008",20,"P009",190,"P010",530)</f>
        <v>40</v>
      </c>
      <c r="L611">
        <v>13</v>
      </c>
      <c r="M611" s="1">
        <f>Table1[[#This Row],[Unit Price]]*Table1[[#This Row],[Quantity]]</f>
        <v>520</v>
      </c>
      <c r="N611" s="2">
        <v>7.0000000000000007E-2</v>
      </c>
      <c r="O611" s="1">
        <f>Table1[[#This Row],[Gross Value]]*(1-Table1[[#This Row],[Discount]])</f>
        <v>483.59999999999997</v>
      </c>
      <c r="P611" s="2">
        <v>0.2</v>
      </c>
      <c r="Q611" s="1">
        <f>Table1[[#This Row],[Revenue]]*Table1[[#This Row],[VAT Rate]]</f>
        <v>96.72</v>
      </c>
      <c r="R611" s="1">
        <f>Table1[[#This Row],[Revenue]]+Table1[[#This Row],[VAT Charged]]</f>
        <v>580.31999999999994</v>
      </c>
      <c r="S611" s="1" cm="1">
        <f t="array" ref="S611">_xlfn.SWITCH(Table1[[#This Row],[Product ID]],"P001",140,"P002",80,"P003",72,"P004",30,"P005",110,"P006",24,"P007",14,"P008",12,"P009",115,"P010",360)</f>
        <v>24</v>
      </c>
      <c r="T611" s="1" cm="1">
        <f t="array" ref="T611">(_xlfn.SWITCH(Table1[[#This Row],[Product ID]],"P001",140,"P002",80,"P003",72,"P004",30,"P005",110,"P006",24,"P007",14,"P008",12,"P009",115,"P010",360))*Table1[[#This Row],[Quantity]]</f>
        <v>312</v>
      </c>
      <c r="U611" s="1" cm="1">
        <f t="array" ref="U611">_xlfn.SWITCH(Table1[[#This Row],[Product ID]],"P001",15,"P002",0,"P003",8,"P004",8,"P005",0,"P006",7,"P007",7,"P008",6,"P009",45,"P010",60)</f>
        <v>7</v>
      </c>
      <c r="V611" s="1">
        <f>Table1[[#This Row],[Shipping per Unit]]*Table1[[#This Row],[Quantity]]</f>
        <v>91</v>
      </c>
      <c r="W611" s="2">
        <f>IF(Table1[[#This Row],[Total Shipping]]&gt;0.1,0.2,0)</f>
        <v>0.2</v>
      </c>
      <c r="X611" s="4">
        <f>Table1[[#This Row],[Total Shipping]]*Table1[[#This Row],[VAT on Shipping]]</f>
        <v>18.2</v>
      </c>
      <c r="Y611" s="1">
        <f>Table1[[#This Row],[Revenue]]-Table1[[#This Row],[COGS]]</f>
        <v>171.59999999999997</v>
      </c>
      <c r="Z611" s="3">
        <f>(Table1[[#This Row],[Profit]]/Table1[[#This Row],[Revenue]])</f>
        <v>0.35483870967741932</v>
      </c>
      <c r="AA611" s="1">
        <f>Table1[[#This Row],[Profit]]-Table1[[#This Row],[Total Shipping]]</f>
        <v>80.599999999999966</v>
      </c>
      <c r="AB611" s="3">
        <f>Table1[[#This Row],[Operating Profit]]/Table1[[#This Row],[Revenue]]</f>
        <v>0.1666666666666666</v>
      </c>
    </row>
    <row r="612" spans="1:28" x14ac:dyDescent="0.25">
      <c r="A612" t="s">
        <v>293</v>
      </c>
      <c r="B612">
        <v>738</v>
      </c>
      <c r="C612" t="s">
        <v>62</v>
      </c>
      <c r="D612" t="s">
        <v>36</v>
      </c>
      <c r="E612" t="s">
        <v>31</v>
      </c>
      <c r="F612" t="s">
        <v>102</v>
      </c>
      <c r="G612" t="str" cm="1">
        <f t="array" ref="G612">_xlfn.SWITCH(F612,"Acme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612" t="s">
        <v>104</v>
      </c>
      <c r="I612" t="s">
        <v>60</v>
      </c>
      <c r="J612" t="str" cm="1">
        <f t="array" ref="J612">_xlfn.SWITCH(I612,"P001","Laptop","P002","Server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12" s="1" cm="1">
        <f t="array" ref="K612">_xlfn.SWITCH(Table1[[#This Row],[Product ID]],"P001",220,"P002",150,"P003",130,"P004",70,"P005",200,"P006",40,"P007",25,"P008",20,"P009",190,"P010",530)</f>
        <v>25</v>
      </c>
      <c r="L612">
        <v>2</v>
      </c>
      <c r="M612" s="1">
        <f>Table1[[#This Row],[Unit Price]]*Table1[[#This Row],[Quantity]]</f>
        <v>50</v>
      </c>
      <c r="N612" s="2">
        <v>0.1</v>
      </c>
      <c r="O612" s="1">
        <f>Table1[[#This Row],[Gross Value]]*(1-Table1[[#This Row],[Discount]])</f>
        <v>45</v>
      </c>
      <c r="P612" s="2">
        <v>0.2</v>
      </c>
      <c r="Q612" s="1">
        <f>Table1[[#This Row],[Revenue]]*Table1[[#This Row],[VAT Rate]]</f>
        <v>9</v>
      </c>
      <c r="R612" s="1">
        <f>Table1[[#This Row],[Revenue]]+Table1[[#This Row],[VAT Charged]]</f>
        <v>54</v>
      </c>
      <c r="S612" s="1" cm="1">
        <f t="array" ref="S612">_xlfn.SWITCH(Table1[[#This Row],[Product ID]],"P001",140,"P002",80,"P003",72,"P004",30,"P005",110,"P006",24,"P007",14,"P008",12,"P009",115,"P010",360)</f>
        <v>14</v>
      </c>
      <c r="T612" s="1" cm="1">
        <f t="array" ref="T612">(_xlfn.SWITCH(Table1[[#This Row],[Product ID]],"P001",140,"P002",80,"P003",72,"P004",30,"P005",110,"P006",24,"P007",14,"P008",12,"P009",115,"P010",360))*Table1[[#This Row],[Quantity]]</f>
        <v>28</v>
      </c>
      <c r="U612" s="1" cm="1">
        <f t="array" ref="U612">_xlfn.SWITCH(Table1[[#This Row],[Product ID]],"P001",15,"P002",0,"P003",8,"P004",8,"P005",0,"P006",7,"P007",7,"P008",6,"P009",45,"P010",60)</f>
        <v>7</v>
      </c>
      <c r="V612" s="1">
        <f>Table1[[#This Row],[Shipping per Unit]]*Table1[[#This Row],[Quantity]]</f>
        <v>14</v>
      </c>
      <c r="W612" s="2">
        <f>IF(Table1[[#This Row],[Total Shipping]]&gt;0.1,0.2,0)</f>
        <v>0.2</v>
      </c>
      <c r="X612" s="4">
        <f>Table1[[#This Row],[Total Shipping]]*Table1[[#This Row],[VAT on Shipping]]</f>
        <v>2.8000000000000003</v>
      </c>
      <c r="Y612" s="1">
        <f>Table1[[#This Row],[Revenue]]-Table1[[#This Row],[COGS]]</f>
        <v>17</v>
      </c>
      <c r="Z612" s="3">
        <f>(Table1[[#This Row],[Profit]]/Table1[[#This Row],[Revenue]])</f>
        <v>0.37777777777777777</v>
      </c>
      <c r="AA612" s="1">
        <f>Table1[[#This Row],[Profit]]-Table1[[#This Row],[Total Shipping]]</f>
        <v>3</v>
      </c>
      <c r="AB612" s="3">
        <f>Table1[[#This Row],[Operating Profit]]/Table1[[#This Row],[Revenue]]</f>
        <v>6.6666666666666666E-2</v>
      </c>
    </row>
    <row r="613" spans="1:28" x14ac:dyDescent="0.25">
      <c r="A613" t="s">
        <v>294</v>
      </c>
      <c r="B613">
        <v>274</v>
      </c>
      <c r="C613" t="s">
        <v>71</v>
      </c>
      <c r="D613" t="s">
        <v>53</v>
      </c>
      <c r="E613" t="s">
        <v>31</v>
      </c>
      <c r="F613" t="s">
        <v>76</v>
      </c>
      <c r="G613" t="str" cm="1">
        <f t="array" ref="G613">_xlfn.SWITCH(F613,"Acme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613" t="s">
        <v>45</v>
      </c>
      <c r="I613" t="s">
        <v>91</v>
      </c>
      <c r="J613" t="str" cm="1">
        <f t="array" ref="J613">_xlfn.SWITCH(I613,"P001","Laptop","P002","Server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13" s="1" cm="1">
        <f t="array" ref="K613">_xlfn.SWITCH(Table1[[#This Row],[Product ID]],"P001",220,"P002",150,"P003",130,"P004",70,"P005",200,"P006",40,"P007",25,"P008",20,"P009",190,"P010",530)</f>
        <v>190</v>
      </c>
      <c r="L613">
        <v>8</v>
      </c>
      <c r="M613" s="1">
        <f>Table1[[#This Row],[Unit Price]]*Table1[[#This Row],[Quantity]]</f>
        <v>1520</v>
      </c>
      <c r="N613" s="2">
        <v>0.04</v>
      </c>
      <c r="O613" s="1">
        <f>Table1[[#This Row],[Gross Value]]*(1-Table1[[#This Row],[Discount]])</f>
        <v>1459.2</v>
      </c>
      <c r="P613" s="2">
        <v>0.2</v>
      </c>
      <c r="Q613" s="1">
        <f>Table1[[#This Row],[Revenue]]*Table1[[#This Row],[VAT Rate]]</f>
        <v>291.84000000000003</v>
      </c>
      <c r="R613" s="1">
        <f>Table1[[#This Row],[Revenue]]+Table1[[#This Row],[VAT Charged]]</f>
        <v>1751.04</v>
      </c>
      <c r="S613" s="1" cm="1">
        <f t="array" ref="S613">_xlfn.SWITCH(Table1[[#This Row],[Product ID]],"P001",140,"P002",80,"P003",72,"P004",30,"P005",110,"P006",24,"P007",14,"P008",12,"P009",115,"P010",360)</f>
        <v>115</v>
      </c>
      <c r="T613" s="1" cm="1">
        <f t="array" ref="T613">(_xlfn.SWITCH(Table1[[#This Row],[Product ID]],"P001",140,"P002",80,"P003",72,"P004",30,"P005",110,"P006",24,"P007",14,"P008",12,"P009",115,"P010",360))*Table1[[#This Row],[Quantity]]</f>
        <v>920</v>
      </c>
      <c r="U613" s="1" cm="1">
        <f t="array" ref="U613">_xlfn.SWITCH(Table1[[#This Row],[Product ID]],"P001",15,"P002",0,"P003",8,"P004",8,"P005",0,"P006",7,"P007",7,"P008",6,"P009",45,"P010",60)</f>
        <v>45</v>
      </c>
      <c r="V613" s="1">
        <f>Table1[[#This Row],[Shipping per Unit]]*Table1[[#This Row],[Quantity]]</f>
        <v>360</v>
      </c>
      <c r="W613" s="2">
        <f>IF(Table1[[#This Row],[Total Shipping]]&gt;0.1,0.2,0)</f>
        <v>0.2</v>
      </c>
      <c r="X613" s="4">
        <f>Table1[[#This Row],[Total Shipping]]*Table1[[#This Row],[VAT on Shipping]]</f>
        <v>72</v>
      </c>
      <c r="Y613" s="1">
        <f>Table1[[#This Row],[Revenue]]-Table1[[#This Row],[COGS]]</f>
        <v>539.20000000000005</v>
      </c>
      <c r="Z613" s="3">
        <f>(Table1[[#This Row],[Profit]]/Table1[[#This Row],[Revenue]])</f>
        <v>0.36951754385964913</v>
      </c>
      <c r="AA613" s="1">
        <f>Table1[[#This Row],[Profit]]-Table1[[#This Row],[Total Shipping]]</f>
        <v>179.20000000000005</v>
      </c>
      <c r="AB613" s="3">
        <f>Table1[[#This Row],[Operating Profit]]/Table1[[#This Row],[Revenue]]</f>
        <v>0.12280701754385967</v>
      </c>
    </row>
    <row r="614" spans="1:28" x14ac:dyDescent="0.25">
      <c r="A614" t="s">
        <v>294</v>
      </c>
      <c r="B614">
        <v>512</v>
      </c>
      <c r="C614" t="s">
        <v>56</v>
      </c>
      <c r="D614" t="s">
        <v>72</v>
      </c>
      <c r="E614" t="s">
        <v>49</v>
      </c>
      <c r="F614" t="s">
        <v>54</v>
      </c>
      <c r="G614" t="str" cm="1">
        <f t="array" ref="G614">_xlfn.SWITCH(F614,"Acme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614" t="s">
        <v>33</v>
      </c>
      <c r="I614" t="s">
        <v>46</v>
      </c>
      <c r="J614" t="str" cm="1">
        <f t="array" ref="J614">_xlfn.SWITCH(I614,"P001","Laptop","P002","Server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14" s="1" cm="1">
        <f t="array" ref="K614">_xlfn.SWITCH(Table1[[#This Row],[Product ID]],"P001",220,"P002",150,"P003",130,"P004",70,"P005",200,"P006",40,"P007",25,"P008",20,"P009",190,"P010",530)</f>
        <v>530</v>
      </c>
      <c r="L614">
        <v>20</v>
      </c>
      <c r="M614" s="1">
        <f>Table1[[#This Row],[Unit Price]]*Table1[[#This Row],[Quantity]]</f>
        <v>10600</v>
      </c>
      <c r="N614" s="2">
        <v>0.08</v>
      </c>
      <c r="O614" s="1">
        <f>Table1[[#This Row],[Gross Value]]*(1-Table1[[#This Row],[Discount]])</f>
        <v>9752</v>
      </c>
      <c r="P614" s="2">
        <v>0.2</v>
      </c>
      <c r="Q614" s="1">
        <f>Table1[[#This Row],[Revenue]]*Table1[[#This Row],[VAT Rate]]</f>
        <v>1950.4</v>
      </c>
      <c r="R614" s="1">
        <f>Table1[[#This Row],[Revenue]]+Table1[[#This Row],[VAT Charged]]</f>
        <v>11702.4</v>
      </c>
      <c r="S614" s="1" cm="1">
        <f t="array" ref="S614">_xlfn.SWITCH(Table1[[#This Row],[Product ID]],"P001",140,"P002",80,"P003",72,"P004",30,"P005",110,"P006",24,"P007",14,"P008",12,"P009",115,"P010",360)</f>
        <v>360</v>
      </c>
      <c r="T614" s="1" cm="1">
        <f t="array" ref="T614">(_xlfn.SWITCH(Table1[[#This Row],[Product ID]],"P001",140,"P002",80,"P003",72,"P004",30,"P005",110,"P006",24,"P007",14,"P008",12,"P009",115,"P010",360))*Table1[[#This Row],[Quantity]]</f>
        <v>7200</v>
      </c>
      <c r="U614" s="1" cm="1">
        <f t="array" ref="U614">_xlfn.SWITCH(Table1[[#This Row],[Product ID]],"P001",15,"P002",0,"P003",8,"P004",8,"P005",0,"P006",7,"P007",7,"P008",6,"P009",45,"P010",60)</f>
        <v>60</v>
      </c>
      <c r="V614" s="1">
        <f>Table1[[#This Row],[Shipping per Unit]]*Table1[[#This Row],[Quantity]]</f>
        <v>1200</v>
      </c>
      <c r="W614" s="2">
        <f>IF(Table1[[#This Row],[Total Shipping]]&gt;0.1,0.2,0)</f>
        <v>0.2</v>
      </c>
      <c r="X614" s="4">
        <f>Table1[[#This Row],[Total Shipping]]*Table1[[#This Row],[VAT on Shipping]]</f>
        <v>240</v>
      </c>
      <c r="Y614" s="1">
        <f>Table1[[#This Row],[Revenue]]-Table1[[#This Row],[COGS]]</f>
        <v>2552</v>
      </c>
      <c r="Z614" s="3">
        <f>(Table1[[#This Row],[Profit]]/Table1[[#This Row],[Revenue]])</f>
        <v>0.2616899097621001</v>
      </c>
      <c r="AA614" s="1">
        <f>Table1[[#This Row],[Profit]]-Table1[[#This Row],[Total Shipping]]</f>
        <v>1352</v>
      </c>
      <c r="AB614" s="3">
        <f>Table1[[#This Row],[Operating Profit]]/Table1[[#This Row],[Revenue]]</f>
        <v>0.13863822805578344</v>
      </c>
    </row>
    <row r="615" spans="1:28" x14ac:dyDescent="0.25">
      <c r="A615" t="s">
        <v>295</v>
      </c>
      <c r="B615">
        <v>277</v>
      </c>
      <c r="C615" t="s">
        <v>29</v>
      </c>
      <c r="D615" t="s">
        <v>63</v>
      </c>
      <c r="E615" t="s">
        <v>40</v>
      </c>
      <c r="F615" t="s">
        <v>87</v>
      </c>
      <c r="G615" t="str" cm="1">
        <f t="array" ref="G615">_xlfn.SWITCH(F615,"Acme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615" t="s">
        <v>45</v>
      </c>
      <c r="I615" t="s">
        <v>42</v>
      </c>
      <c r="J615" t="str" cm="1">
        <f t="array" ref="J615">_xlfn.SWITCH(I615,"P001","Laptop","P002","Server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15" s="1" cm="1">
        <f t="array" ref="K615">_xlfn.SWITCH(Table1[[#This Row],[Product ID]],"P001",220,"P002",150,"P003",130,"P004",70,"P005",200,"P006",40,"P007",25,"P008",20,"P009",190,"P010",530)</f>
        <v>40</v>
      </c>
      <c r="L615">
        <v>18</v>
      </c>
      <c r="M615" s="1">
        <f>Table1[[#This Row],[Unit Price]]*Table1[[#This Row],[Quantity]]</f>
        <v>720</v>
      </c>
      <c r="N615" s="2">
        <v>0.06</v>
      </c>
      <c r="O615" s="1">
        <f>Table1[[#This Row],[Gross Value]]*(1-Table1[[#This Row],[Discount]])</f>
        <v>676.8</v>
      </c>
      <c r="P615" s="2">
        <v>0.2</v>
      </c>
      <c r="Q615" s="1">
        <f>Table1[[#This Row],[Revenue]]*Table1[[#This Row],[VAT Rate]]</f>
        <v>135.35999999999999</v>
      </c>
      <c r="R615" s="1">
        <f>Table1[[#This Row],[Revenue]]+Table1[[#This Row],[VAT Charged]]</f>
        <v>812.16</v>
      </c>
      <c r="S615" s="1" cm="1">
        <f t="array" ref="S615">_xlfn.SWITCH(Table1[[#This Row],[Product ID]],"P001",140,"P002",80,"P003",72,"P004",30,"P005",110,"P006",24,"P007",14,"P008",12,"P009",115,"P010",360)</f>
        <v>24</v>
      </c>
      <c r="T615" s="1" cm="1">
        <f t="array" ref="T615">(_xlfn.SWITCH(Table1[[#This Row],[Product ID]],"P001",140,"P002",80,"P003",72,"P004",30,"P005",110,"P006",24,"P007",14,"P008",12,"P009",115,"P010",360))*Table1[[#This Row],[Quantity]]</f>
        <v>432</v>
      </c>
      <c r="U615" s="1" cm="1">
        <f t="array" ref="U615">_xlfn.SWITCH(Table1[[#This Row],[Product ID]],"P001",15,"P002",0,"P003",8,"P004",8,"P005",0,"P006",7,"P007",7,"P008",6,"P009",45,"P010",60)</f>
        <v>7</v>
      </c>
      <c r="V615" s="1">
        <f>Table1[[#This Row],[Shipping per Unit]]*Table1[[#This Row],[Quantity]]</f>
        <v>126</v>
      </c>
      <c r="W615" s="2">
        <f>IF(Table1[[#This Row],[Total Shipping]]&gt;0.1,0.2,0)</f>
        <v>0.2</v>
      </c>
      <c r="X615" s="4">
        <f>Table1[[#This Row],[Total Shipping]]*Table1[[#This Row],[VAT on Shipping]]</f>
        <v>25.200000000000003</v>
      </c>
      <c r="Y615" s="1">
        <f>Table1[[#This Row],[Revenue]]-Table1[[#This Row],[COGS]]</f>
        <v>244.79999999999995</v>
      </c>
      <c r="Z615" s="3">
        <f>(Table1[[#This Row],[Profit]]/Table1[[#This Row],[Revenue]])</f>
        <v>0.36170212765957444</v>
      </c>
      <c r="AA615" s="1">
        <f>Table1[[#This Row],[Profit]]-Table1[[#This Row],[Total Shipping]]</f>
        <v>118.79999999999995</v>
      </c>
      <c r="AB615" s="3">
        <f>Table1[[#This Row],[Operating Profit]]/Table1[[#This Row],[Revenue]]</f>
        <v>0.17553191489361697</v>
      </c>
    </row>
    <row r="616" spans="1:28" x14ac:dyDescent="0.25">
      <c r="A616" t="s">
        <v>295</v>
      </c>
      <c r="B616">
        <v>691</v>
      </c>
      <c r="C616" t="s">
        <v>29</v>
      </c>
      <c r="D616" t="s">
        <v>57</v>
      </c>
      <c r="E616" t="s">
        <v>40</v>
      </c>
      <c r="F616" t="s">
        <v>84</v>
      </c>
      <c r="G616" t="str" cm="1">
        <f t="array" ref="G616">_xlfn.SWITCH(F616,"Acme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616" t="s">
        <v>45</v>
      </c>
      <c r="I616" t="s">
        <v>42</v>
      </c>
      <c r="J616" t="str" cm="1">
        <f t="array" ref="J616">_xlfn.SWITCH(I616,"P001","Laptop","P002","Server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16" s="1" cm="1">
        <f t="array" ref="K616">_xlfn.SWITCH(Table1[[#This Row],[Product ID]],"P001",220,"P002",150,"P003",130,"P004",70,"P005",200,"P006",40,"P007",25,"P008",20,"P009",190,"P010",530)</f>
        <v>40</v>
      </c>
      <c r="L616">
        <v>13</v>
      </c>
      <c r="M616" s="1">
        <f>Table1[[#This Row],[Unit Price]]*Table1[[#This Row],[Quantity]]</f>
        <v>520</v>
      </c>
      <c r="N616" s="2">
        <v>0.03</v>
      </c>
      <c r="O616" s="1">
        <f>Table1[[#This Row],[Gross Value]]*(1-Table1[[#This Row],[Discount]])</f>
        <v>504.4</v>
      </c>
      <c r="P616" s="2">
        <v>0.2</v>
      </c>
      <c r="Q616" s="1">
        <f>Table1[[#This Row],[Revenue]]*Table1[[#This Row],[VAT Rate]]</f>
        <v>100.88</v>
      </c>
      <c r="R616" s="1">
        <f>Table1[[#This Row],[Revenue]]+Table1[[#This Row],[VAT Charged]]</f>
        <v>605.28</v>
      </c>
      <c r="S616" s="1" cm="1">
        <f t="array" ref="S616">_xlfn.SWITCH(Table1[[#This Row],[Product ID]],"P001",140,"P002",80,"P003",72,"P004",30,"P005",110,"P006",24,"P007",14,"P008",12,"P009",115,"P010",360)</f>
        <v>24</v>
      </c>
      <c r="T616" s="1" cm="1">
        <f t="array" ref="T616">(_xlfn.SWITCH(Table1[[#This Row],[Product ID]],"P001",140,"P002",80,"P003",72,"P004",30,"P005",110,"P006",24,"P007",14,"P008",12,"P009",115,"P010",360))*Table1[[#This Row],[Quantity]]</f>
        <v>312</v>
      </c>
      <c r="U616" s="1" cm="1">
        <f t="array" ref="U616">_xlfn.SWITCH(Table1[[#This Row],[Product ID]],"P001",15,"P002",0,"P003",8,"P004",8,"P005",0,"P006",7,"P007",7,"P008",6,"P009",45,"P010",60)</f>
        <v>7</v>
      </c>
      <c r="V616" s="1">
        <f>Table1[[#This Row],[Shipping per Unit]]*Table1[[#This Row],[Quantity]]</f>
        <v>91</v>
      </c>
      <c r="W616" s="2">
        <f>IF(Table1[[#This Row],[Total Shipping]]&gt;0.1,0.2,0)</f>
        <v>0.2</v>
      </c>
      <c r="X616" s="4">
        <f>Table1[[#This Row],[Total Shipping]]*Table1[[#This Row],[VAT on Shipping]]</f>
        <v>18.2</v>
      </c>
      <c r="Y616" s="1">
        <f>Table1[[#This Row],[Revenue]]-Table1[[#This Row],[COGS]]</f>
        <v>192.39999999999998</v>
      </c>
      <c r="Z616" s="3">
        <f>(Table1[[#This Row],[Profit]]/Table1[[#This Row],[Revenue]])</f>
        <v>0.38144329896907214</v>
      </c>
      <c r="AA616" s="1">
        <f>Table1[[#This Row],[Profit]]-Table1[[#This Row],[Total Shipping]]</f>
        <v>101.39999999999998</v>
      </c>
      <c r="AB616" s="3">
        <f>Table1[[#This Row],[Operating Profit]]/Table1[[#This Row],[Revenue]]</f>
        <v>0.2010309278350515</v>
      </c>
    </row>
    <row r="617" spans="1:28" x14ac:dyDescent="0.25">
      <c r="A617" t="s">
        <v>295</v>
      </c>
      <c r="B617">
        <v>717</v>
      </c>
      <c r="C617" t="s">
        <v>29</v>
      </c>
      <c r="D617" t="s">
        <v>48</v>
      </c>
      <c r="E617" t="s">
        <v>31</v>
      </c>
      <c r="F617" t="s">
        <v>79</v>
      </c>
      <c r="G617" t="str" cm="1">
        <f t="array" ref="G617">_xlfn.SWITCH(F617,"Acme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17" t="s">
        <v>58</v>
      </c>
      <c r="I617" t="s">
        <v>60</v>
      </c>
      <c r="J617" t="str" cm="1">
        <f t="array" ref="J617">_xlfn.SWITCH(I617,"P001","Laptop","P002","Server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17" s="1" cm="1">
        <f t="array" ref="K617">_xlfn.SWITCH(Table1[[#This Row],[Product ID]],"P001",220,"P002",150,"P003",130,"P004",70,"P005",200,"P006",40,"P007",25,"P008",20,"P009",190,"P010",530)</f>
        <v>25</v>
      </c>
      <c r="L617">
        <v>12</v>
      </c>
      <c r="M617" s="1">
        <f>Table1[[#This Row],[Unit Price]]*Table1[[#This Row],[Quantity]]</f>
        <v>300</v>
      </c>
      <c r="N617" s="2">
        <v>0.1</v>
      </c>
      <c r="O617" s="1">
        <f>Table1[[#This Row],[Gross Value]]*(1-Table1[[#This Row],[Discount]])</f>
        <v>270</v>
      </c>
      <c r="P617" s="2">
        <v>0.2</v>
      </c>
      <c r="Q617" s="1">
        <f>Table1[[#This Row],[Revenue]]*Table1[[#This Row],[VAT Rate]]</f>
        <v>54</v>
      </c>
      <c r="R617" s="1">
        <f>Table1[[#This Row],[Revenue]]+Table1[[#This Row],[VAT Charged]]</f>
        <v>324</v>
      </c>
      <c r="S617" s="1" cm="1">
        <f t="array" ref="S617">_xlfn.SWITCH(Table1[[#This Row],[Product ID]],"P001",140,"P002",80,"P003",72,"P004",30,"P005",110,"P006",24,"P007",14,"P008",12,"P009",115,"P010",360)</f>
        <v>14</v>
      </c>
      <c r="T617" s="1" cm="1">
        <f t="array" ref="T617">(_xlfn.SWITCH(Table1[[#This Row],[Product ID]],"P001",140,"P002",80,"P003",72,"P004",30,"P005",110,"P006",24,"P007",14,"P008",12,"P009",115,"P010",360))*Table1[[#This Row],[Quantity]]</f>
        <v>168</v>
      </c>
      <c r="U617" s="1" cm="1">
        <f t="array" ref="U617">_xlfn.SWITCH(Table1[[#This Row],[Product ID]],"P001",15,"P002",0,"P003",8,"P004",8,"P005",0,"P006",7,"P007",7,"P008",6,"P009",45,"P010",60)</f>
        <v>7</v>
      </c>
      <c r="V617" s="1">
        <f>Table1[[#This Row],[Shipping per Unit]]*Table1[[#This Row],[Quantity]]</f>
        <v>84</v>
      </c>
      <c r="W617" s="2">
        <f>IF(Table1[[#This Row],[Total Shipping]]&gt;0.1,0.2,0)</f>
        <v>0.2</v>
      </c>
      <c r="X617" s="4">
        <f>Table1[[#This Row],[Total Shipping]]*Table1[[#This Row],[VAT on Shipping]]</f>
        <v>16.8</v>
      </c>
      <c r="Y617" s="1">
        <f>Table1[[#This Row],[Revenue]]-Table1[[#This Row],[COGS]]</f>
        <v>102</v>
      </c>
      <c r="Z617" s="3">
        <f>(Table1[[#This Row],[Profit]]/Table1[[#This Row],[Revenue]])</f>
        <v>0.37777777777777777</v>
      </c>
      <c r="AA617" s="1">
        <f>Table1[[#This Row],[Profit]]-Table1[[#This Row],[Total Shipping]]</f>
        <v>18</v>
      </c>
      <c r="AB617" s="3">
        <f>Table1[[#This Row],[Operating Profit]]/Table1[[#This Row],[Revenue]]</f>
        <v>6.6666666666666666E-2</v>
      </c>
    </row>
    <row r="618" spans="1:28" x14ac:dyDescent="0.25">
      <c r="A618" t="s">
        <v>295</v>
      </c>
      <c r="B618">
        <v>933</v>
      </c>
      <c r="C618" t="s">
        <v>62</v>
      </c>
      <c r="D618" t="s">
        <v>72</v>
      </c>
      <c r="E618" t="s">
        <v>49</v>
      </c>
      <c r="F618" t="s">
        <v>76</v>
      </c>
      <c r="G618" t="str" cm="1">
        <f t="array" ref="G618">_xlfn.SWITCH(F618,"Acme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618" t="s">
        <v>33</v>
      </c>
      <c r="I618" t="s">
        <v>75</v>
      </c>
      <c r="J618" t="str" cm="1">
        <f t="array" ref="J618">_xlfn.SWITCH(I618,"P001","Laptop","P002","Server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618" s="1" cm="1">
        <f t="array" ref="K618">_xlfn.SWITCH(Table1[[#This Row],[Product ID]],"P001",220,"P002",150,"P003",130,"P004",70,"P005",200,"P006",40,"P007",25,"P008",20,"P009",190,"P010",530)</f>
        <v>200</v>
      </c>
      <c r="L618">
        <v>3</v>
      </c>
      <c r="M618" s="1">
        <f>Table1[[#This Row],[Unit Price]]*Table1[[#This Row],[Quantity]]</f>
        <v>600</v>
      </c>
      <c r="N618" s="2">
        <v>0.05</v>
      </c>
      <c r="O618" s="1">
        <f>Table1[[#This Row],[Gross Value]]*(1-Table1[[#This Row],[Discount]])</f>
        <v>570</v>
      </c>
      <c r="P618" s="2">
        <v>0.2</v>
      </c>
      <c r="Q618" s="1">
        <f>Table1[[#This Row],[Revenue]]*Table1[[#This Row],[VAT Rate]]</f>
        <v>114</v>
      </c>
      <c r="R618" s="1">
        <f>Table1[[#This Row],[Revenue]]+Table1[[#This Row],[VAT Charged]]</f>
        <v>684</v>
      </c>
      <c r="S618" s="1" cm="1">
        <f t="array" ref="S618">_xlfn.SWITCH(Table1[[#This Row],[Product ID]],"P001",140,"P002",80,"P003",72,"P004",30,"P005",110,"P006",24,"P007",14,"P008",12,"P009",115,"P010",360)</f>
        <v>110</v>
      </c>
      <c r="T618" s="1" cm="1">
        <f t="array" ref="T618">(_xlfn.SWITCH(Table1[[#This Row],[Product ID]],"P001",140,"P002",80,"P003",72,"P004",30,"P005",110,"P006",24,"P007",14,"P008",12,"P009",115,"P010",360))*Table1[[#This Row],[Quantity]]</f>
        <v>330</v>
      </c>
      <c r="U618" s="1" cm="1">
        <f t="array" ref="U618">_xlfn.SWITCH(Table1[[#This Row],[Product ID]],"P001",15,"P002",0,"P003",8,"P004",8,"P005",0,"P006",7,"P007",7,"P008",6,"P009",45,"P010",60)</f>
        <v>0</v>
      </c>
      <c r="V618" s="1">
        <f>Table1[[#This Row],[Shipping per Unit]]*Table1[[#This Row],[Quantity]]</f>
        <v>0</v>
      </c>
      <c r="W618" s="2">
        <f>IF(Table1[[#This Row],[Total Shipping]]&gt;0.1,0.2,0)</f>
        <v>0</v>
      </c>
      <c r="X618" s="4">
        <f>Table1[[#This Row],[Total Shipping]]*Table1[[#This Row],[VAT on Shipping]]</f>
        <v>0</v>
      </c>
      <c r="Y618" s="1">
        <f>Table1[[#This Row],[Revenue]]-Table1[[#This Row],[COGS]]</f>
        <v>240</v>
      </c>
      <c r="Z618" s="3">
        <f>(Table1[[#This Row],[Profit]]/Table1[[#This Row],[Revenue]])</f>
        <v>0.42105263157894735</v>
      </c>
      <c r="AA618" s="1">
        <f>Table1[[#This Row],[Profit]]-Table1[[#This Row],[Total Shipping]]</f>
        <v>240</v>
      </c>
      <c r="AB618" s="3">
        <f>Table1[[#This Row],[Operating Profit]]/Table1[[#This Row],[Revenue]]</f>
        <v>0.42105263157894735</v>
      </c>
    </row>
    <row r="619" spans="1:28" x14ac:dyDescent="0.25">
      <c r="A619" t="s">
        <v>296</v>
      </c>
      <c r="B619">
        <v>801</v>
      </c>
      <c r="C619" t="s">
        <v>65</v>
      </c>
      <c r="D619" t="s">
        <v>39</v>
      </c>
      <c r="E619" t="s">
        <v>31</v>
      </c>
      <c r="F619" t="s">
        <v>98</v>
      </c>
      <c r="G619" t="str" cm="1">
        <f t="array" ref="G619">_xlfn.SWITCH(F619,"Acme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619" t="s">
        <v>58</v>
      </c>
      <c r="I619" t="s">
        <v>70</v>
      </c>
      <c r="J619" t="str" cm="1">
        <f t="array" ref="J619">_xlfn.SWITCH(I619,"P001","Laptop","P002","Server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619" s="1" cm="1">
        <f t="array" ref="K619">_xlfn.SWITCH(Table1[[#This Row],[Product ID]],"P001",220,"P002",150,"P003",130,"P004",70,"P005",200,"P006",40,"P007",25,"P008",20,"P009",190,"P010",530)</f>
        <v>150</v>
      </c>
      <c r="L619">
        <v>15</v>
      </c>
      <c r="M619" s="1">
        <f>Table1[[#This Row],[Unit Price]]*Table1[[#This Row],[Quantity]]</f>
        <v>2250</v>
      </c>
      <c r="N619" s="2">
        <v>0.04</v>
      </c>
      <c r="O619" s="1">
        <f>Table1[[#This Row],[Gross Value]]*(1-Table1[[#This Row],[Discount]])</f>
        <v>2160</v>
      </c>
      <c r="P619" s="2">
        <v>0.2</v>
      </c>
      <c r="Q619" s="1">
        <f>Table1[[#This Row],[Revenue]]*Table1[[#This Row],[VAT Rate]]</f>
        <v>432</v>
      </c>
      <c r="R619" s="1">
        <f>Table1[[#This Row],[Revenue]]+Table1[[#This Row],[VAT Charged]]</f>
        <v>2592</v>
      </c>
      <c r="S619" s="1" cm="1">
        <f t="array" ref="S619">_xlfn.SWITCH(Table1[[#This Row],[Product ID]],"P001",140,"P002",80,"P003",72,"P004",30,"P005",110,"P006",24,"P007",14,"P008",12,"P009",115,"P010",360)</f>
        <v>80</v>
      </c>
      <c r="T619" s="1" cm="1">
        <f t="array" ref="T619">(_xlfn.SWITCH(Table1[[#This Row],[Product ID]],"P001",140,"P002",80,"P003",72,"P004",30,"P005",110,"P006",24,"P007",14,"P008",12,"P009",115,"P010",360))*Table1[[#This Row],[Quantity]]</f>
        <v>1200</v>
      </c>
      <c r="U619" s="1" cm="1">
        <f t="array" ref="U619">_xlfn.SWITCH(Table1[[#This Row],[Product ID]],"P001",15,"P002",0,"P003",8,"P004",8,"P005",0,"P006",7,"P007",7,"P008",6,"P009",45,"P010",60)</f>
        <v>0</v>
      </c>
      <c r="V619" s="1">
        <f>Table1[[#This Row],[Shipping per Unit]]*Table1[[#This Row],[Quantity]]</f>
        <v>0</v>
      </c>
      <c r="W619" s="2">
        <f>IF(Table1[[#This Row],[Total Shipping]]&gt;0.1,0.2,0)</f>
        <v>0</v>
      </c>
      <c r="X619" s="4">
        <f>Table1[[#This Row],[Total Shipping]]*Table1[[#This Row],[VAT on Shipping]]</f>
        <v>0</v>
      </c>
      <c r="Y619" s="1">
        <f>Table1[[#This Row],[Revenue]]-Table1[[#This Row],[COGS]]</f>
        <v>960</v>
      </c>
      <c r="Z619" s="3">
        <f>(Table1[[#This Row],[Profit]]/Table1[[#This Row],[Revenue]])</f>
        <v>0.44444444444444442</v>
      </c>
      <c r="AA619" s="1">
        <f>Table1[[#This Row],[Profit]]-Table1[[#This Row],[Total Shipping]]</f>
        <v>960</v>
      </c>
      <c r="AB619" s="3">
        <f>Table1[[#This Row],[Operating Profit]]/Table1[[#This Row],[Revenue]]</f>
        <v>0.44444444444444442</v>
      </c>
    </row>
    <row r="620" spans="1:28" x14ac:dyDescent="0.25">
      <c r="A620" t="s">
        <v>297</v>
      </c>
      <c r="B620">
        <v>465</v>
      </c>
      <c r="C620" t="s">
        <v>71</v>
      </c>
      <c r="D620" t="s">
        <v>48</v>
      </c>
      <c r="E620" t="s">
        <v>31</v>
      </c>
      <c r="F620" t="s">
        <v>97</v>
      </c>
      <c r="G620" t="str" cm="1">
        <f t="array" ref="G620">_xlfn.SWITCH(F620,"Acme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620" t="s">
        <v>69</v>
      </c>
      <c r="I620" t="s">
        <v>46</v>
      </c>
      <c r="J620" t="str" cm="1">
        <f t="array" ref="J620">_xlfn.SWITCH(I620,"P001","Laptop","P002","Server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20" s="1" cm="1">
        <f t="array" ref="K620">_xlfn.SWITCH(Table1[[#This Row],[Product ID]],"P001",220,"P002",150,"P003",130,"P004",70,"P005",200,"P006",40,"P007",25,"P008",20,"P009",190,"P010",530)</f>
        <v>530</v>
      </c>
      <c r="L620">
        <v>1</v>
      </c>
      <c r="M620" s="1">
        <f>Table1[[#This Row],[Unit Price]]*Table1[[#This Row],[Quantity]]</f>
        <v>530</v>
      </c>
      <c r="N620" s="2">
        <v>7.0000000000000007E-2</v>
      </c>
      <c r="O620" s="1">
        <f>Table1[[#This Row],[Gross Value]]*(1-Table1[[#This Row],[Discount]])</f>
        <v>492.9</v>
      </c>
      <c r="P620" s="2">
        <v>0.2</v>
      </c>
      <c r="Q620" s="1">
        <f>Table1[[#This Row],[Revenue]]*Table1[[#This Row],[VAT Rate]]</f>
        <v>98.58</v>
      </c>
      <c r="R620" s="1">
        <f>Table1[[#This Row],[Revenue]]+Table1[[#This Row],[VAT Charged]]</f>
        <v>591.48</v>
      </c>
      <c r="S620" s="1" cm="1">
        <f t="array" ref="S620">_xlfn.SWITCH(Table1[[#This Row],[Product ID]],"P001",140,"P002",80,"P003",72,"P004",30,"P005",110,"P006",24,"P007",14,"P008",12,"P009",115,"P010",360)</f>
        <v>360</v>
      </c>
      <c r="T620" s="1" cm="1">
        <f t="array" ref="T620">(_xlfn.SWITCH(Table1[[#This Row],[Product ID]],"P001",140,"P002",80,"P003",72,"P004",30,"P005",110,"P006",24,"P007",14,"P008",12,"P009",115,"P010",360))*Table1[[#This Row],[Quantity]]</f>
        <v>360</v>
      </c>
      <c r="U620" s="1" cm="1">
        <f t="array" ref="U620">_xlfn.SWITCH(Table1[[#This Row],[Product ID]],"P001",15,"P002",0,"P003",8,"P004",8,"P005",0,"P006",7,"P007",7,"P008",6,"P009",45,"P010",60)</f>
        <v>60</v>
      </c>
      <c r="V620" s="1">
        <f>Table1[[#This Row],[Shipping per Unit]]*Table1[[#This Row],[Quantity]]</f>
        <v>60</v>
      </c>
      <c r="W620" s="2">
        <f>IF(Table1[[#This Row],[Total Shipping]]&gt;0.1,0.2,0)</f>
        <v>0.2</v>
      </c>
      <c r="X620" s="4">
        <f>Table1[[#This Row],[Total Shipping]]*Table1[[#This Row],[VAT on Shipping]]</f>
        <v>12</v>
      </c>
      <c r="Y620" s="1">
        <f>Table1[[#This Row],[Revenue]]-Table1[[#This Row],[COGS]]</f>
        <v>132.89999999999998</v>
      </c>
      <c r="Z620" s="3">
        <f>(Table1[[#This Row],[Profit]]/Table1[[#This Row],[Revenue]])</f>
        <v>0.26962872793670112</v>
      </c>
      <c r="AA620" s="1">
        <f>Table1[[#This Row],[Profit]]-Table1[[#This Row],[Total Shipping]]</f>
        <v>72.899999999999977</v>
      </c>
      <c r="AB620" s="3">
        <f>Table1[[#This Row],[Operating Profit]]/Table1[[#This Row],[Revenue]]</f>
        <v>0.14790018259281798</v>
      </c>
    </row>
    <row r="621" spans="1:28" x14ac:dyDescent="0.25">
      <c r="A621" t="s">
        <v>297</v>
      </c>
      <c r="B621">
        <v>651</v>
      </c>
      <c r="C621" t="s">
        <v>62</v>
      </c>
      <c r="D621" t="s">
        <v>48</v>
      </c>
      <c r="E621" t="s">
        <v>49</v>
      </c>
      <c r="F621" t="s">
        <v>32</v>
      </c>
      <c r="G621" t="str" cm="1">
        <f t="array" ref="G621">_xlfn.SWITCH(F621,"Acme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621" t="s">
        <v>45</v>
      </c>
      <c r="I621" t="s">
        <v>42</v>
      </c>
      <c r="J621" t="str" cm="1">
        <f t="array" ref="J621">_xlfn.SWITCH(I621,"P001","Laptop","P002","Server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21" s="1" cm="1">
        <f t="array" ref="K621">_xlfn.SWITCH(Table1[[#This Row],[Product ID]],"P001",220,"P002",150,"P003",130,"P004",70,"P005",200,"P006",40,"P007",25,"P008",20,"P009",190,"P010",530)</f>
        <v>40</v>
      </c>
      <c r="L621">
        <v>20</v>
      </c>
      <c r="M621" s="1">
        <f>Table1[[#This Row],[Unit Price]]*Table1[[#This Row],[Quantity]]</f>
        <v>800</v>
      </c>
      <c r="N621" s="2">
        <v>7.0000000000000007E-2</v>
      </c>
      <c r="O621" s="1">
        <f>Table1[[#This Row],[Gross Value]]*(1-Table1[[#This Row],[Discount]])</f>
        <v>744</v>
      </c>
      <c r="P621" s="2">
        <v>0.2</v>
      </c>
      <c r="Q621" s="1">
        <f>Table1[[#This Row],[Revenue]]*Table1[[#This Row],[VAT Rate]]</f>
        <v>148.80000000000001</v>
      </c>
      <c r="R621" s="1">
        <f>Table1[[#This Row],[Revenue]]+Table1[[#This Row],[VAT Charged]]</f>
        <v>892.8</v>
      </c>
      <c r="S621" s="1" cm="1">
        <f t="array" ref="S621">_xlfn.SWITCH(Table1[[#This Row],[Product ID]],"P001",140,"P002",80,"P003",72,"P004",30,"P005",110,"P006",24,"P007",14,"P008",12,"P009",115,"P010",360)</f>
        <v>24</v>
      </c>
      <c r="T621" s="1" cm="1">
        <f t="array" ref="T621">(_xlfn.SWITCH(Table1[[#This Row],[Product ID]],"P001",140,"P002",80,"P003",72,"P004",30,"P005",110,"P006",24,"P007",14,"P008",12,"P009",115,"P010",360))*Table1[[#This Row],[Quantity]]</f>
        <v>480</v>
      </c>
      <c r="U621" s="1" cm="1">
        <f t="array" ref="U621">_xlfn.SWITCH(Table1[[#This Row],[Product ID]],"P001",15,"P002",0,"P003",8,"P004",8,"P005",0,"P006",7,"P007",7,"P008",6,"P009",45,"P010",60)</f>
        <v>7</v>
      </c>
      <c r="V621" s="1">
        <f>Table1[[#This Row],[Shipping per Unit]]*Table1[[#This Row],[Quantity]]</f>
        <v>140</v>
      </c>
      <c r="W621" s="2">
        <f>IF(Table1[[#This Row],[Total Shipping]]&gt;0.1,0.2,0)</f>
        <v>0.2</v>
      </c>
      <c r="X621" s="4">
        <f>Table1[[#This Row],[Total Shipping]]*Table1[[#This Row],[VAT on Shipping]]</f>
        <v>28</v>
      </c>
      <c r="Y621" s="1">
        <f>Table1[[#This Row],[Revenue]]-Table1[[#This Row],[COGS]]</f>
        <v>264</v>
      </c>
      <c r="Z621" s="3">
        <f>(Table1[[#This Row],[Profit]]/Table1[[#This Row],[Revenue]])</f>
        <v>0.35483870967741937</v>
      </c>
      <c r="AA621" s="1">
        <f>Table1[[#This Row],[Profit]]-Table1[[#This Row],[Total Shipping]]</f>
        <v>124</v>
      </c>
      <c r="AB621" s="3">
        <f>Table1[[#This Row],[Operating Profit]]/Table1[[#This Row],[Revenue]]</f>
        <v>0.16666666666666666</v>
      </c>
    </row>
    <row r="622" spans="1:28" x14ac:dyDescent="0.25">
      <c r="A622" t="s">
        <v>297</v>
      </c>
      <c r="B622">
        <v>660</v>
      </c>
      <c r="C622" t="s">
        <v>35</v>
      </c>
      <c r="D622" t="s">
        <v>63</v>
      </c>
      <c r="E622" t="s">
        <v>40</v>
      </c>
      <c r="F622" t="s">
        <v>64</v>
      </c>
      <c r="G622" t="str" cm="1">
        <f t="array" ref="G622">_xlfn.SWITCH(F622,"Acme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622" t="s">
        <v>104</v>
      </c>
      <c r="I622" t="s">
        <v>60</v>
      </c>
      <c r="J622" t="str" cm="1">
        <f t="array" ref="J622">_xlfn.SWITCH(I622,"P001","Laptop","P002","Server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22" s="1" cm="1">
        <f t="array" ref="K622">_xlfn.SWITCH(Table1[[#This Row],[Product ID]],"P001",220,"P002",150,"P003",130,"P004",70,"P005",200,"P006",40,"P007",25,"P008",20,"P009",190,"P010",530)</f>
        <v>25</v>
      </c>
      <c r="L622">
        <v>6</v>
      </c>
      <c r="M622" s="1">
        <f>Table1[[#This Row],[Unit Price]]*Table1[[#This Row],[Quantity]]</f>
        <v>150</v>
      </c>
      <c r="N622" s="2">
        <v>0.03</v>
      </c>
      <c r="O622" s="1">
        <f>Table1[[#This Row],[Gross Value]]*(1-Table1[[#This Row],[Discount]])</f>
        <v>145.5</v>
      </c>
      <c r="P622" s="2">
        <v>0.2</v>
      </c>
      <c r="Q622" s="1">
        <f>Table1[[#This Row],[Revenue]]*Table1[[#This Row],[VAT Rate]]</f>
        <v>29.1</v>
      </c>
      <c r="R622" s="1">
        <f>Table1[[#This Row],[Revenue]]+Table1[[#This Row],[VAT Charged]]</f>
        <v>174.6</v>
      </c>
      <c r="S622" s="1" cm="1">
        <f t="array" ref="S622">_xlfn.SWITCH(Table1[[#This Row],[Product ID]],"P001",140,"P002",80,"P003",72,"P004",30,"P005",110,"P006",24,"P007",14,"P008",12,"P009",115,"P010",360)</f>
        <v>14</v>
      </c>
      <c r="T622" s="1" cm="1">
        <f t="array" ref="T622">(_xlfn.SWITCH(Table1[[#This Row],[Product ID]],"P001",140,"P002",80,"P003",72,"P004",30,"P005",110,"P006",24,"P007",14,"P008",12,"P009",115,"P010",360))*Table1[[#This Row],[Quantity]]</f>
        <v>84</v>
      </c>
      <c r="U622" s="1" cm="1">
        <f t="array" ref="U622">_xlfn.SWITCH(Table1[[#This Row],[Product ID]],"P001",15,"P002",0,"P003",8,"P004",8,"P005",0,"P006",7,"P007",7,"P008",6,"P009",45,"P010",60)</f>
        <v>7</v>
      </c>
      <c r="V622" s="1">
        <f>Table1[[#This Row],[Shipping per Unit]]*Table1[[#This Row],[Quantity]]</f>
        <v>42</v>
      </c>
      <c r="W622" s="2">
        <f>IF(Table1[[#This Row],[Total Shipping]]&gt;0.1,0.2,0)</f>
        <v>0.2</v>
      </c>
      <c r="X622" s="4">
        <f>Table1[[#This Row],[Total Shipping]]*Table1[[#This Row],[VAT on Shipping]]</f>
        <v>8.4</v>
      </c>
      <c r="Y622" s="1">
        <f>Table1[[#This Row],[Revenue]]-Table1[[#This Row],[COGS]]</f>
        <v>61.5</v>
      </c>
      <c r="Z622" s="3">
        <f>(Table1[[#This Row],[Profit]]/Table1[[#This Row],[Revenue]])</f>
        <v>0.42268041237113402</v>
      </c>
      <c r="AA622" s="1">
        <f>Table1[[#This Row],[Profit]]-Table1[[#This Row],[Total Shipping]]</f>
        <v>19.5</v>
      </c>
      <c r="AB622" s="3">
        <f>Table1[[#This Row],[Operating Profit]]/Table1[[#This Row],[Revenue]]</f>
        <v>0.13402061855670103</v>
      </c>
    </row>
    <row r="623" spans="1:28" x14ac:dyDescent="0.25">
      <c r="A623" t="s">
        <v>298</v>
      </c>
      <c r="B623">
        <v>592</v>
      </c>
      <c r="C623" t="s">
        <v>35</v>
      </c>
      <c r="D623" t="s">
        <v>72</v>
      </c>
      <c r="E623" t="s">
        <v>40</v>
      </c>
      <c r="F623" t="s">
        <v>74</v>
      </c>
      <c r="G623" t="str" cm="1">
        <f t="array" ref="G623">_xlfn.SWITCH(F623,"Acme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623" t="s">
        <v>104</v>
      </c>
      <c r="I623" t="s">
        <v>42</v>
      </c>
      <c r="J623" t="str" cm="1">
        <f t="array" ref="J623">_xlfn.SWITCH(I623,"P001","Laptop","P002","Server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23" s="1" cm="1">
        <f t="array" ref="K623">_xlfn.SWITCH(Table1[[#This Row],[Product ID]],"P001",220,"P002",150,"P003",130,"P004",70,"P005",200,"P006",40,"P007",25,"P008",20,"P009",190,"P010",530)</f>
        <v>40</v>
      </c>
      <c r="L623">
        <v>2</v>
      </c>
      <c r="M623" s="1">
        <f>Table1[[#This Row],[Unit Price]]*Table1[[#This Row],[Quantity]]</f>
        <v>80</v>
      </c>
      <c r="N623" s="2">
        <v>0.05</v>
      </c>
      <c r="O623" s="1">
        <f>Table1[[#This Row],[Gross Value]]*(1-Table1[[#This Row],[Discount]])</f>
        <v>76</v>
      </c>
      <c r="P623" s="2">
        <v>0.2</v>
      </c>
      <c r="Q623" s="1">
        <f>Table1[[#This Row],[Revenue]]*Table1[[#This Row],[VAT Rate]]</f>
        <v>15.200000000000001</v>
      </c>
      <c r="R623" s="1">
        <f>Table1[[#This Row],[Revenue]]+Table1[[#This Row],[VAT Charged]]</f>
        <v>91.2</v>
      </c>
      <c r="S623" s="1" cm="1">
        <f t="array" ref="S623">_xlfn.SWITCH(Table1[[#This Row],[Product ID]],"P001",140,"P002",80,"P003",72,"P004",30,"P005",110,"P006",24,"P007",14,"P008",12,"P009",115,"P010",360)</f>
        <v>24</v>
      </c>
      <c r="T623" s="1" cm="1">
        <f t="array" ref="T623">(_xlfn.SWITCH(Table1[[#This Row],[Product ID]],"P001",140,"P002",80,"P003",72,"P004",30,"P005",110,"P006",24,"P007",14,"P008",12,"P009",115,"P010",360))*Table1[[#This Row],[Quantity]]</f>
        <v>48</v>
      </c>
      <c r="U623" s="1" cm="1">
        <f t="array" ref="U623">_xlfn.SWITCH(Table1[[#This Row],[Product ID]],"P001",15,"P002",0,"P003",8,"P004",8,"P005",0,"P006",7,"P007",7,"P008",6,"P009",45,"P010",60)</f>
        <v>7</v>
      </c>
      <c r="V623" s="1">
        <f>Table1[[#This Row],[Shipping per Unit]]*Table1[[#This Row],[Quantity]]</f>
        <v>14</v>
      </c>
      <c r="W623" s="2">
        <f>IF(Table1[[#This Row],[Total Shipping]]&gt;0.1,0.2,0)</f>
        <v>0.2</v>
      </c>
      <c r="X623" s="4">
        <f>Table1[[#This Row],[Total Shipping]]*Table1[[#This Row],[VAT on Shipping]]</f>
        <v>2.8000000000000003</v>
      </c>
      <c r="Y623" s="1">
        <f>Table1[[#This Row],[Revenue]]-Table1[[#This Row],[COGS]]</f>
        <v>28</v>
      </c>
      <c r="Z623" s="3">
        <f>(Table1[[#This Row],[Profit]]/Table1[[#This Row],[Revenue]])</f>
        <v>0.36842105263157893</v>
      </c>
      <c r="AA623" s="1">
        <f>Table1[[#This Row],[Profit]]-Table1[[#This Row],[Total Shipping]]</f>
        <v>14</v>
      </c>
      <c r="AB623" s="3">
        <f>Table1[[#This Row],[Operating Profit]]/Table1[[#This Row],[Revenue]]</f>
        <v>0.18421052631578946</v>
      </c>
    </row>
    <row r="624" spans="1:28" x14ac:dyDescent="0.25">
      <c r="A624" t="s">
        <v>298</v>
      </c>
      <c r="B624">
        <v>710</v>
      </c>
      <c r="C624" t="s">
        <v>29</v>
      </c>
      <c r="D624" t="s">
        <v>57</v>
      </c>
      <c r="E624" t="s">
        <v>31</v>
      </c>
      <c r="F624" t="s">
        <v>37</v>
      </c>
      <c r="G624" t="str" cm="1">
        <f t="array" ref="G624">_xlfn.SWITCH(F624,"Acme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624" t="s">
        <v>33</v>
      </c>
      <c r="I624" t="s">
        <v>42</v>
      </c>
      <c r="J624" t="str" cm="1">
        <f t="array" ref="J624">_xlfn.SWITCH(I624,"P001","Laptop","P002","Server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24" s="1" cm="1">
        <f t="array" ref="K624">_xlfn.SWITCH(Table1[[#This Row],[Product ID]],"P001",220,"P002",150,"P003",130,"P004",70,"P005",200,"P006",40,"P007",25,"P008",20,"P009",190,"P010",530)</f>
        <v>40</v>
      </c>
      <c r="L624">
        <v>16</v>
      </c>
      <c r="M624" s="1">
        <f>Table1[[#This Row],[Unit Price]]*Table1[[#This Row],[Quantity]]</f>
        <v>640</v>
      </c>
      <c r="N624" s="2">
        <v>0.05</v>
      </c>
      <c r="O624" s="1">
        <f>Table1[[#This Row],[Gross Value]]*(1-Table1[[#This Row],[Discount]])</f>
        <v>608</v>
      </c>
      <c r="P624" s="2">
        <v>0.2</v>
      </c>
      <c r="Q624" s="1">
        <f>Table1[[#This Row],[Revenue]]*Table1[[#This Row],[VAT Rate]]</f>
        <v>121.60000000000001</v>
      </c>
      <c r="R624" s="1">
        <f>Table1[[#This Row],[Revenue]]+Table1[[#This Row],[VAT Charged]]</f>
        <v>729.6</v>
      </c>
      <c r="S624" s="1" cm="1">
        <f t="array" ref="S624">_xlfn.SWITCH(Table1[[#This Row],[Product ID]],"P001",140,"P002",80,"P003",72,"P004",30,"P005",110,"P006",24,"P007",14,"P008",12,"P009",115,"P010",360)</f>
        <v>24</v>
      </c>
      <c r="T624" s="1" cm="1">
        <f t="array" ref="T624">(_xlfn.SWITCH(Table1[[#This Row],[Product ID]],"P001",140,"P002",80,"P003",72,"P004",30,"P005",110,"P006",24,"P007",14,"P008",12,"P009",115,"P010",360))*Table1[[#This Row],[Quantity]]</f>
        <v>384</v>
      </c>
      <c r="U624" s="1" cm="1">
        <f t="array" ref="U624">_xlfn.SWITCH(Table1[[#This Row],[Product ID]],"P001",15,"P002",0,"P003",8,"P004",8,"P005",0,"P006",7,"P007",7,"P008",6,"P009",45,"P010",60)</f>
        <v>7</v>
      </c>
      <c r="V624" s="1">
        <f>Table1[[#This Row],[Shipping per Unit]]*Table1[[#This Row],[Quantity]]</f>
        <v>112</v>
      </c>
      <c r="W624" s="2">
        <f>IF(Table1[[#This Row],[Total Shipping]]&gt;0.1,0.2,0)</f>
        <v>0.2</v>
      </c>
      <c r="X624" s="4">
        <f>Table1[[#This Row],[Total Shipping]]*Table1[[#This Row],[VAT on Shipping]]</f>
        <v>22.400000000000002</v>
      </c>
      <c r="Y624" s="1">
        <f>Table1[[#This Row],[Revenue]]-Table1[[#This Row],[COGS]]</f>
        <v>224</v>
      </c>
      <c r="Z624" s="3">
        <f>(Table1[[#This Row],[Profit]]/Table1[[#This Row],[Revenue]])</f>
        <v>0.36842105263157893</v>
      </c>
      <c r="AA624" s="1">
        <f>Table1[[#This Row],[Profit]]-Table1[[#This Row],[Total Shipping]]</f>
        <v>112</v>
      </c>
      <c r="AB624" s="3">
        <f>Table1[[#This Row],[Operating Profit]]/Table1[[#This Row],[Revenue]]</f>
        <v>0.18421052631578946</v>
      </c>
    </row>
    <row r="625" spans="1:28" x14ac:dyDescent="0.25">
      <c r="A625" t="s">
        <v>298</v>
      </c>
      <c r="B625">
        <v>970</v>
      </c>
      <c r="C625" t="s">
        <v>56</v>
      </c>
      <c r="D625" t="s">
        <v>48</v>
      </c>
      <c r="E625" t="s">
        <v>40</v>
      </c>
      <c r="F625" t="s">
        <v>87</v>
      </c>
      <c r="G625" t="str" cm="1">
        <f t="array" ref="G625">_xlfn.SWITCH(F625,"Acme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625" t="s">
        <v>33</v>
      </c>
      <c r="I625" t="s">
        <v>42</v>
      </c>
      <c r="J625" t="str" cm="1">
        <f t="array" ref="J625">_xlfn.SWITCH(I625,"P001","Laptop","P002","Server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25" s="1" cm="1">
        <f t="array" ref="K625">_xlfn.SWITCH(Table1[[#This Row],[Product ID]],"P001",220,"P002",150,"P003",130,"P004",70,"P005",200,"P006",40,"P007",25,"P008",20,"P009",190,"P010",530)</f>
        <v>40</v>
      </c>
      <c r="L625">
        <v>11</v>
      </c>
      <c r="M625" s="1">
        <f>Table1[[#This Row],[Unit Price]]*Table1[[#This Row],[Quantity]]</f>
        <v>440</v>
      </c>
      <c r="N625" s="2">
        <v>0.03</v>
      </c>
      <c r="O625" s="1">
        <f>Table1[[#This Row],[Gross Value]]*(1-Table1[[#This Row],[Discount]])</f>
        <v>426.8</v>
      </c>
      <c r="P625" s="2">
        <v>0.2</v>
      </c>
      <c r="Q625" s="1">
        <f>Table1[[#This Row],[Revenue]]*Table1[[#This Row],[VAT Rate]]</f>
        <v>85.360000000000014</v>
      </c>
      <c r="R625" s="1">
        <f>Table1[[#This Row],[Revenue]]+Table1[[#This Row],[VAT Charged]]</f>
        <v>512.16000000000008</v>
      </c>
      <c r="S625" s="1" cm="1">
        <f t="array" ref="S625">_xlfn.SWITCH(Table1[[#This Row],[Product ID]],"P001",140,"P002",80,"P003",72,"P004",30,"P005",110,"P006",24,"P007",14,"P008",12,"P009",115,"P010",360)</f>
        <v>24</v>
      </c>
      <c r="T625" s="1" cm="1">
        <f t="array" ref="T625">(_xlfn.SWITCH(Table1[[#This Row],[Product ID]],"P001",140,"P002",80,"P003",72,"P004",30,"P005",110,"P006",24,"P007",14,"P008",12,"P009",115,"P010",360))*Table1[[#This Row],[Quantity]]</f>
        <v>264</v>
      </c>
      <c r="U625" s="1" cm="1">
        <f t="array" ref="U625">_xlfn.SWITCH(Table1[[#This Row],[Product ID]],"P001",15,"P002",0,"P003",8,"P004",8,"P005",0,"P006",7,"P007",7,"P008",6,"P009",45,"P010",60)</f>
        <v>7</v>
      </c>
      <c r="V625" s="1">
        <f>Table1[[#This Row],[Shipping per Unit]]*Table1[[#This Row],[Quantity]]</f>
        <v>77</v>
      </c>
      <c r="W625" s="2">
        <f>IF(Table1[[#This Row],[Total Shipping]]&gt;0.1,0.2,0)</f>
        <v>0.2</v>
      </c>
      <c r="X625" s="4">
        <f>Table1[[#This Row],[Total Shipping]]*Table1[[#This Row],[VAT on Shipping]]</f>
        <v>15.4</v>
      </c>
      <c r="Y625" s="1">
        <f>Table1[[#This Row],[Revenue]]-Table1[[#This Row],[COGS]]</f>
        <v>162.80000000000001</v>
      </c>
      <c r="Z625" s="3">
        <f>(Table1[[#This Row],[Profit]]/Table1[[#This Row],[Revenue]])</f>
        <v>0.3814432989690722</v>
      </c>
      <c r="AA625" s="1">
        <f>Table1[[#This Row],[Profit]]-Table1[[#This Row],[Total Shipping]]</f>
        <v>85.800000000000011</v>
      </c>
      <c r="AB625" s="3">
        <f>Table1[[#This Row],[Operating Profit]]/Table1[[#This Row],[Revenue]]</f>
        <v>0.20103092783505155</v>
      </c>
    </row>
    <row r="626" spans="1:28" x14ac:dyDescent="0.25">
      <c r="A626" t="s">
        <v>299</v>
      </c>
      <c r="B626">
        <v>422</v>
      </c>
      <c r="C626" t="s">
        <v>65</v>
      </c>
      <c r="D626" t="s">
        <v>67</v>
      </c>
      <c r="E626" t="s">
        <v>49</v>
      </c>
      <c r="F626" t="s">
        <v>66</v>
      </c>
      <c r="G626" t="str" cm="1">
        <f t="array" ref="G626">_xlfn.SWITCH(F626,"Acme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626" t="s">
        <v>58</v>
      </c>
      <c r="I626" t="s">
        <v>52</v>
      </c>
      <c r="J626" t="str" cm="1">
        <f t="array" ref="J626">_xlfn.SWITCH(I626,"P001","Laptop","P002","Server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626" s="1" cm="1">
        <f t="array" ref="K626">_xlfn.SWITCH(Table1[[#This Row],[Product ID]],"P001",220,"P002",150,"P003",130,"P004",70,"P005",200,"P006",40,"P007",25,"P008",20,"P009",190,"P010",530)</f>
        <v>130</v>
      </c>
      <c r="L626">
        <v>17</v>
      </c>
      <c r="M626" s="1">
        <f>Table1[[#This Row],[Unit Price]]*Table1[[#This Row],[Quantity]]</f>
        <v>2210</v>
      </c>
      <c r="N626" s="2">
        <v>0.06</v>
      </c>
      <c r="O626" s="1">
        <f>Table1[[#This Row],[Gross Value]]*(1-Table1[[#This Row],[Discount]])</f>
        <v>2077.4</v>
      </c>
      <c r="P626" s="2">
        <v>0.2</v>
      </c>
      <c r="Q626" s="1">
        <f>Table1[[#This Row],[Revenue]]*Table1[[#This Row],[VAT Rate]]</f>
        <v>415.48</v>
      </c>
      <c r="R626" s="1">
        <f>Table1[[#This Row],[Revenue]]+Table1[[#This Row],[VAT Charged]]</f>
        <v>2492.88</v>
      </c>
      <c r="S626" s="1" cm="1">
        <f t="array" ref="S626">_xlfn.SWITCH(Table1[[#This Row],[Product ID]],"P001",140,"P002",80,"P003",72,"P004",30,"P005",110,"P006",24,"P007",14,"P008",12,"P009",115,"P010",360)</f>
        <v>72</v>
      </c>
      <c r="T626" s="1" cm="1">
        <f t="array" ref="T626">(_xlfn.SWITCH(Table1[[#This Row],[Product ID]],"P001",140,"P002",80,"P003",72,"P004",30,"P005",110,"P006",24,"P007",14,"P008",12,"P009",115,"P010",360))*Table1[[#This Row],[Quantity]]</f>
        <v>1224</v>
      </c>
      <c r="U626" s="1" cm="1">
        <f t="array" ref="U626">_xlfn.SWITCH(Table1[[#This Row],[Product ID]],"P001",15,"P002",0,"P003",8,"P004",8,"P005",0,"P006",7,"P007",7,"P008",6,"P009",45,"P010",60)</f>
        <v>8</v>
      </c>
      <c r="V626" s="1">
        <f>Table1[[#This Row],[Shipping per Unit]]*Table1[[#This Row],[Quantity]]</f>
        <v>136</v>
      </c>
      <c r="W626" s="2">
        <f>IF(Table1[[#This Row],[Total Shipping]]&gt;0.1,0.2,0)</f>
        <v>0.2</v>
      </c>
      <c r="X626" s="4">
        <f>Table1[[#This Row],[Total Shipping]]*Table1[[#This Row],[VAT on Shipping]]</f>
        <v>27.200000000000003</v>
      </c>
      <c r="Y626" s="1">
        <f>Table1[[#This Row],[Revenue]]-Table1[[#This Row],[COGS]]</f>
        <v>853.40000000000009</v>
      </c>
      <c r="Z626" s="3">
        <f>(Table1[[#This Row],[Profit]]/Table1[[#This Row],[Revenue]])</f>
        <v>0.41080196399345337</v>
      </c>
      <c r="AA626" s="1">
        <f>Table1[[#This Row],[Profit]]-Table1[[#This Row],[Total Shipping]]</f>
        <v>717.40000000000009</v>
      </c>
      <c r="AB626" s="3">
        <f>Table1[[#This Row],[Operating Profit]]/Table1[[#This Row],[Revenue]]</f>
        <v>0.34533551554828151</v>
      </c>
    </row>
    <row r="627" spans="1:28" x14ac:dyDescent="0.25">
      <c r="A627" t="s">
        <v>299</v>
      </c>
      <c r="B627">
        <v>458</v>
      </c>
      <c r="C627" t="s">
        <v>29</v>
      </c>
      <c r="D627" t="s">
        <v>53</v>
      </c>
      <c r="E627" t="s">
        <v>31</v>
      </c>
      <c r="F627" t="s">
        <v>37</v>
      </c>
      <c r="G627" t="str" cm="1">
        <f t="array" ref="G627">_xlfn.SWITCH(F627,"Acme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627" t="s">
        <v>58</v>
      </c>
      <c r="I627" t="s">
        <v>55</v>
      </c>
      <c r="J627" t="str" cm="1">
        <f t="array" ref="J627">_xlfn.SWITCH(I627,"P001","Laptop","P002","Server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27" s="1" cm="1">
        <f t="array" ref="K627">_xlfn.SWITCH(Table1[[#This Row],[Product ID]],"P001",220,"P002",150,"P003",130,"P004",70,"P005",200,"P006",40,"P007",25,"P008",20,"P009",190,"P010",530)</f>
        <v>70</v>
      </c>
      <c r="L627">
        <v>5</v>
      </c>
      <c r="M627" s="1">
        <f>Table1[[#This Row],[Unit Price]]*Table1[[#This Row],[Quantity]]</f>
        <v>350</v>
      </c>
      <c r="N627" s="2">
        <v>0.02</v>
      </c>
      <c r="O627" s="1">
        <f>Table1[[#This Row],[Gross Value]]*(1-Table1[[#This Row],[Discount]])</f>
        <v>343</v>
      </c>
      <c r="P627" s="2">
        <v>0.2</v>
      </c>
      <c r="Q627" s="1">
        <f>Table1[[#This Row],[Revenue]]*Table1[[#This Row],[VAT Rate]]</f>
        <v>68.600000000000009</v>
      </c>
      <c r="R627" s="1">
        <f>Table1[[#This Row],[Revenue]]+Table1[[#This Row],[VAT Charged]]</f>
        <v>411.6</v>
      </c>
      <c r="S627" s="1" cm="1">
        <f t="array" ref="S627">_xlfn.SWITCH(Table1[[#This Row],[Product ID]],"P001",140,"P002",80,"P003",72,"P004",30,"P005",110,"P006",24,"P007",14,"P008",12,"P009",115,"P010",360)</f>
        <v>30</v>
      </c>
      <c r="T627" s="1" cm="1">
        <f t="array" ref="T627">(_xlfn.SWITCH(Table1[[#This Row],[Product ID]],"P001",140,"P002",80,"P003",72,"P004",30,"P005",110,"P006",24,"P007",14,"P008",12,"P009",115,"P010",360))*Table1[[#This Row],[Quantity]]</f>
        <v>150</v>
      </c>
      <c r="U627" s="1" cm="1">
        <f t="array" ref="U627">_xlfn.SWITCH(Table1[[#This Row],[Product ID]],"P001",15,"P002",0,"P003",8,"P004",8,"P005",0,"P006",7,"P007",7,"P008",6,"P009",45,"P010",60)</f>
        <v>8</v>
      </c>
      <c r="V627" s="1">
        <f>Table1[[#This Row],[Shipping per Unit]]*Table1[[#This Row],[Quantity]]</f>
        <v>40</v>
      </c>
      <c r="W627" s="2">
        <f>IF(Table1[[#This Row],[Total Shipping]]&gt;0.1,0.2,0)</f>
        <v>0.2</v>
      </c>
      <c r="X627" s="4">
        <f>Table1[[#This Row],[Total Shipping]]*Table1[[#This Row],[VAT on Shipping]]</f>
        <v>8</v>
      </c>
      <c r="Y627" s="1">
        <f>Table1[[#This Row],[Revenue]]-Table1[[#This Row],[COGS]]</f>
        <v>193</v>
      </c>
      <c r="Z627" s="3">
        <f>(Table1[[#This Row],[Profit]]/Table1[[#This Row],[Revenue]])</f>
        <v>0.56268221574344024</v>
      </c>
      <c r="AA627" s="1">
        <f>Table1[[#This Row],[Profit]]-Table1[[#This Row],[Total Shipping]]</f>
        <v>153</v>
      </c>
      <c r="AB627" s="3">
        <f>Table1[[#This Row],[Operating Profit]]/Table1[[#This Row],[Revenue]]</f>
        <v>0.44606413994169097</v>
      </c>
    </row>
    <row r="628" spans="1:28" x14ac:dyDescent="0.25">
      <c r="A628" t="s">
        <v>299</v>
      </c>
      <c r="B628">
        <v>540</v>
      </c>
      <c r="C628" t="s">
        <v>38</v>
      </c>
      <c r="D628" t="s">
        <v>57</v>
      </c>
      <c r="E628" t="s">
        <v>31</v>
      </c>
      <c r="F628" t="s">
        <v>74</v>
      </c>
      <c r="G628" t="str" cm="1">
        <f t="array" ref="G628">_xlfn.SWITCH(F628,"Acme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628" t="s">
        <v>51</v>
      </c>
      <c r="I628" t="s">
        <v>46</v>
      </c>
      <c r="J628" t="str" cm="1">
        <f t="array" ref="J628">_xlfn.SWITCH(I628,"P001","Laptop","P002","Server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28" s="1" cm="1">
        <f t="array" ref="K628">_xlfn.SWITCH(Table1[[#This Row],[Product ID]],"P001",220,"P002",150,"P003",130,"P004",70,"P005",200,"P006",40,"P007",25,"P008",20,"P009",190,"P010",530)</f>
        <v>530</v>
      </c>
      <c r="L628">
        <v>6</v>
      </c>
      <c r="M628" s="1">
        <f>Table1[[#This Row],[Unit Price]]*Table1[[#This Row],[Quantity]]</f>
        <v>3180</v>
      </c>
      <c r="N628" s="2">
        <v>0.03</v>
      </c>
      <c r="O628" s="1">
        <f>Table1[[#This Row],[Gross Value]]*(1-Table1[[#This Row],[Discount]])</f>
        <v>3084.6</v>
      </c>
      <c r="P628" s="2">
        <v>0.2</v>
      </c>
      <c r="Q628" s="1">
        <f>Table1[[#This Row],[Revenue]]*Table1[[#This Row],[VAT Rate]]</f>
        <v>616.92000000000007</v>
      </c>
      <c r="R628" s="1">
        <f>Table1[[#This Row],[Revenue]]+Table1[[#This Row],[VAT Charged]]</f>
        <v>3701.52</v>
      </c>
      <c r="S628" s="1" cm="1">
        <f t="array" ref="S628">_xlfn.SWITCH(Table1[[#This Row],[Product ID]],"P001",140,"P002",80,"P003",72,"P004",30,"P005",110,"P006",24,"P007",14,"P008",12,"P009",115,"P010",360)</f>
        <v>360</v>
      </c>
      <c r="T628" s="1" cm="1">
        <f t="array" ref="T628">(_xlfn.SWITCH(Table1[[#This Row],[Product ID]],"P001",140,"P002",80,"P003",72,"P004",30,"P005",110,"P006",24,"P007",14,"P008",12,"P009",115,"P010",360))*Table1[[#This Row],[Quantity]]</f>
        <v>2160</v>
      </c>
      <c r="U628" s="1" cm="1">
        <f t="array" ref="U628">_xlfn.SWITCH(Table1[[#This Row],[Product ID]],"P001",15,"P002",0,"P003",8,"P004",8,"P005",0,"P006",7,"P007",7,"P008",6,"P009",45,"P010",60)</f>
        <v>60</v>
      </c>
      <c r="V628" s="1">
        <f>Table1[[#This Row],[Shipping per Unit]]*Table1[[#This Row],[Quantity]]</f>
        <v>360</v>
      </c>
      <c r="W628" s="2">
        <f>IF(Table1[[#This Row],[Total Shipping]]&gt;0.1,0.2,0)</f>
        <v>0.2</v>
      </c>
      <c r="X628" s="4">
        <f>Table1[[#This Row],[Total Shipping]]*Table1[[#This Row],[VAT on Shipping]]</f>
        <v>72</v>
      </c>
      <c r="Y628" s="1">
        <f>Table1[[#This Row],[Revenue]]-Table1[[#This Row],[COGS]]</f>
        <v>924.59999999999991</v>
      </c>
      <c r="Z628" s="3">
        <f>(Table1[[#This Row],[Profit]]/Table1[[#This Row],[Revenue]])</f>
        <v>0.29974713090838356</v>
      </c>
      <c r="AA628" s="1">
        <f>Table1[[#This Row],[Profit]]-Table1[[#This Row],[Total Shipping]]</f>
        <v>564.59999999999991</v>
      </c>
      <c r="AB628" s="3">
        <f>Table1[[#This Row],[Operating Profit]]/Table1[[#This Row],[Revenue]]</f>
        <v>0.18303831939311416</v>
      </c>
    </row>
    <row r="629" spans="1:28" x14ac:dyDescent="0.25">
      <c r="A629" t="s">
        <v>299</v>
      </c>
      <c r="B629">
        <v>950</v>
      </c>
      <c r="C629" t="s">
        <v>83</v>
      </c>
      <c r="D629" t="s">
        <v>72</v>
      </c>
      <c r="E629" t="s">
        <v>31</v>
      </c>
      <c r="F629" t="s">
        <v>76</v>
      </c>
      <c r="G629" t="str" cm="1">
        <f t="array" ref="G629">_xlfn.SWITCH(F629,"Acme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629" t="s">
        <v>104</v>
      </c>
      <c r="I629" t="s">
        <v>91</v>
      </c>
      <c r="J629" t="str" cm="1">
        <f t="array" ref="J629">_xlfn.SWITCH(I629,"P001","Laptop","P002","Server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29" s="1" cm="1">
        <f t="array" ref="K629">_xlfn.SWITCH(Table1[[#This Row],[Product ID]],"P001",220,"P002",150,"P003",130,"P004",70,"P005",200,"P006",40,"P007",25,"P008",20,"P009",190,"P010",530)</f>
        <v>190</v>
      </c>
      <c r="L629">
        <v>8</v>
      </c>
      <c r="M629" s="1">
        <f>Table1[[#This Row],[Unit Price]]*Table1[[#This Row],[Quantity]]</f>
        <v>1520</v>
      </c>
      <c r="N629" s="2">
        <v>0.05</v>
      </c>
      <c r="O629" s="1">
        <f>Table1[[#This Row],[Gross Value]]*(1-Table1[[#This Row],[Discount]])</f>
        <v>1444</v>
      </c>
      <c r="P629" s="2">
        <v>0.2</v>
      </c>
      <c r="Q629" s="1">
        <f>Table1[[#This Row],[Revenue]]*Table1[[#This Row],[VAT Rate]]</f>
        <v>288.8</v>
      </c>
      <c r="R629" s="1">
        <f>Table1[[#This Row],[Revenue]]+Table1[[#This Row],[VAT Charged]]</f>
        <v>1732.8</v>
      </c>
      <c r="S629" s="1" cm="1">
        <f t="array" ref="S629">_xlfn.SWITCH(Table1[[#This Row],[Product ID]],"P001",140,"P002",80,"P003",72,"P004",30,"P005",110,"P006",24,"P007",14,"P008",12,"P009",115,"P010",360)</f>
        <v>115</v>
      </c>
      <c r="T629" s="1" cm="1">
        <f t="array" ref="T629">(_xlfn.SWITCH(Table1[[#This Row],[Product ID]],"P001",140,"P002",80,"P003",72,"P004",30,"P005",110,"P006",24,"P007",14,"P008",12,"P009",115,"P010",360))*Table1[[#This Row],[Quantity]]</f>
        <v>920</v>
      </c>
      <c r="U629" s="1" cm="1">
        <f t="array" ref="U629">_xlfn.SWITCH(Table1[[#This Row],[Product ID]],"P001",15,"P002",0,"P003",8,"P004",8,"P005",0,"P006",7,"P007",7,"P008",6,"P009",45,"P010",60)</f>
        <v>45</v>
      </c>
      <c r="V629" s="1">
        <f>Table1[[#This Row],[Shipping per Unit]]*Table1[[#This Row],[Quantity]]</f>
        <v>360</v>
      </c>
      <c r="W629" s="2">
        <f>IF(Table1[[#This Row],[Total Shipping]]&gt;0.1,0.2,0)</f>
        <v>0.2</v>
      </c>
      <c r="X629" s="4">
        <f>Table1[[#This Row],[Total Shipping]]*Table1[[#This Row],[VAT on Shipping]]</f>
        <v>72</v>
      </c>
      <c r="Y629" s="1">
        <f>Table1[[#This Row],[Revenue]]-Table1[[#This Row],[COGS]]</f>
        <v>524</v>
      </c>
      <c r="Z629" s="3">
        <f>(Table1[[#This Row],[Profit]]/Table1[[#This Row],[Revenue]])</f>
        <v>0.36288088642659277</v>
      </c>
      <c r="AA629" s="1">
        <f>Table1[[#This Row],[Profit]]-Table1[[#This Row],[Total Shipping]]</f>
        <v>164</v>
      </c>
      <c r="AB629" s="3">
        <f>Table1[[#This Row],[Operating Profit]]/Table1[[#This Row],[Revenue]]</f>
        <v>0.11357340720221606</v>
      </c>
    </row>
    <row r="630" spans="1:28" x14ac:dyDescent="0.25">
      <c r="A630" t="s">
        <v>300</v>
      </c>
      <c r="B630">
        <v>341</v>
      </c>
      <c r="C630" t="s">
        <v>83</v>
      </c>
      <c r="D630" t="s">
        <v>30</v>
      </c>
      <c r="E630" t="s">
        <v>40</v>
      </c>
      <c r="F630" t="s">
        <v>103</v>
      </c>
      <c r="G630" t="str" cm="1">
        <f t="array" ref="G630">_xlfn.SWITCH(F630,"Acme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630" t="s">
        <v>33</v>
      </c>
      <c r="I630" t="s">
        <v>42</v>
      </c>
      <c r="J630" t="str" cm="1">
        <f t="array" ref="J630">_xlfn.SWITCH(I630,"P001","Laptop","P002","Server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30" s="1" cm="1">
        <f t="array" ref="K630">_xlfn.SWITCH(Table1[[#This Row],[Product ID]],"P001",220,"P002",150,"P003",130,"P004",70,"P005",200,"P006",40,"P007",25,"P008",20,"P009",190,"P010",530)</f>
        <v>40</v>
      </c>
      <c r="L630">
        <v>20</v>
      </c>
      <c r="M630" s="1">
        <f>Table1[[#This Row],[Unit Price]]*Table1[[#This Row],[Quantity]]</f>
        <v>800</v>
      </c>
      <c r="N630" s="2">
        <v>7.0000000000000007E-2</v>
      </c>
      <c r="O630" s="1">
        <f>Table1[[#This Row],[Gross Value]]*(1-Table1[[#This Row],[Discount]])</f>
        <v>744</v>
      </c>
      <c r="P630" s="2">
        <v>0.2</v>
      </c>
      <c r="Q630" s="1">
        <f>Table1[[#This Row],[Revenue]]*Table1[[#This Row],[VAT Rate]]</f>
        <v>148.80000000000001</v>
      </c>
      <c r="R630" s="1">
        <f>Table1[[#This Row],[Revenue]]+Table1[[#This Row],[VAT Charged]]</f>
        <v>892.8</v>
      </c>
      <c r="S630" s="1" cm="1">
        <f t="array" ref="S630">_xlfn.SWITCH(Table1[[#This Row],[Product ID]],"P001",140,"P002",80,"P003",72,"P004",30,"P005",110,"P006",24,"P007",14,"P008",12,"P009",115,"P010",360)</f>
        <v>24</v>
      </c>
      <c r="T630" s="1" cm="1">
        <f t="array" ref="T630">(_xlfn.SWITCH(Table1[[#This Row],[Product ID]],"P001",140,"P002",80,"P003",72,"P004",30,"P005",110,"P006",24,"P007",14,"P008",12,"P009",115,"P010",360))*Table1[[#This Row],[Quantity]]</f>
        <v>480</v>
      </c>
      <c r="U630" s="1" cm="1">
        <f t="array" ref="U630">_xlfn.SWITCH(Table1[[#This Row],[Product ID]],"P001",15,"P002",0,"P003",8,"P004",8,"P005",0,"P006",7,"P007",7,"P008",6,"P009",45,"P010",60)</f>
        <v>7</v>
      </c>
      <c r="V630" s="1">
        <f>Table1[[#This Row],[Shipping per Unit]]*Table1[[#This Row],[Quantity]]</f>
        <v>140</v>
      </c>
      <c r="W630" s="2">
        <f>IF(Table1[[#This Row],[Total Shipping]]&gt;0.1,0.2,0)</f>
        <v>0.2</v>
      </c>
      <c r="X630" s="4">
        <f>Table1[[#This Row],[Total Shipping]]*Table1[[#This Row],[VAT on Shipping]]</f>
        <v>28</v>
      </c>
      <c r="Y630" s="1">
        <f>Table1[[#This Row],[Revenue]]-Table1[[#This Row],[COGS]]</f>
        <v>264</v>
      </c>
      <c r="Z630" s="3">
        <f>(Table1[[#This Row],[Profit]]/Table1[[#This Row],[Revenue]])</f>
        <v>0.35483870967741937</v>
      </c>
      <c r="AA630" s="1">
        <f>Table1[[#This Row],[Profit]]-Table1[[#This Row],[Total Shipping]]</f>
        <v>124</v>
      </c>
      <c r="AB630" s="3">
        <f>Table1[[#This Row],[Operating Profit]]/Table1[[#This Row],[Revenue]]</f>
        <v>0.16666666666666666</v>
      </c>
    </row>
    <row r="631" spans="1:28" x14ac:dyDescent="0.25">
      <c r="A631" t="s">
        <v>300</v>
      </c>
      <c r="B631">
        <v>903</v>
      </c>
      <c r="C631" t="s">
        <v>35</v>
      </c>
      <c r="D631" t="s">
        <v>39</v>
      </c>
      <c r="E631" t="s">
        <v>40</v>
      </c>
      <c r="F631" t="s">
        <v>87</v>
      </c>
      <c r="G631" t="str" cm="1">
        <f t="array" ref="G631">_xlfn.SWITCH(F631,"Acme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631" t="s">
        <v>51</v>
      </c>
      <c r="I631" t="s">
        <v>70</v>
      </c>
      <c r="J631" t="str" cm="1">
        <f t="array" ref="J631">_xlfn.SWITCH(I631,"P001","Laptop","P002","Server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631" s="1" cm="1">
        <f t="array" ref="K631">_xlfn.SWITCH(Table1[[#This Row],[Product ID]],"P001",220,"P002",150,"P003",130,"P004",70,"P005",200,"P006",40,"P007",25,"P008",20,"P009",190,"P010",530)</f>
        <v>150</v>
      </c>
      <c r="L631">
        <v>15</v>
      </c>
      <c r="M631" s="1">
        <f>Table1[[#This Row],[Unit Price]]*Table1[[#This Row],[Quantity]]</f>
        <v>2250</v>
      </c>
      <c r="N631" s="2">
        <v>0.1</v>
      </c>
      <c r="O631" s="1">
        <f>Table1[[#This Row],[Gross Value]]*(1-Table1[[#This Row],[Discount]])</f>
        <v>2025</v>
      </c>
      <c r="P631" s="2">
        <v>0.2</v>
      </c>
      <c r="Q631" s="1">
        <f>Table1[[#This Row],[Revenue]]*Table1[[#This Row],[VAT Rate]]</f>
        <v>405</v>
      </c>
      <c r="R631" s="1">
        <f>Table1[[#This Row],[Revenue]]+Table1[[#This Row],[VAT Charged]]</f>
        <v>2430</v>
      </c>
      <c r="S631" s="1" cm="1">
        <f t="array" ref="S631">_xlfn.SWITCH(Table1[[#This Row],[Product ID]],"P001",140,"P002",80,"P003",72,"P004",30,"P005",110,"P006",24,"P007",14,"P008",12,"P009",115,"P010",360)</f>
        <v>80</v>
      </c>
      <c r="T631" s="1" cm="1">
        <f t="array" ref="T631">(_xlfn.SWITCH(Table1[[#This Row],[Product ID]],"P001",140,"P002",80,"P003",72,"P004",30,"P005",110,"P006",24,"P007",14,"P008",12,"P009",115,"P010",360))*Table1[[#This Row],[Quantity]]</f>
        <v>1200</v>
      </c>
      <c r="U631" s="1" cm="1">
        <f t="array" ref="U631">_xlfn.SWITCH(Table1[[#This Row],[Product ID]],"P001",15,"P002",0,"P003",8,"P004",8,"P005",0,"P006",7,"P007",7,"P008",6,"P009",45,"P010",60)</f>
        <v>0</v>
      </c>
      <c r="V631" s="1">
        <f>Table1[[#This Row],[Shipping per Unit]]*Table1[[#This Row],[Quantity]]</f>
        <v>0</v>
      </c>
      <c r="W631" s="2">
        <f>IF(Table1[[#This Row],[Total Shipping]]&gt;0.1,0.2,0)</f>
        <v>0</v>
      </c>
      <c r="X631" s="4">
        <f>Table1[[#This Row],[Total Shipping]]*Table1[[#This Row],[VAT on Shipping]]</f>
        <v>0</v>
      </c>
      <c r="Y631" s="1">
        <f>Table1[[#This Row],[Revenue]]-Table1[[#This Row],[COGS]]</f>
        <v>825</v>
      </c>
      <c r="Z631" s="3">
        <f>(Table1[[#This Row],[Profit]]/Table1[[#This Row],[Revenue]])</f>
        <v>0.40740740740740738</v>
      </c>
      <c r="AA631" s="1">
        <f>Table1[[#This Row],[Profit]]-Table1[[#This Row],[Total Shipping]]</f>
        <v>825</v>
      </c>
      <c r="AB631" s="3">
        <f>Table1[[#This Row],[Operating Profit]]/Table1[[#This Row],[Revenue]]</f>
        <v>0.40740740740740738</v>
      </c>
    </row>
    <row r="632" spans="1:28" x14ac:dyDescent="0.25">
      <c r="A632" t="s">
        <v>301</v>
      </c>
      <c r="B632">
        <v>316</v>
      </c>
      <c r="C632" t="s">
        <v>83</v>
      </c>
      <c r="D632" t="s">
        <v>57</v>
      </c>
      <c r="E632" t="s">
        <v>40</v>
      </c>
      <c r="F632" t="s">
        <v>44</v>
      </c>
      <c r="G632" t="str" cm="1">
        <f t="array" ref="G632">_xlfn.SWITCH(F632,"Acme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632" t="s">
        <v>58</v>
      </c>
      <c r="I632" t="s">
        <v>68</v>
      </c>
      <c r="J632" t="str" cm="1">
        <f t="array" ref="J632">_xlfn.SWITCH(I632,"P001","Laptop","P002","Server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632" s="1" cm="1">
        <f t="array" ref="K632">_xlfn.SWITCH(Table1[[#This Row],[Product ID]],"P001",220,"P002",150,"P003",130,"P004",70,"P005",200,"P006",40,"P007",25,"P008",20,"P009",190,"P010",530)</f>
        <v>220</v>
      </c>
      <c r="L632">
        <v>20</v>
      </c>
      <c r="M632" s="1">
        <f>Table1[[#This Row],[Unit Price]]*Table1[[#This Row],[Quantity]]</f>
        <v>4400</v>
      </c>
      <c r="N632" s="2">
        <v>0.08</v>
      </c>
      <c r="O632" s="1">
        <f>Table1[[#This Row],[Gross Value]]*(1-Table1[[#This Row],[Discount]])</f>
        <v>4048</v>
      </c>
      <c r="P632" s="2">
        <v>0.2</v>
      </c>
      <c r="Q632" s="1">
        <f>Table1[[#This Row],[Revenue]]*Table1[[#This Row],[VAT Rate]]</f>
        <v>809.6</v>
      </c>
      <c r="R632" s="1">
        <f>Table1[[#This Row],[Revenue]]+Table1[[#This Row],[VAT Charged]]</f>
        <v>4857.6000000000004</v>
      </c>
      <c r="S632" s="1" cm="1">
        <f t="array" ref="S632">_xlfn.SWITCH(Table1[[#This Row],[Product ID]],"P001",140,"P002",80,"P003",72,"P004",30,"P005",110,"P006",24,"P007",14,"P008",12,"P009",115,"P010",360)</f>
        <v>140</v>
      </c>
      <c r="T632" s="1" cm="1">
        <f t="array" ref="T632">(_xlfn.SWITCH(Table1[[#This Row],[Product ID]],"P001",140,"P002",80,"P003",72,"P004",30,"P005",110,"P006",24,"P007",14,"P008",12,"P009",115,"P010",360))*Table1[[#This Row],[Quantity]]</f>
        <v>2800</v>
      </c>
      <c r="U632" s="1" cm="1">
        <f t="array" ref="U632">_xlfn.SWITCH(Table1[[#This Row],[Product ID]],"P001",15,"P002",0,"P003",8,"P004",8,"P005",0,"P006",7,"P007",7,"P008",6,"P009",45,"P010",60)</f>
        <v>15</v>
      </c>
      <c r="V632" s="1">
        <f>Table1[[#This Row],[Shipping per Unit]]*Table1[[#This Row],[Quantity]]</f>
        <v>300</v>
      </c>
      <c r="W632" s="2">
        <f>IF(Table1[[#This Row],[Total Shipping]]&gt;0.1,0.2,0)</f>
        <v>0.2</v>
      </c>
      <c r="X632" s="4">
        <f>Table1[[#This Row],[Total Shipping]]*Table1[[#This Row],[VAT on Shipping]]</f>
        <v>60</v>
      </c>
      <c r="Y632" s="1">
        <f>Table1[[#This Row],[Revenue]]-Table1[[#This Row],[COGS]]</f>
        <v>1248</v>
      </c>
      <c r="Z632" s="3">
        <f>(Table1[[#This Row],[Profit]]/Table1[[#This Row],[Revenue]])</f>
        <v>0.30830039525691699</v>
      </c>
      <c r="AA632" s="1">
        <f>Table1[[#This Row],[Profit]]-Table1[[#This Row],[Total Shipping]]</f>
        <v>948</v>
      </c>
      <c r="AB632" s="3">
        <f>Table1[[#This Row],[Operating Profit]]/Table1[[#This Row],[Revenue]]</f>
        <v>0.23418972332015811</v>
      </c>
    </row>
    <row r="633" spans="1:28" x14ac:dyDescent="0.25">
      <c r="A633" t="s">
        <v>301</v>
      </c>
      <c r="B633">
        <v>563</v>
      </c>
      <c r="C633" t="s">
        <v>83</v>
      </c>
      <c r="D633" t="s">
        <v>48</v>
      </c>
      <c r="E633" t="s">
        <v>31</v>
      </c>
      <c r="F633" t="s">
        <v>79</v>
      </c>
      <c r="G633" t="str" cm="1">
        <f t="array" ref="G633">_xlfn.SWITCH(F633,"Acme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33" t="s">
        <v>45</v>
      </c>
      <c r="I633" t="s">
        <v>52</v>
      </c>
      <c r="J633" t="str" cm="1">
        <f t="array" ref="J633">_xlfn.SWITCH(I633,"P001","Laptop","P002","Server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633" s="1" cm="1">
        <f t="array" ref="K633">_xlfn.SWITCH(Table1[[#This Row],[Product ID]],"P001",220,"P002",150,"P003",130,"P004",70,"P005",200,"P006",40,"P007",25,"P008",20,"P009",190,"P010",530)</f>
        <v>130</v>
      </c>
      <c r="L633">
        <v>2</v>
      </c>
      <c r="M633" s="1">
        <f>Table1[[#This Row],[Unit Price]]*Table1[[#This Row],[Quantity]]</f>
        <v>260</v>
      </c>
      <c r="N633" s="2">
        <v>0.12</v>
      </c>
      <c r="O633" s="1">
        <f>Table1[[#This Row],[Gross Value]]*(1-Table1[[#This Row],[Discount]])</f>
        <v>228.8</v>
      </c>
      <c r="P633" s="2">
        <v>0.2</v>
      </c>
      <c r="Q633" s="1">
        <f>Table1[[#This Row],[Revenue]]*Table1[[#This Row],[VAT Rate]]</f>
        <v>45.760000000000005</v>
      </c>
      <c r="R633" s="1">
        <f>Table1[[#This Row],[Revenue]]+Table1[[#This Row],[VAT Charged]]</f>
        <v>274.56</v>
      </c>
      <c r="S633" s="1" cm="1">
        <f t="array" ref="S633">_xlfn.SWITCH(Table1[[#This Row],[Product ID]],"P001",140,"P002",80,"P003",72,"P004",30,"P005",110,"P006",24,"P007",14,"P008",12,"P009",115,"P010",360)</f>
        <v>72</v>
      </c>
      <c r="T633" s="1" cm="1">
        <f t="array" ref="T633">(_xlfn.SWITCH(Table1[[#This Row],[Product ID]],"P001",140,"P002",80,"P003",72,"P004",30,"P005",110,"P006",24,"P007",14,"P008",12,"P009",115,"P010",360))*Table1[[#This Row],[Quantity]]</f>
        <v>144</v>
      </c>
      <c r="U633" s="1" cm="1">
        <f t="array" ref="U633">_xlfn.SWITCH(Table1[[#This Row],[Product ID]],"P001",15,"P002",0,"P003",8,"P004",8,"P005",0,"P006",7,"P007",7,"P008",6,"P009",45,"P010",60)</f>
        <v>8</v>
      </c>
      <c r="V633" s="1">
        <f>Table1[[#This Row],[Shipping per Unit]]*Table1[[#This Row],[Quantity]]</f>
        <v>16</v>
      </c>
      <c r="W633" s="2">
        <f>IF(Table1[[#This Row],[Total Shipping]]&gt;0.1,0.2,0)</f>
        <v>0.2</v>
      </c>
      <c r="X633" s="4">
        <f>Table1[[#This Row],[Total Shipping]]*Table1[[#This Row],[VAT on Shipping]]</f>
        <v>3.2</v>
      </c>
      <c r="Y633" s="1">
        <f>Table1[[#This Row],[Revenue]]-Table1[[#This Row],[COGS]]</f>
        <v>84.800000000000011</v>
      </c>
      <c r="Z633" s="3">
        <f>(Table1[[#This Row],[Profit]]/Table1[[#This Row],[Revenue]])</f>
        <v>0.37062937062937068</v>
      </c>
      <c r="AA633" s="1">
        <f>Table1[[#This Row],[Profit]]-Table1[[#This Row],[Total Shipping]]</f>
        <v>68.800000000000011</v>
      </c>
      <c r="AB633" s="3">
        <f>Table1[[#This Row],[Operating Profit]]/Table1[[#This Row],[Revenue]]</f>
        <v>0.30069930069930073</v>
      </c>
    </row>
    <row r="634" spans="1:28" x14ac:dyDescent="0.25">
      <c r="A634" t="s">
        <v>301</v>
      </c>
      <c r="B634">
        <v>772</v>
      </c>
      <c r="C634" t="s">
        <v>38</v>
      </c>
      <c r="D634" t="s">
        <v>30</v>
      </c>
      <c r="E634" t="s">
        <v>31</v>
      </c>
      <c r="F634" t="s">
        <v>126</v>
      </c>
      <c r="G634" t="str" cm="1">
        <f t="array" ref="G634">_xlfn.SWITCH(F634,"Acme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634" t="s">
        <v>51</v>
      </c>
      <c r="I634" t="s">
        <v>55</v>
      </c>
      <c r="J634" t="str" cm="1">
        <f t="array" ref="J634">_xlfn.SWITCH(I634,"P001","Laptop","P002","Server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34" s="1" cm="1">
        <f t="array" ref="K634">_xlfn.SWITCH(Table1[[#This Row],[Product ID]],"P001",220,"P002",150,"P003",130,"P004",70,"P005",200,"P006",40,"P007",25,"P008",20,"P009",190,"P010",530)</f>
        <v>70</v>
      </c>
      <c r="L634">
        <v>1</v>
      </c>
      <c r="M634" s="1">
        <f>Table1[[#This Row],[Unit Price]]*Table1[[#This Row],[Quantity]]</f>
        <v>70</v>
      </c>
      <c r="N634" s="2">
        <v>0.05</v>
      </c>
      <c r="O634" s="1">
        <f>Table1[[#This Row],[Gross Value]]*(1-Table1[[#This Row],[Discount]])</f>
        <v>66.5</v>
      </c>
      <c r="P634" s="2">
        <v>0.2</v>
      </c>
      <c r="Q634" s="1">
        <f>Table1[[#This Row],[Revenue]]*Table1[[#This Row],[VAT Rate]]</f>
        <v>13.3</v>
      </c>
      <c r="R634" s="1">
        <f>Table1[[#This Row],[Revenue]]+Table1[[#This Row],[VAT Charged]]</f>
        <v>79.8</v>
      </c>
      <c r="S634" s="1" cm="1">
        <f t="array" ref="S634">_xlfn.SWITCH(Table1[[#This Row],[Product ID]],"P001",140,"P002",80,"P003",72,"P004",30,"P005",110,"P006",24,"P007",14,"P008",12,"P009",115,"P010",360)</f>
        <v>30</v>
      </c>
      <c r="T634" s="1" cm="1">
        <f t="array" ref="T634">(_xlfn.SWITCH(Table1[[#This Row],[Product ID]],"P001",140,"P002",80,"P003",72,"P004",30,"P005",110,"P006",24,"P007",14,"P008",12,"P009",115,"P010",360))*Table1[[#This Row],[Quantity]]</f>
        <v>30</v>
      </c>
      <c r="U634" s="1" cm="1">
        <f t="array" ref="U634">_xlfn.SWITCH(Table1[[#This Row],[Product ID]],"P001",15,"P002",0,"P003",8,"P004",8,"P005",0,"P006",7,"P007",7,"P008",6,"P009",45,"P010",60)</f>
        <v>8</v>
      </c>
      <c r="V634" s="1">
        <f>Table1[[#This Row],[Shipping per Unit]]*Table1[[#This Row],[Quantity]]</f>
        <v>8</v>
      </c>
      <c r="W634" s="2">
        <f>IF(Table1[[#This Row],[Total Shipping]]&gt;0.1,0.2,0)</f>
        <v>0.2</v>
      </c>
      <c r="X634" s="4">
        <f>Table1[[#This Row],[Total Shipping]]*Table1[[#This Row],[VAT on Shipping]]</f>
        <v>1.6</v>
      </c>
      <c r="Y634" s="1">
        <f>Table1[[#This Row],[Revenue]]-Table1[[#This Row],[COGS]]</f>
        <v>36.5</v>
      </c>
      <c r="Z634" s="3">
        <f>(Table1[[#This Row],[Profit]]/Table1[[#This Row],[Revenue]])</f>
        <v>0.54887218045112784</v>
      </c>
      <c r="AA634" s="1">
        <f>Table1[[#This Row],[Profit]]-Table1[[#This Row],[Total Shipping]]</f>
        <v>28.5</v>
      </c>
      <c r="AB634" s="3">
        <f>Table1[[#This Row],[Operating Profit]]/Table1[[#This Row],[Revenue]]</f>
        <v>0.42857142857142855</v>
      </c>
    </row>
    <row r="635" spans="1:28" x14ac:dyDescent="0.25">
      <c r="A635" t="s">
        <v>302</v>
      </c>
      <c r="B635">
        <v>386</v>
      </c>
      <c r="C635" t="s">
        <v>65</v>
      </c>
      <c r="D635" t="s">
        <v>53</v>
      </c>
      <c r="E635" t="s">
        <v>40</v>
      </c>
      <c r="F635" t="s">
        <v>90</v>
      </c>
      <c r="G635" t="str" cm="1">
        <f t="array" ref="G635">_xlfn.SWITCH(F635,"Acme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635" t="s">
        <v>33</v>
      </c>
      <c r="I635" t="s">
        <v>60</v>
      </c>
      <c r="J635" t="str" cm="1">
        <f t="array" ref="J635">_xlfn.SWITCH(I635,"P001","Laptop","P002","Server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35" s="1" cm="1">
        <f t="array" ref="K635">_xlfn.SWITCH(Table1[[#This Row],[Product ID]],"P001",220,"P002",150,"P003",130,"P004",70,"P005",200,"P006",40,"P007",25,"P008",20,"P009",190,"P010",530)</f>
        <v>25</v>
      </c>
      <c r="L635">
        <v>2</v>
      </c>
      <c r="M635" s="1">
        <f>Table1[[#This Row],[Unit Price]]*Table1[[#This Row],[Quantity]]</f>
        <v>50</v>
      </c>
      <c r="N635" s="2">
        <v>0.05</v>
      </c>
      <c r="O635" s="1">
        <f>Table1[[#This Row],[Gross Value]]*(1-Table1[[#This Row],[Discount]])</f>
        <v>47.5</v>
      </c>
      <c r="P635" s="2">
        <v>0.2</v>
      </c>
      <c r="Q635" s="1">
        <f>Table1[[#This Row],[Revenue]]*Table1[[#This Row],[VAT Rate]]</f>
        <v>9.5</v>
      </c>
      <c r="R635" s="1">
        <f>Table1[[#This Row],[Revenue]]+Table1[[#This Row],[VAT Charged]]</f>
        <v>57</v>
      </c>
      <c r="S635" s="1" cm="1">
        <f t="array" ref="S635">_xlfn.SWITCH(Table1[[#This Row],[Product ID]],"P001",140,"P002",80,"P003",72,"P004",30,"P005",110,"P006",24,"P007",14,"P008",12,"P009",115,"P010",360)</f>
        <v>14</v>
      </c>
      <c r="T635" s="1" cm="1">
        <f t="array" ref="T635">(_xlfn.SWITCH(Table1[[#This Row],[Product ID]],"P001",140,"P002",80,"P003",72,"P004",30,"P005",110,"P006",24,"P007",14,"P008",12,"P009",115,"P010",360))*Table1[[#This Row],[Quantity]]</f>
        <v>28</v>
      </c>
      <c r="U635" s="1" cm="1">
        <f t="array" ref="U635">_xlfn.SWITCH(Table1[[#This Row],[Product ID]],"P001",15,"P002",0,"P003",8,"P004",8,"P005",0,"P006",7,"P007",7,"P008",6,"P009",45,"P010",60)</f>
        <v>7</v>
      </c>
      <c r="V635" s="1">
        <f>Table1[[#This Row],[Shipping per Unit]]*Table1[[#This Row],[Quantity]]</f>
        <v>14</v>
      </c>
      <c r="W635" s="2">
        <f>IF(Table1[[#This Row],[Total Shipping]]&gt;0.1,0.2,0)</f>
        <v>0.2</v>
      </c>
      <c r="X635" s="4">
        <f>Table1[[#This Row],[Total Shipping]]*Table1[[#This Row],[VAT on Shipping]]</f>
        <v>2.8000000000000003</v>
      </c>
      <c r="Y635" s="1">
        <f>Table1[[#This Row],[Revenue]]-Table1[[#This Row],[COGS]]</f>
        <v>19.5</v>
      </c>
      <c r="Z635" s="3">
        <f>(Table1[[#This Row],[Profit]]/Table1[[#This Row],[Revenue]])</f>
        <v>0.41052631578947368</v>
      </c>
      <c r="AA635" s="1">
        <f>Table1[[#This Row],[Profit]]-Table1[[#This Row],[Total Shipping]]</f>
        <v>5.5</v>
      </c>
      <c r="AB635" s="3">
        <f>Table1[[#This Row],[Operating Profit]]/Table1[[#This Row],[Revenue]]</f>
        <v>0.11578947368421053</v>
      </c>
    </row>
    <row r="636" spans="1:28" x14ac:dyDescent="0.25">
      <c r="A636" t="s">
        <v>302</v>
      </c>
      <c r="B636">
        <v>415</v>
      </c>
      <c r="C636" t="s">
        <v>65</v>
      </c>
      <c r="D636" t="s">
        <v>95</v>
      </c>
      <c r="E636" t="s">
        <v>31</v>
      </c>
      <c r="F636" t="s">
        <v>44</v>
      </c>
      <c r="G636" t="str" cm="1">
        <f t="array" ref="G636">_xlfn.SWITCH(F636,"Acme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636" t="s">
        <v>33</v>
      </c>
      <c r="I636" t="s">
        <v>60</v>
      </c>
      <c r="J636" t="str" cm="1">
        <f t="array" ref="J636">_xlfn.SWITCH(I636,"P001","Laptop","P002","Server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36" s="1" cm="1">
        <f t="array" ref="K636">_xlfn.SWITCH(Table1[[#This Row],[Product ID]],"P001",220,"P002",150,"P003",130,"P004",70,"P005",200,"P006",40,"P007",25,"P008",20,"P009",190,"P010",530)</f>
        <v>25</v>
      </c>
      <c r="L636">
        <v>20</v>
      </c>
      <c r="M636" s="1">
        <f>Table1[[#This Row],[Unit Price]]*Table1[[#This Row],[Quantity]]</f>
        <v>500</v>
      </c>
      <c r="N636" s="2">
        <v>0.01</v>
      </c>
      <c r="O636" s="1">
        <f>Table1[[#This Row],[Gross Value]]*(1-Table1[[#This Row],[Discount]])</f>
        <v>495</v>
      </c>
      <c r="P636" s="2">
        <v>0.2</v>
      </c>
      <c r="Q636" s="1">
        <f>Table1[[#This Row],[Revenue]]*Table1[[#This Row],[VAT Rate]]</f>
        <v>99</v>
      </c>
      <c r="R636" s="1">
        <f>Table1[[#This Row],[Revenue]]+Table1[[#This Row],[VAT Charged]]</f>
        <v>594</v>
      </c>
      <c r="S636" s="1" cm="1">
        <f t="array" ref="S636">_xlfn.SWITCH(Table1[[#This Row],[Product ID]],"P001",140,"P002",80,"P003",72,"P004",30,"P005",110,"P006",24,"P007",14,"P008",12,"P009",115,"P010",360)</f>
        <v>14</v>
      </c>
      <c r="T636" s="1" cm="1">
        <f t="array" ref="T636">(_xlfn.SWITCH(Table1[[#This Row],[Product ID]],"P001",140,"P002",80,"P003",72,"P004",30,"P005",110,"P006",24,"P007",14,"P008",12,"P009",115,"P010",360))*Table1[[#This Row],[Quantity]]</f>
        <v>280</v>
      </c>
      <c r="U636" s="1" cm="1">
        <f t="array" ref="U636">_xlfn.SWITCH(Table1[[#This Row],[Product ID]],"P001",15,"P002",0,"P003",8,"P004",8,"P005",0,"P006",7,"P007",7,"P008",6,"P009",45,"P010",60)</f>
        <v>7</v>
      </c>
      <c r="V636" s="1">
        <f>Table1[[#This Row],[Shipping per Unit]]*Table1[[#This Row],[Quantity]]</f>
        <v>140</v>
      </c>
      <c r="W636" s="2">
        <f>IF(Table1[[#This Row],[Total Shipping]]&gt;0.1,0.2,0)</f>
        <v>0.2</v>
      </c>
      <c r="X636" s="4">
        <f>Table1[[#This Row],[Total Shipping]]*Table1[[#This Row],[VAT on Shipping]]</f>
        <v>28</v>
      </c>
      <c r="Y636" s="1">
        <f>Table1[[#This Row],[Revenue]]-Table1[[#This Row],[COGS]]</f>
        <v>215</v>
      </c>
      <c r="Z636" s="3">
        <f>(Table1[[#This Row],[Profit]]/Table1[[#This Row],[Revenue]])</f>
        <v>0.43434343434343436</v>
      </c>
      <c r="AA636" s="1">
        <f>Table1[[#This Row],[Profit]]-Table1[[#This Row],[Total Shipping]]</f>
        <v>75</v>
      </c>
      <c r="AB636" s="3">
        <f>Table1[[#This Row],[Operating Profit]]/Table1[[#This Row],[Revenue]]</f>
        <v>0.15151515151515152</v>
      </c>
    </row>
    <row r="637" spans="1:28" x14ac:dyDescent="0.25">
      <c r="A637" t="s">
        <v>302</v>
      </c>
      <c r="B637">
        <v>590</v>
      </c>
      <c r="C637" t="s">
        <v>62</v>
      </c>
      <c r="D637" t="s">
        <v>95</v>
      </c>
      <c r="E637" t="s">
        <v>49</v>
      </c>
      <c r="F637" t="s">
        <v>74</v>
      </c>
      <c r="G637" t="str" cm="1">
        <f t="array" ref="G637">_xlfn.SWITCH(F637,"Acme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637" t="s">
        <v>51</v>
      </c>
      <c r="I637" t="s">
        <v>34</v>
      </c>
      <c r="J637" t="str" cm="1">
        <f t="array" ref="J637">_xlfn.SWITCH(I637,"P001","Laptop","P002","Server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637" s="1" cm="1">
        <f t="array" ref="K637">_xlfn.SWITCH(Table1[[#This Row],[Product ID]],"P001",220,"P002",150,"P003",130,"P004",70,"P005",200,"P006",40,"P007",25,"P008",20,"P009",190,"P010",530)</f>
        <v>20</v>
      </c>
      <c r="L637">
        <v>6</v>
      </c>
      <c r="M637" s="1">
        <f>Table1[[#This Row],[Unit Price]]*Table1[[#This Row],[Quantity]]</f>
        <v>120</v>
      </c>
      <c r="N637" s="2">
        <v>0.02</v>
      </c>
      <c r="O637" s="1">
        <f>Table1[[#This Row],[Gross Value]]*(1-Table1[[#This Row],[Discount]])</f>
        <v>117.6</v>
      </c>
      <c r="P637" s="2">
        <v>0.2</v>
      </c>
      <c r="Q637" s="1">
        <f>Table1[[#This Row],[Revenue]]*Table1[[#This Row],[VAT Rate]]</f>
        <v>23.52</v>
      </c>
      <c r="R637" s="1">
        <f>Table1[[#This Row],[Revenue]]+Table1[[#This Row],[VAT Charged]]</f>
        <v>141.12</v>
      </c>
      <c r="S637" s="1" cm="1">
        <f t="array" ref="S637">_xlfn.SWITCH(Table1[[#This Row],[Product ID]],"P001",140,"P002",80,"P003",72,"P004",30,"P005",110,"P006",24,"P007",14,"P008",12,"P009",115,"P010",360)</f>
        <v>12</v>
      </c>
      <c r="T637" s="1" cm="1">
        <f t="array" ref="T637">(_xlfn.SWITCH(Table1[[#This Row],[Product ID]],"P001",140,"P002",80,"P003",72,"P004",30,"P005",110,"P006",24,"P007",14,"P008",12,"P009",115,"P010",360))*Table1[[#This Row],[Quantity]]</f>
        <v>72</v>
      </c>
      <c r="U637" s="1" cm="1">
        <f t="array" ref="U637">_xlfn.SWITCH(Table1[[#This Row],[Product ID]],"P001",15,"P002",0,"P003",8,"P004",8,"P005",0,"P006",7,"P007",7,"P008",6,"P009",45,"P010",60)</f>
        <v>6</v>
      </c>
      <c r="V637" s="1">
        <f>Table1[[#This Row],[Shipping per Unit]]*Table1[[#This Row],[Quantity]]</f>
        <v>36</v>
      </c>
      <c r="W637" s="2">
        <f>IF(Table1[[#This Row],[Total Shipping]]&gt;0.1,0.2,0)</f>
        <v>0.2</v>
      </c>
      <c r="X637" s="4">
        <f>Table1[[#This Row],[Total Shipping]]*Table1[[#This Row],[VAT on Shipping]]</f>
        <v>7.2</v>
      </c>
      <c r="Y637" s="1">
        <f>Table1[[#This Row],[Revenue]]-Table1[[#This Row],[COGS]]</f>
        <v>45.599999999999994</v>
      </c>
      <c r="Z637" s="3">
        <f>(Table1[[#This Row],[Profit]]/Table1[[#This Row],[Revenue]])</f>
        <v>0.38775510204081631</v>
      </c>
      <c r="AA637" s="1">
        <f>Table1[[#This Row],[Profit]]-Table1[[#This Row],[Total Shipping]]</f>
        <v>9.5999999999999943</v>
      </c>
      <c r="AB637" s="3">
        <f>Table1[[#This Row],[Operating Profit]]/Table1[[#This Row],[Revenue]]</f>
        <v>8.1632653061224442E-2</v>
      </c>
    </row>
    <row r="638" spans="1:28" x14ac:dyDescent="0.25">
      <c r="A638" t="s">
        <v>302</v>
      </c>
      <c r="B638">
        <v>614</v>
      </c>
      <c r="C638" t="s">
        <v>29</v>
      </c>
      <c r="D638" t="s">
        <v>63</v>
      </c>
      <c r="E638" t="s">
        <v>40</v>
      </c>
      <c r="F638" t="s">
        <v>41</v>
      </c>
      <c r="G638" t="str" cm="1">
        <f t="array" ref="G638">_xlfn.SWITCH(F638,"Acme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638" t="s">
        <v>33</v>
      </c>
      <c r="I638" t="s">
        <v>42</v>
      </c>
      <c r="J638" t="str" cm="1">
        <f t="array" ref="J638">_xlfn.SWITCH(I638,"P001","Laptop","P002","Server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38" s="1" cm="1">
        <f t="array" ref="K638">_xlfn.SWITCH(Table1[[#This Row],[Product ID]],"P001",220,"P002",150,"P003",130,"P004",70,"P005",200,"P006",40,"P007",25,"P008",20,"P009",190,"P010",530)</f>
        <v>40</v>
      </c>
      <c r="L638">
        <v>6</v>
      </c>
      <c r="M638" s="1">
        <f>Table1[[#This Row],[Unit Price]]*Table1[[#This Row],[Quantity]]</f>
        <v>240</v>
      </c>
      <c r="N638" s="2">
        <v>0.1</v>
      </c>
      <c r="O638" s="1">
        <f>Table1[[#This Row],[Gross Value]]*(1-Table1[[#This Row],[Discount]])</f>
        <v>216</v>
      </c>
      <c r="P638" s="2">
        <v>0.2</v>
      </c>
      <c r="Q638" s="1">
        <f>Table1[[#This Row],[Revenue]]*Table1[[#This Row],[VAT Rate]]</f>
        <v>43.2</v>
      </c>
      <c r="R638" s="1">
        <f>Table1[[#This Row],[Revenue]]+Table1[[#This Row],[VAT Charged]]</f>
        <v>259.2</v>
      </c>
      <c r="S638" s="1" cm="1">
        <f t="array" ref="S638">_xlfn.SWITCH(Table1[[#This Row],[Product ID]],"P001",140,"P002",80,"P003",72,"P004",30,"P005",110,"P006",24,"P007",14,"P008",12,"P009",115,"P010",360)</f>
        <v>24</v>
      </c>
      <c r="T638" s="1" cm="1">
        <f t="array" ref="T638">(_xlfn.SWITCH(Table1[[#This Row],[Product ID]],"P001",140,"P002",80,"P003",72,"P004",30,"P005",110,"P006",24,"P007",14,"P008",12,"P009",115,"P010",360))*Table1[[#This Row],[Quantity]]</f>
        <v>144</v>
      </c>
      <c r="U638" s="1" cm="1">
        <f t="array" ref="U638">_xlfn.SWITCH(Table1[[#This Row],[Product ID]],"P001",15,"P002",0,"P003",8,"P004",8,"P005",0,"P006",7,"P007",7,"P008",6,"P009",45,"P010",60)</f>
        <v>7</v>
      </c>
      <c r="V638" s="1">
        <f>Table1[[#This Row],[Shipping per Unit]]*Table1[[#This Row],[Quantity]]</f>
        <v>42</v>
      </c>
      <c r="W638" s="2">
        <f>IF(Table1[[#This Row],[Total Shipping]]&gt;0.1,0.2,0)</f>
        <v>0.2</v>
      </c>
      <c r="X638" s="4">
        <f>Table1[[#This Row],[Total Shipping]]*Table1[[#This Row],[VAT on Shipping]]</f>
        <v>8.4</v>
      </c>
      <c r="Y638" s="1">
        <f>Table1[[#This Row],[Revenue]]-Table1[[#This Row],[COGS]]</f>
        <v>72</v>
      </c>
      <c r="Z638" s="3">
        <f>(Table1[[#This Row],[Profit]]/Table1[[#This Row],[Revenue]])</f>
        <v>0.33333333333333331</v>
      </c>
      <c r="AA638" s="1">
        <f>Table1[[#This Row],[Profit]]-Table1[[#This Row],[Total Shipping]]</f>
        <v>30</v>
      </c>
      <c r="AB638" s="3">
        <f>Table1[[#This Row],[Operating Profit]]/Table1[[#This Row],[Revenue]]</f>
        <v>0.1388888888888889</v>
      </c>
    </row>
    <row r="639" spans="1:28" x14ac:dyDescent="0.25">
      <c r="A639" t="s">
        <v>302</v>
      </c>
      <c r="B639">
        <v>861</v>
      </c>
      <c r="C639" t="s">
        <v>83</v>
      </c>
      <c r="D639" t="s">
        <v>67</v>
      </c>
      <c r="E639" t="s">
        <v>49</v>
      </c>
      <c r="F639" t="s">
        <v>86</v>
      </c>
      <c r="G639" t="str" cm="1">
        <f t="array" ref="G639">_xlfn.SWITCH(F639,"Acme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639" t="s">
        <v>58</v>
      </c>
      <c r="I639" t="s">
        <v>70</v>
      </c>
      <c r="J639" t="str" cm="1">
        <f t="array" ref="J639">_xlfn.SWITCH(I639,"P001","Laptop","P002","Server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639" s="1" cm="1">
        <f t="array" ref="K639">_xlfn.SWITCH(Table1[[#This Row],[Product ID]],"P001",220,"P002",150,"P003",130,"P004",70,"P005",200,"P006",40,"P007",25,"P008",20,"P009",190,"P010",530)</f>
        <v>150</v>
      </c>
      <c r="L639">
        <v>15</v>
      </c>
      <c r="M639" s="1">
        <f>Table1[[#This Row],[Unit Price]]*Table1[[#This Row],[Quantity]]</f>
        <v>2250</v>
      </c>
      <c r="N639" s="2">
        <v>0.02</v>
      </c>
      <c r="O639" s="1">
        <f>Table1[[#This Row],[Gross Value]]*(1-Table1[[#This Row],[Discount]])</f>
        <v>2205</v>
      </c>
      <c r="P639" s="2">
        <v>0.2</v>
      </c>
      <c r="Q639" s="1">
        <f>Table1[[#This Row],[Revenue]]*Table1[[#This Row],[VAT Rate]]</f>
        <v>441</v>
      </c>
      <c r="R639" s="1">
        <f>Table1[[#This Row],[Revenue]]+Table1[[#This Row],[VAT Charged]]</f>
        <v>2646</v>
      </c>
      <c r="S639" s="1" cm="1">
        <f t="array" ref="S639">_xlfn.SWITCH(Table1[[#This Row],[Product ID]],"P001",140,"P002",80,"P003",72,"P004",30,"P005",110,"P006",24,"P007",14,"P008",12,"P009",115,"P010",360)</f>
        <v>80</v>
      </c>
      <c r="T639" s="1" cm="1">
        <f t="array" ref="T639">(_xlfn.SWITCH(Table1[[#This Row],[Product ID]],"P001",140,"P002",80,"P003",72,"P004",30,"P005",110,"P006",24,"P007",14,"P008",12,"P009",115,"P010",360))*Table1[[#This Row],[Quantity]]</f>
        <v>1200</v>
      </c>
      <c r="U639" s="1" cm="1">
        <f t="array" ref="U639">_xlfn.SWITCH(Table1[[#This Row],[Product ID]],"P001",15,"P002",0,"P003",8,"P004",8,"P005",0,"P006",7,"P007",7,"P008",6,"P009",45,"P010",60)</f>
        <v>0</v>
      </c>
      <c r="V639" s="1">
        <f>Table1[[#This Row],[Shipping per Unit]]*Table1[[#This Row],[Quantity]]</f>
        <v>0</v>
      </c>
      <c r="W639" s="2">
        <f>IF(Table1[[#This Row],[Total Shipping]]&gt;0.1,0.2,0)</f>
        <v>0</v>
      </c>
      <c r="X639" s="4">
        <f>Table1[[#This Row],[Total Shipping]]*Table1[[#This Row],[VAT on Shipping]]</f>
        <v>0</v>
      </c>
      <c r="Y639" s="1">
        <f>Table1[[#This Row],[Revenue]]-Table1[[#This Row],[COGS]]</f>
        <v>1005</v>
      </c>
      <c r="Z639" s="3">
        <f>(Table1[[#This Row],[Profit]]/Table1[[#This Row],[Revenue]])</f>
        <v>0.45578231292517007</v>
      </c>
      <c r="AA639" s="1">
        <f>Table1[[#This Row],[Profit]]-Table1[[#This Row],[Total Shipping]]</f>
        <v>1005</v>
      </c>
      <c r="AB639" s="3">
        <f>Table1[[#This Row],[Operating Profit]]/Table1[[#This Row],[Revenue]]</f>
        <v>0.45578231292517007</v>
      </c>
    </row>
    <row r="640" spans="1:28" x14ac:dyDescent="0.25">
      <c r="A640" t="s">
        <v>302</v>
      </c>
      <c r="B640">
        <v>872</v>
      </c>
      <c r="C640" t="s">
        <v>29</v>
      </c>
      <c r="D640" t="s">
        <v>67</v>
      </c>
      <c r="E640" t="s">
        <v>49</v>
      </c>
      <c r="F640" t="s">
        <v>79</v>
      </c>
      <c r="G640" t="str" cm="1">
        <f t="array" ref="G640">_xlfn.SWITCH(F640,"Acme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40" t="s">
        <v>33</v>
      </c>
      <c r="I640" t="s">
        <v>91</v>
      </c>
      <c r="J640" t="str" cm="1">
        <f t="array" ref="J640">_xlfn.SWITCH(I640,"P001","Laptop","P002","Server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40" s="1" cm="1">
        <f t="array" ref="K640">_xlfn.SWITCH(Table1[[#This Row],[Product ID]],"P001",220,"P002",150,"P003",130,"P004",70,"P005",200,"P006",40,"P007",25,"P008",20,"P009",190,"P010",530)</f>
        <v>190</v>
      </c>
      <c r="L640">
        <v>19</v>
      </c>
      <c r="M640" s="1">
        <f>Table1[[#This Row],[Unit Price]]*Table1[[#This Row],[Quantity]]</f>
        <v>3610</v>
      </c>
      <c r="N640" s="2">
        <v>0.1</v>
      </c>
      <c r="O640" s="1">
        <f>Table1[[#This Row],[Gross Value]]*(1-Table1[[#This Row],[Discount]])</f>
        <v>3249</v>
      </c>
      <c r="P640" s="2">
        <v>0.2</v>
      </c>
      <c r="Q640" s="1">
        <f>Table1[[#This Row],[Revenue]]*Table1[[#This Row],[VAT Rate]]</f>
        <v>649.80000000000007</v>
      </c>
      <c r="R640" s="1">
        <f>Table1[[#This Row],[Revenue]]+Table1[[#This Row],[VAT Charged]]</f>
        <v>3898.8</v>
      </c>
      <c r="S640" s="1" cm="1">
        <f t="array" ref="S640">_xlfn.SWITCH(Table1[[#This Row],[Product ID]],"P001",140,"P002",80,"P003",72,"P004",30,"P005",110,"P006",24,"P007",14,"P008",12,"P009",115,"P010",360)</f>
        <v>115</v>
      </c>
      <c r="T640" s="1" cm="1">
        <f t="array" ref="T640">(_xlfn.SWITCH(Table1[[#This Row],[Product ID]],"P001",140,"P002",80,"P003",72,"P004",30,"P005",110,"P006",24,"P007",14,"P008",12,"P009",115,"P010",360))*Table1[[#This Row],[Quantity]]</f>
        <v>2185</v>
      </c>
      <c r="U640" s="1" cm="1">
        <f t="array" ref="U640">_xlfn.SWITCH(Table1[[#This Row],[Product ID]],"P001",15,"P002",0,"P003",8,"P004",8,"P005",0,"P006",7,"P007",7,"P008",6,"P009",45,"P010",60)</f>
        <v>45</v>
      </c>
      <c r="V640" s="1">
        <f>Table1[[#This Row],[Shipping per Unit]]*Table1[[#This Row],[Quantity]]</f>
        <v>855</v>
      </c>
      <c r="W640" s="2">
        <f>IF(Table1[[#This Row],[Total Shipping]]&gt;0.1,0.2,0)</f>
        <v>0.2</v>
      </c>
      <c r="X640" s="4">
        <f>Table1[[#This Row],[Total Shipping]]*Table1[[#This Row],[VAT on Shipping]]</f>
        <v>171</v>
      </c>
      <c r="Y640" s="1">
        <f>Table1[[#This Row],[Revenue]]-Table1[[#This Row],[COGS]]</f>
        <v>1064</v>
      </c>
      <c r="Z640" s="3">
        <f>(Table1[[#This Row],[Profit]]/Table1[[#This Row],[Revenue]])</f>
        <v>0.32748538011695905</v>
      </c>
      <c r="AA640" s="1">
        <f>Table1[[#This Row],[Profit]]-Table1[[#This Row],[Total Shipping]]</f>
        <v>209</v>
      </c>
      <c r="AB640" s="3">
        <f>Table1[[#This Row],[Operating Profit]]/Table1[[#This Row],[Revenue]]</f>
        <v>6.4327485380116955E-2</v>
      </c>
    </row>
    <row r="641" spans="1:28" x14ac:dyDescent="0.25">
      <c r="A641" t="s">
        <v>303</v>
      </c>
      <c r="B641">
        <v>586</v>
      </c>
      <c r="C641" t="s">
        <v>29</v>
      </c>
      <c r="D641" t="s">
        <v>72</v>
      </c>
      <c r="E641" t="s">
        <v>40</v>
      </c>
      <c r="F641" t="s">
        <v>64</v>
      </c>
      <c r="G641" t="str" cm="1">
        <f t="array" ref="G641">_xlfn.SWITCH(F641,"Acme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641" t="s">
        <v>33</v>
      </c>
      <c r="I641" t="s">
        <v>68</v>
      </c>
      <c r="J641" t="str" cm="1">
        <f t="array" ref="J641">_xlfn.SWITCH(I641,"P001","Laptop","P002","Server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641" s="1" cm="1">
        <f t="array" ref="K641">_xlfn.SWITCH(Table1[[#This Row],[Product ID]],"P001",220,"P002",150,"P003",130,"P004",70,"P005",200,"P006",40,"P007",25,"P008",20,"P009",190,"P010",530)</f>
        <v>220</v>
      </c>
      <c r="L641">
        <v>14</v>
      </c>
      <c r="M641" s="1">
        <f>Table1[[#This Row],[Unit Price]]*Table1[[#This Row],[Quantity]]</f>
        <v>3080</v>
      </c>
      <c r="N641" s="2">
        <v>0.05</v>
      </c>
      <c r="O641" s="1">
        <f>Table1[[#This Row],[Gross Value]]*(1-Table1[[#This Row],[Discount]])</f>
        <v>2926</v>
      </c>
      <c r="P641" s="2">
        <v>0.2</v>
      </c>
      <c r="Q641" s="1">
        <f>Table1[[#This Row],[Revenue]]*Table1[[#This Row],[VAT Rate]]</f>
        <v>585.20000000000005</v>
      </c>
      <c r="R641" s="1">
        <f>Table1[[#This Row],[Revenue]]+Table1[[#This Row],[VAT Charged]]</f>
        <v>3511.2</v>
      </c>
      <c r="S641" s="1" cm="1">
        <f t="array" ref="S641">_xlfn.SWITCH(Table1[[#This Row],[Product ID]],"P001",140,"P002",80,"P003",72,"P004",30,"P005",110,"P006",24,"P007",14,"P008",12,"P009",115,"P010",360)</f>
        <v>140</v>
      </c>
      <c r="T641" s="1" cm="1">
        <f t="array" ref="T641">(_xlfn.SWITCH(Table1[[#This Row],[Product ID]],"P001",140,"P002",80,"P003",72,"P004",30,"P005",110,"P006",24,"P007",14,"P008",12,"P009",115,"P010",360))*Table1[[#This Row],[Quantity]]</f>
        <v>1960</v>
      </c>
      <c r="U641" s="1" cm="1">
        <f t="array" ref="U641">_xlfn.SWITCH(Table1[[#This Row],[Product ID]],"P001",15,"P002",0,"P003",8,"P004",8,"P005",0,"P006",7,"P007",7,"P008",6,"P009",45,"P010",60)</f>
        <v>15</v>
      </c>
      <c r="V641" s="1">
        <f>Table1[[#This Row],[Shipping per Unit]]*Table1[[#This Row],[Quantity]]</f>
        <v>210</v>
      </c>
      <c r="W641" s="2">
        <f>IF(Table1[[#This Row],[Total Shipping]]&gt;0.1,0.2,0)</f>
        <v>0.2</v>
      </c>
      <c r="X641" s="4">
        <f>Table1[[#This Row],[Total Shipping]]*Table1[[#This Row],[VAT on Shipping]]</f>
        <v>42</v>
      </c>
      <c r="Y641" s="1">
        <f>Table1[[#This Row],[Revenue]]-Table1[[#This Row],[COGS]]</f>
        <v>966</v>
      </c>
      <c r="Z641" s="3">
        <f>(Table1[[#This Row],[Profit]]/Table1[[#This Row],[Revenue]])</f>
        <v>0.33014354066985646</v>
      </c>
      <c r="AA641" s="1">
        <f>Table1[[#This Row],[Profit]]-Table1[[#This Row],[Total Shipping]]</f>
        <v>756</v>
      </c>
      <c r="AB641" s="3">
        <f>Table1[[#This Row],[Operating Profit]]/Table1[[#This Row],[Revenue]]</f>
        <v>0.25837320574162681</v>
      </c>
    </row>
    <row r="642" spans="1:28" x14ac:dyDescent="0.25">
      <c r="A642" t="s">
        <v>304</v>
      </c>
      <c r="B642">
        <v>409</v>
      </c>
      <c r="C642" t="s">
        <v>56</v>
      </c>
      <c r="D642" t="s">
        <v>72</v>
      </c>
      <c r="E642" t="s">
        <v>40</v>
      </c>
      <c r="F642" t="s">
        <v>54</v>
      </c>
      <c r="G642" t="str" cm="1">
        <f t="array" ref="G642">_xlfn.SWITCH(F642,"Acme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642" t="s">
        <v>69</v>
      </c>
      <c r="I642" t="s">
        <v>55</v>
      </c>
      <c r="J642" t="str" cm="1">
        <f t="array" ref="J642">_xlfn.SWITCH(I642,"P001","Laptop","P002","Server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42" s="1" cm="1">
        <f t="array" ref="K642">_xlfn.SWITCH(Table1[[#This Row],[Product ID]],"P001",220,"P002",150,"P003",130,"P004",70,"P005",200,"P006",40,"P007",25,"P008",20,"P009",190,"P010",530)</f>
        <v>70</v>
      </c>
      <c r="L642">
        <v>17</v>
      </c>
      <c r="M642" s="1">
        <f>Table1[[#This Row],[Unit Price]]*Table1[[#This Row],[Quantity]]</f>
        <v>1190</v>
      </c>
      <c r="N642" s="2">
        <v>0.08</v>
      </c>
      <c r="O642" s="1">
        <f>Table1[[#This Row],[Gross Value]]*(1-Table1[[#This Row],[Discount]])</f>
        <v>1094.8</v>
      </c>
      <c r="P642" s="2">
        <v>0.2</v>
      </c>
      <c r="Q642" s="1">
        <f>Table1[[#This Row],[Revenue]]*Table1[[#This Row],[VAT Rate]]</f>
        <v>218.96</v>
      </c>
      <c r="R642" s="1">
        <f>Table1[[#This Row],[Revenue]]+Table1[[#This Row],[VAT Charged]]</f>
        <v>1313.76</v>
      </c>
      <c r="S642" s="1" cm="1">
        <f t="array" ref="S642">_xlfn.SWITCH(Table1[[#This Row],[Product ID]],"P001",140,"P002",80,"P003",72,"P004",30,"P005",110,"P006",24,"P007",14,"P008",12,"P009",115,"P010",360)</f>
        <v>30</v>
      </c>
      <c r="T642" s="1" cm="1">
        <f t="array" ref="T642">(_xlfn.SWITCH(Table1[[#This Row],[Product ID]],"P001",140,"P002",80,"P003",72,"P004",30,"P005",110,"P006",24,"P007",14,"P008",12,"P009",115,"P010",360))*Table1[[#This Row],[Quantity]]</f>
        <v>510</v>
      </c>
      <c r="U642" s="1" cm="1">
        <f t="array" ref="U642">_xlfn.SWITCH(Table1[[#This Row],[Product ID]],"P001",15,"P002",0,"P003",8,"P004",8,"P005",0,"P006",7,"P007",7,"P008",6,"P009",45,"P010",60)</f>
        <v>8</v>
      </c>
      <c r="V642" s="1">
        <f>Table1[[#This Row],[Shipping per Unit]]*Table1[[#This Row],[Quantity]]</f>
        <v>136</v>
      </c>
      <c r="W642" s="2">
        <f>IF(Table1[[#This Row],[Total Shipping]]&gt;0.1,0.2,0)</f>
        <v>0.2</v>
      </c>
      <c r="X642" s="4">
        <f>Table1[[#This Row],[Total Shipping]]*Table1[[#This Row],[VAT on Shipping]]</f>
        <v>27.200000000000003</v>
      </c>
      <c r="Y642" s="1">
        <f>Table1[[#This Row],[Revenue]]-Table1[[#This Row],[COGS]]</f>
        <v>584.79999999999995</v>
      </c>
      <c r="Z642" s="3">
        <f>(Table1[[#This Row],[Profit]]/Table1[[#This Row],[Revenue]])</f>
        <v>0.53416149068322982</v>
      </c>
      <c r="AA642" s="1">
        <f>Table1[[#This Row],[Profit]]-Table1[[#This Row],[Total Shipping]]</f>
        <v>448.79999999999995</v>
      </c>
      <c r="AB642" s="3">
        <f>Table1[[#This Row],[Operating Profit]]/Table1[[#This Row],[Revenue]]</f>
        <v>0.40993788819875776</v>
      </c>
    </row>
    <row r="643" spans="1:28" x14ac:dyDescent="0.25">
      <c r="A643" t="s">
        <v>304</v>
      </c>
      <c r="B643">
        <v>494</v>
      </c>
      <c r="C643" t="s">
        <v>65</v>
      </c>
      <c r="D643" t="s">
        <v>72</v>
      </c>
      <c r="E643" t="s">
        <v>31</v>
      </c>
      <c r="F643" t="s">
        <v>97</v>
      </c>
      <c r="G643" t="str" cm="1">
        <f t="array" ref="G643">_xlfn.SWITCH(F643,"Acme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643" t="s">
        <v>33</v>
      </c>
      <c r="I643" t="s">
        <v>55</v>
      </c>
      <c r="J643" t="str" cm="1">
        <f t="array" ref="J643">_xlfn.SWITCH(I643,"P001","Laptop","P002","Server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43" s="1" cm="1">
        <f t="array" ref="K643">_xlfn.SWITCH(Table1[[#This Row],[Product ID]],"P001",220,"P002",150,"P003",130,"P004",70,"P005",200,"P006",40,"P007",25,"P008",20,"P009",190,"P010",530)</f>
        <v>70</v>
      </c>
      <c r="L643">
        <v>8</v>
      </c>
      <c r="M643" s="1">
        <f>Table1[[#This Row],[Unit Price]]*Table1[[#This Row],[Quantity]]</f>
        <v>560</v>
      </c>
      <c r="N643" s="2">
        <v>0.06</v>
      </c>
      <c r="O643" s="1">
        <f>Table1[[#This Row],[Gross Value]]*(1-Table1[[#This Row],[Discount]])</f>
        <v>526.4</v>
      </c>
      <c r="P643" s="2">
        <v>0.2</v>
      </c>
      <c r="Q643" s="1">
        <f>Table1[[#This Row],[Revenue]]*Table1[[#This Row],[VAT Rate]]</f>
        <v>105.28</v>
      </c>
      <c r="R643" s="1">
        <f>Table1[[#This Row],[Revenue]]+Table1[[#This Row],[VAT Charged]]</f>
        <v>631.67999999999995</v>
      </c>
      <c r="S643" s="1" cm="1">
        <f t="array" ref="S643">_xlfn.SWITCH(Table1[[#This Row],[Product ID]],"P001",140,"P002",80,"P003",72,"P004",30,"P005",110,"P006",24,"P007",14,"P008",12,"P009",115,"P010",360)</f>
        <v>30</v>
      </c>
      <c r="T643" s="1" cm="1">
        <f t="array" ref="T643">(_xlfn.SWITCH(Table1[[#This Row],[Product ID]],"P001",140,"P002",80,"P003",72,"P004",30,"P005",110,"P006",24,"P007",14,"P008",12,"P009",115,"P010",360))*Table1[[#This Row],[Quantity]]</f>
        <v>240</v>
      </c>
      <c r="U643" s="1" cm="1">
        <f t="array" ref="U643">_xlfn.SWITCH(Table1[[#This Row],[Product ID]],"P001",15,"P002",0,"P003",8,"P004",8,"P005",0,"P006",7,"P007",7,"P008",6,"P009",45,"P010",60)</f>
        <v>8</v>
      </c>
      <c r="V643" s="1">
        <f>Table1[[#This Row],[Shipping per Unit]]*Table1[[#This Row],[Quantity]]</f>
        <v>64</v>
      </c>
      <c r="W643" s="2">
        <f>IF(Table1[[#This Row],[Total Shipping]]&gt;0.1,0.2,0)</f>
        <v>0.2</v>
      </c>
      <c r="X643" s="4">
        <f>Table1[[#This Row],[Total Shipping]]*Table1[[#This Row],[VAT on Shipping]]</f>
        <v>12.8</v>
      </c>
      <c r="Y643" s="1">
        <f>Table1[[#This Row],[Revenue]]-Table1[[#This Row],[COGS]]</f>
        <v>286.39999999999998</v>
      </c>
      <c r="Z643" s="3">
        <f>(Table1[[#This Row],[Profit]]/Table1[[#This Row],[Revenue]])</f>
        <v>0.54407294832826747</v>
      </c>
      <c r="AA643" s="1">
        <f>Table1[[#This Row],[Profit]]-Table1[[#This Row],[Total Shipping]]</f>
        <v>222.39999999999998</v>
      </c>
      <c r="AB643" s="3">
        <f>Table1[[#This Row],[Operating Profit]]/Table1[[#This Row],[Revenue]]</f>
        <v>0.42249240121580545</v>
      </c>
    </row>
    <row r="644" spans="1:28" x14ac:dyDescent="0.25">
      <c r="A644" t="s">
        <v>304</v>
      </c>
      <c r="B644">
        <v>769</v>
      </c>
      <c r="C644" t="s">
        <v>35</v>
      </c>
      <c r="D644" t="s">
        <v>95</v>
      </c>
      <c r="E644" t="s">
        <v>31</v>
      </c>
      <c r="F644" t="s">
        <v>64</v>
      </c>
      <c r="G644" t="str" cm="1">
        <f t="array" ref="G644">_xlfn.SWITCH(F644,"Acme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644" t="s">
        <v>51</v>
      </c>
      <c r="I644" t="s">
        <v>91</v>
      </c>
      <c r="J644" t="str" cm="1">
        <f t="array" ref="J644">_xlfn.SWITCH(I644,"P001","Laptop","P002","Server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44" s="1" cm="1">
        <f t="array" ref="K644">_xlfn.SWITCH(Table1[[#This Row],[Product ID]],"P001",220,"P002",150,"P003",130,"P004",70,"P005",200,"P006",40,"P007",25,"P008",20,"P009",190,"P010",530)</f>
        <v>190</v>
      </c>
      <c r="L644">
        <v>19</v>
      </c>
      <c r="M644" s="1">
        <f>Table1[[#This Row],[Unit Price]]*Table1[[#This Row],[Quantity]]</f>
        <v>3610</v>
      </c>
      <c r="N644" s="2">
        <v>0.1</v>
      </c>
      <c r="O644" s="1">
        <f>Table1[[#This Row],[Gross Value]]*(1-Table1[[#This Row],[Discount]])</f>
        <v>3249</v>
      </c>
      <c r="P644" s="2">
        <v>0.2</v>
      </c>
      <c r="Q644" s="1">
        <f>Table1[[#This Row],[Revenue]]*Table1[[#This Row],[VAT Rate]]</f>
        <v>649.80000000000007</v>
      </c>
      <c r="R644" s="1">
        <f>Table1[[#This Row],[Revenue]]+Table1[[#This Row],[VAT Charged]]</f>
        <v>3898.8</v>
      </c>
      <c r="S644" s="1" cm="1">
        <f t="array" ref="S644">_xlfn.SWITCH(Table1[[#This Row],[Product ID]],"P001",140,"P002",80,"P003",72,"P004",30,"P005",110,"P006",24,"P007",14,"P008",12,"P009",115,"P010",360)</f>
        <v>115</v>
      </c>
      <c r="T644" s="1" cm="1">
        <f t="array" ref="T644">(_xlfn.SWITCH(Table1[[#This Row],[Product ID]],"P001",140,"P002",80,"P003",72,"P004",30,"P005",110,"P006",24,"P007",14,"P008",12,"P009",115,"P010",360))*Table1[[#This Row],[Quantity]]</f>
        <v>2185</v>
      </c>
      <c r="U644" s="1" cm="1">
        <f t="array" ref="U644">_xlfn.SWITCH(Table1[[#This Row],[Product ID]],"P001",15,"P002",0,"P003",8,"P004",8,"P005",0,"P006",7,"P007",7,"P008",6,"P009",45,"P010",60)</f>
        <v>45</v>
      </c>
      <c r="V644" s="1">
        <f>Table1[[#This Row],[Shipping per Unit]]*Table1[[#This Row],[Quantity]]</f>
        <v>855</v>
      </c>
      <c r="W644" s="2">
        <f>IF(Table1[[#This Row],[Total Shipping]]&gt;0.1,0.2,0)</f>
        <v>0.2</v>
      </c>
      <c r="X644" s="4">
        <f>Table1[[#This Row],[Total Shipping]]*Table1[[#This Row],[VAT on Shipping]]</f>
        <v>171</v>
      </c>
      <c r="Y644" s="1">
        <f>Table1[[#This Row],[Revenue]]-Table1[[#This Row],[COGS]]</f>
        <v>1064</v>
      </c>
      <c r="Z644" s="3">
        <f>(Table1[[#This Row],[Profit]]/Table1[[#This Row],[Revenue]])</f>
        <v>0.32748538011695905</v>
      </c>
      <c r="AA644" s="1">
        <f>Table1[[#This Row],[Profit]]-Table1[[#This Row],[Total Shipping]]</f>
        <v>209</v>
      </c>
      <c r="AB644" s="3">
        <f>Table1[[#This Row],[Operating Profit]]/Table1[[#This Row],[Revenue]]</f>
        <v>6.4327485380116955E-2</v>
      </c>
    </row>
    <row r="645" spans="1:28" x14ac:dyDescent="0.25">
      <c r="A645" t="s">
        <v>304</v>
      </c>
      <c r="B645">
        <v>811</v>
      </c>
      <c r="C645" t="s">
        <v>35</v>
      </c>
      <c r="D645" t="s">
        <v>95</v>
      </c>
      <c r="E645" t="s">
        <v>31</v>
      </c>
      <c r="F645" t="s">
        <v>92</v>
      </c>
      <c r="G645" t="str" cm="1">
        <f t="array" ref="G645">_xlfn.SWITCH(F645,"Acme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645" t="s">
        <v>51</v>
      </c>
      <c r="I645" t="s">
        <v>42</v>
      </c>
      <c r="J645" t="str" cm="1">
        <f t="array" ref="J645">_xlfn.SWITCH(I645,"P001","Laptop","P002","Server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45" s="1" cm="1">
        <f t="array" ref="K645">_xlfn.SWITCH(Table1[[#This Row],[Product ID]],"P001",220,"P002",150,"P003",130,"P004",70,"P005",200,"P006",40,"P007",25,"P008",20,"P009",190,"P010",530)</f>
        <v>40</v>
      </c>
      <c r="L645">
        <v>7</v>
      </c>
      <c r="M645" s="1">
        <f>Table1[[#This Row],[Unit Price]]*Table1[[#This Row],[Quantity]]</f>
        <v>280</v>
      </c>
      <c r="N645" s="2">
        <v>0.12</v>
      </c>
      <c r="O645" s="1">
        <f>Table1[[#This Row],[Gross Value]]*(1-Table1[[#This Row],[Discount]])</f>
        <v>246.4</v>
      </c>
      <c r="P645" s="2">
        <v>0.2</v>
      </c>
      <c r="Q645" s="1">
        <f>Table1[[#This Row],[Revenue]]*Table1[[#This Row],[VAT Rate]]</f>
        <v>49.28</v>
      </c>
      <c r="R645" s="1">
        <f>Table1[[#This Row],[Revenue]]+Table1[[#This Row],[VAT Charged]]</f>
        <v>295.68</v>
      </c>
      <c r="S645" s="1" cm="1">
        <f t="array" ref="S645">_xlfn.SWITCH(Table1[[#This Row],[Product ID]],"P001",140,"P002",80,"P003",72,"P004",30,"P005",110,"P006",24,"P007",14,"P008",12,"P009",115,"P010",360)</f>
        <v>24</v>
      </c>
      <c r="T645" s="1" cm="1">
        <f t="array" ref="T645">(_xlfn.SWITCH(Table1[[#This Row],[Product ID]],"P001",140,"P002",80,"P003",72,"P004",30,"P005",110,"P006",24,"P007",14,"P008",12,"P009",115,"P010",360))*Table1[[#This Row],[Quantity]]</f>
        <v>168</v>
      </c>
      <c r="U645" s="1" cm="1">
        <f t="array" ref="U645">_xlfn.SWITCH(Table1[[#This Row],[Product ID]],"P001",15,"P002",0,"P003",8,"P004",8,"P005",0,"P006",7,"P007",7,"P008",6,"P009",45,"P010",60)</f>
        <v>7</v>
      </c>
      <c r="V645" s="1">
        <f>Table1[[#This Row],[Shipping per Unit]]*Table1[[#This Row],[Quantity]]</f>
        <v>49</v>
      </c>
      <c r="W645" s="2">
        <f>IF(Table1[[#This Row],[Total Shipping]]&gt;0.1,0.2,0)</f>
        <v>0.2</v>
      </c>
      <c r="X645" s="4">
        <f>Table1[[#This Row],[Total Shipping]]*Table1[[#This Row],[VAT on Shipping]]</f>
        <v>9.8000000000000007</v>
      </c>
      <c r="Y645" s="1">
        <f>Table1[[#This Row],[Revenue]]-Table1[[#This Row],[COGS]]</f>
        <v>78.400000000000006</v>
      </c>
      <c r="Z645" s="3">
        <f>(Table1[[#This Row],[Profit]]/Table1[[#This Row],[Revenue]])</f>
        <v>0.31818181818181818</v>
      </c>
      <c r="AA645" s="1">
        <f>Table1[[#This Row],[Profit]]-Table1[[#This Row],[Total Shipping]]</f>
        <v>29.400000000000006</v>
      </c>
      <c r="AB645" s="3">
        <f>Table1[[#This Row],[Operating Profit]]/Table1[[#This Row],[Revenue]]</f>
        <v>0.11931818181818184</v>
      </c>
    </row>
    <row r="646" spans="1:28" x14ac:dyDescent="0.25">
      <c r="A646" t="s">
        <v>304</v>
      </c>
      <c r="B646">
        <v>926</v>
      </c>
      <c r="C646" t="s">
        <v>71</v>
      </c>
      <c r="D646" t="s">
        <v>39</v>
      </c>
      <c r="E646" t="s">
        <v>31</v>
      </c>
      <c r="F646" t="s">
        <v>66</v>
      </c>
      <c r="G646" t="str" cm="1">
        <f t="array" ref="G646">_xlfn.SWITCH(F646,"Acme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646" t="s">
        <v>33</v>
      </c>
      <c r="I646" t="s">
        <v>42</v>
      </c>
      <c r="J646" t="str" cm="1">
        <f t="array" ref="J646">_xlfn.SWITCH(I646,"P001","Laptop","P002","Server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46" s="1" cm="1">
        <f t="array" ref="K646">_xlfn.SWITCH(Table1[[#This Row],[Product ID]],"P001",220,"P002",150,"P003",130,"P004",70,"P005",200,"P006",40,"P007",25,"P008",20,"P009",190,"P010",530)</f>
        <v>40</v>
      </c>
      <c r="L646">
        <v>13</v>
      </c>
      <c r="M646" s="1">
        <f>Table1[[#This Row],[Unit Price]]*Table1[[#This Row],[Quantity]]</f>
        <v>520</v>
      </c>
      <c r="N646" s="2">
        <v>0.03</v>
      </c>
      <c r="O646" s="1">
        <f>Table1[[#This Row],[Gross Value]]*(1-Table1[[#This Row],[Discount]])</f>
        <v>504.4</v>
      </c>
      <c r="P646" s="2">
        <v>0.2</v>
      </c>
      <c r="Q646" s="1">
        <f>Table1[[#This Row],[Revenue]]*Table1[[#This Row],[VAT Rate]]</f>
        <v>100.88</v>
      </c>
      <c r="R646" s="1">
        <f>Table1[[#This Row],[Revenue]]+Table1[[#This Row],[VAT Charged]]</f>
        <v>605.28</v>
      </c>
      <c r="S646" s="1" cm="1">
        <f t="array" ref="S646">_xlfn.SWITCH(Table1[[#This Row],[Product ID]],"P001",140,"P002",80,"P003",72,"P004",30,"P005",110,"P006",24,"P007",14,"P008",12,"P009",115,"P010",360)</f>
        <v>24</v>
      </c>
      <c r="T646" s="1" cm="1">
        <f t="array" ref="T646">(_xlfn.SWITCH(Table1[[#This Row],[Product ID]],"P001",140,"P002",80,"P003",72,"P004",30,"P005",110,"P006",24,"P007",14,"P008",12,"P009",115,"P010",360))*Table1[[#This Row],[Quantity]]</f>
        <v>312</v>
      </c>
      <c r="U646" s="1" cm="1">
        <f t="array" ref="U646">_xlfn.SWITCH(Table1[[#This Row],[Product ID]],"P001",15,"P002",0,"P003",8,"P004",8,"P005",0,"P006",7,"P007",7,"P008",6,"P009",45,"P010",60)</f>
        <v>7</v>
      </c>
      <c r="V646" s="1">
        <f>Table1[[#This Row],[Shipping per Unit]]*Table1[[#This Row],[Quantity]]</f>
        <v>91</v>
      </c>
      <c r="W646" s="2">
        <f>IF(Table1[[#This Row],[Total Shipping]]&gt;0.1,0.2,0)</f>
        <v>0.2</v>
      </c>
      <c r="X646" s="4">
        <f>Table1[[#This Row],[Total Shipping]]*Table1[[#This Row],[VAT on Shipping]]</f>
        <v>18.2</v>
      </c>
      <c r="Y646" s="1">
        <f>Table1[[#This Row],[Revenue]]-Table1[[#This Row],[COGS]]</f>
        <v>192.39999999999998</v>
      </c>
      <c r="Z646" s="3">
        <f>(Table1[[#This Row],[Profit]]/Table1[[#This Row],[Revenue]])</f>
        <v>0.38144329896907214</v>
      </c>
      <c r="AA646" s="1">
        <f>Table1[[#This Row],[Profit]]-Table1[[#This Row],[Total Shipping]]</f>
        <v>101.39999999999998</v>
      </c>
      <c r="AB646" s="3">
        <f>Table1[[#This Row],[Operating Profit]]/Table1[[#This Row],[Revenue]]</f>
        <v>0.2010309278350515</v>
      </c>
    </row>
    <row r="647" spans="1:28" x14ac:dyDescent="0.25">
      <c r="A647" t="s">
        <v>305</v>
      </c>
      <c r="B647">
        <v>16</v>
      </c>
      <c r="C647" t="s">
        <v>62</v>
      </c>
      <c r="D647" t="s">
        <v>95</v>
      </c>
      <c r="E647" t="s">
        <v>40</v>
      </c>
      <c r="F647" t="s">
        <v>79</v>
      </c>
      <c r="G647" t="str" cm="1">
        <f t="array" ref="G647">_xlfn.SWITCH(F647,"Acme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47" t="s">
        <v>33</v>
      </c>
      <c r="I647" t="s">
        <v>42</v>
      </c>
      <c r="J647" t="str" cm="1">
        <f t="array" ref="J647">_xlfn.SWITCH(I647,"P001","Laptop","P002","Server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47" s="1" cm="1">
        <f t="array" ref="K647">_xlfn.SWITCH(Table1[[#This Row],[Product ID]],"P001",220,"P002",150,"P003",130,"P004",70,"P005",200,"P006",40,"P007",25,"P008",20,"P009",190,"P010",530)</f>
        <v>40</v>
      </c>
      <c r="L647">
        <v>5</v>
      </c>
      <c r="M647" s="1">
        <f>Table1[[#This Row],[Unit Price]]*Table1[[#This Row],[Quantity]]</f>
        <v>200</v>
      </c>
      <c r="N647" s="2">
        <v>0.08</v>
      </c>
      <c r="O647" s="1">
        <f>Table1[[#This Row],[Gross Value]]*(1-Table1[[#This Row],[Discount]])</f>
        <v>184</v>
      </c>
      <c r="P647" s="2">
        <v>0.2</v>
      </c>
      <c r="Q647" s="1">
        <f>Table1[[#This Row],[Revenue]]*Table1[[#This Row],[VAT Rate]]</f>
        <v>36.800000000000004</v>
      </c>
      <c r="R647" s="1">
        <f>Table1[[#This Row],[Revenue]]+Table1[[#This Row],[VAT Charged]]</f>
        <v>220.8</v>
      </c>
      <c r="S647" s="1" cm="1">
        <f t="array" ref="S647">_xlfn.SWITCH(Table1[[#This Row],[Product ID]],"P001",140,"P002",80,"P003",72,"P004",30,"P005",110,"P006",24,"P007",14,"P008",12,"P009",115,"P010",360)</f>
        <v>24</v>
      </c>
      <c r="T647" s="1" cm="1">
        <f t="array" ref="T647">(_xlfn.SWITCH(Table1[[#This Row],[Product ID]],"P001",140,"P002",80,"P003",72,"P004",30,"P005",110,"P006",24,"P007",14,"P008",12,"P009",115,"P010",360))*Table1[[#This Row],[Quantity]]</f>
        <v>120</v>
      </c>
      <c r="U647" s="1" cm="1">
        <f t="array" ref="U647">_xlfn.SWITCH(Table1[[#This Row],[Product ID]],"P001",15,"P002",0,"P003",8,"P004",8,"P005",0,"P006",7,"P007",7,"P008",6,"P009",45,"P010",60)</f>
        <v>7</v>
      </c>
      <c r="V647" s="1">
        <f>Table1[[#This Row],[Shipping per Unit]]*Table1[[#This Row],[Quantity]]</f>
        <v>35</v>
      </c>
      <c r="W647" s="2">
        <f>IF(Table1[[#This Row],[Total Shipping]]&gt;0.1,0.2,0)</f>
        <v>0.2</v>
      </c>
      <c r="X647" s="4">
        <f>Table1[[#This Row],[Total Shipping]]*Table1[[#This Row],[VAT on Shipping]]</f>
        <v>7</v>
      </c>
      <c r="Y647" s="1">
        <f>Table1[[#This Row],[Revenue]]-Table1[[#This Row],[COGS]]</f>
        <v>64</v>
      </c>
      <c r="Z647" s="3">
        <f>(Table1[[#This Row],[Profit]]/Table1[[#This Row],[Revenue]])</f>
        <v>0.34782608695652173</v>
      </c>
      <c r="AA647" s="1">
        <f>Table1[[#This Row],[Profit]]-Table1[[#This Row],[Total Shipping]]</f>
        <v>29</v>
      </c>
      <c r="AB647" s="3">
        <f>Table1[[#This Row],[Operating Profit]]/Table1[[#This Row],[Revenue]]</f>
        <v>0.15760869565217392</v>
      </c>
    </row>
    <row r="648" spans="1:28" x14ac:dyDescent="0.25">
      <c r="A648" t="s">
        <v>305</v>
      </c>
      <c r="B648">
        <v>244</v>
      </c>
      <c r="C648" t="s">
        <v>38</v>
      </c>
      <c r="D648" t="s">
        <v>95</v>
      </c>
      <c r="E648" t="s">
        <v>40</v>
      </c>
      <c r="F648" t="s">
        <v>113</v>
      </c>
      <c r="G648" t="str" cm="1">
        <f t="array" ref="G648">_xlfn.SWITCH(F648,"Acme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648" t="s">
        <v>45</v>
      </c>
      <c r="I648" t="s">
        <v>60</v>
      </c>
      <c r="J648" t="str" cm="1">
        <f t="array" ref="J648">_xlfn.SWITCH(I648,"P001","Laptop","P002","Server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48" s="1" cm="1">
        <f t="array" ref="K648">_xlfn.SWITCH(Table1[[#This Row],[Product ID]],"P001",220,"P002",150,"P003",130,"P004",70,"P005",200,"P006",40,"P007",25,"P008",20,"P009",190,"P010",530)</f>
        <v>25</v>
      </c>
      <c r="L648">
        <v>8</v>
      </c>
      <c r="M648" s="1">
        <f>Table1[[#This Row],[Unit Price]]*Table1[[#This Row],[Quantity]]</f>
        <v>200</v>
      </c>
      <c r="N648" s="2">
        <v>0.03</v>
      </c>
      <c r="O648" s="1">
        <f>Table1[[#This Row],[Gross Value]]*(1-Table1[[#This Row],[Discount]])</f>
        <v>194</v>
      </c>
      <c r="P648" s="2">
        <v>0.2</v>
      </c>
      <c r="Q648" s="1">
        <f>Table1[[#This Row],[Revenue]]*Table1[[#This Row],[VAT Rate]]</f>
        <v>38.800000000000004</v>
      </c>
      <c r="R648" s="1">
        <f>Table1[[#This Row],[Revenue]]+Table1[[#This Row],[VAT Charged]]</f>
        <v>232.8</v>
      </c>
      <c r="S648" s="1" cm="1">
        <f t="array" ref="S648">_xlfn.SWITCH(Table1[[#This Row],[Product ID]],"P001",140,"P002",80,"P003",72,"P004",30,"P005",110,"P006",24,"P007",14,"P008",12,"P009",115,"P010",360)</f>
        <v>14</v>
      </c>
      <c r="T648" s="1" cm="1">
        <f t="array" ref="T648">(_xlfn.SWITCH(Table1[[#This Row],[Product ID]],"P001",140,"P002",80,"P003",72,"P004",30,"P005",110,"P006",24,"P007",14,"P008",12,"P009",115,"P010",360))*Table1[[#This Row],[Quantity]]</f>
        <v>112</v>
      </c>
      <c r="U648" s="1" cm="1">
        <f t="array" ref="U648">_xlfn.SWITCH(Table1[[#This Row],[Product ID]],"P001",15,"P002",0,"P003",8,"P004",8,"P005",0,"P006",7,"P007",7,"P008",6,"P009",45,"P010",60)</f>
        <v>7</v>
      </c>
      <c r="V648" s="1">
        <f>Table1[[#This Row],[Shipping per Unit]]*Table1[[#This Row],[Quantity]]</f>
        <v>56</v>
      </c>
      <c r="W648" s="2">
        <f>IF(Table1[[#This Row],[Total Shipping]]&gt;0.1,0.2,0)</f>
        <v>0.2</v>
      </c>
      <c r="X648" s="4">
        <f>Table1[[#This Row],[Total Shipping]]*Table1[[#This Row],[VAT on Shipping]]</f>
        <v>11.200000000000001</v>
      </c>
      <c r="Y648" s="1">
        <f>Table1[[#This Row],[Revenue]]-Table1[[#This Row],[COGS]]</f>
        <v>82</v>
      </c>
      <c r="Z648" s="3">
        <f>(Table1[[#This Row],[Profit]]/Table1[[#This Row],[Revenue]])</f>
        <v>0.42268041237113402</v>
      </c>
      <c r="AA648" s="1">
        <f>Table1[[#This Row],[Profit]]-Table1[[#This Row],[Total Shipping]]</f>
        <v>26</v>
      </c>
      <c r="AB648" s="3">
        <f>Table1[[#This Row],[Operating Profit]]/Table1[[#This Row],[Revenue]]</f>
        <v>0.13402061855670103</v>
      </c>
    </row>
    <row r="649" spans="1:28" x14ac:dyDescent="0.25">
      <c r="A649" t="s">
        <v>305</v>
      </c>
      <c r="B649">
        <v>375</v>
      </c>
      <c r="C649" t="s">
        <v>62</v>
      </c>
      <c r="D649" t="s">
        <v>67</v>
      </c>
      <c r="E649" t="s">
        <v>31</v>
      </c>
      <c r="F649" t="s">
        <v>102</v>
      </c>
      <c r="G649" t="str" cm="1">
        <f t="array" ref="G649">_xlfn.SWITCH(F649,"Acme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649" t="s">
        <v>45</v>
      </c>
      <c r="I649" t="s">
        <v>91</v>
      </c>
      <c r="J649" t="str" cm="1">
        <f t="array" ref="J649">_xlfn.SWITCH(I649,"P001","Laptop","P002","Server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49" s="1" cm="1">
        <f t="array" ref="K649">_xlfn.SWITCH(Table1[[#This Row],[Product ID]],"P001",220,"P002",150,"P003",130,"P004",70,"P005",200,"P006",40,"P007",25,"P008",20,"P009",190,"P010",530)</f>
        <v>190</v>
      </c>
      <c r="L649">
        <v>12</v>
      </c>
      <c r="M649" s="1">
        <f>Table1[[#This Row],[Unit Price]]*Table1[[#This Row],[Quantity]]</f>
        <v>2280</v>
      </c>
      <c r="N649" s="2">
        <v>0.05</v>
      </c>
      <c r="O649" s="1">
        <f>Table1[[#This Row],[Gross Value]]*(1-Table1[[#This Row],[Discount]])</f>
        <v>2166</v>
      </c>
      <c r="P649" s="2">
        <v>0.2</v>
      </c>
      <c r="Q649" s="1">
        <f>Table1[[#This Row],[Revenue]]*Table1[[#This Row],[VAT Rate]]</f>
        <v>433.20000000000005</v>
      </c>
      <c r="R649" s="1">
        <f>Table1[[#This Row],[Revenue]]+Table1[[#This Row],[VAT Charged]]</f>
        <v>2599.1999999999998</v>
      </c>
      <c r="S649" s="1" cm="1">
        <f t="array" ref="S649">_xlfn.SWITCH(Table1[[#This Row],[Product ID]],"P001",140,"P002",80,"P003",72,"P004",30,"P005",110,"P006",24,"P007",14,"P008",12,"P009",115,"P010",360)</f>
        <v>115</v>
      </c>
      <c r="T649" s="1" cm="1">
        <f t="array" ref="T649">(_xlfn.SWITCH(Table1[[#This Row],[Product ID]],"P001",140,"P002",80,"P003",72,"P004",30,"P005",110,"P006",24,"P007",14,"P008",12,"P009",115,"P010",360))*Table1[[#This Row],[Quantity]]</f>
        <v>1380</v>
      </c>
      <c r="U649" s="1" cm="1">
        <f t="array" ref="U649">_xlfn.SWITCH(Table1[[#This Row],[Product ID]],"P001",15,"P002",0,"P003",8,"P004",8,"P005",0,"P006",7,"P007",7,"P008",6,"P009",45,"P010",60)</f>
        <v>45</v>
      </c>
      <c r="V649" s="1">
        <f>Table1[[#This Row],[Shipping per Unit]]*Table1[[#This Row],[Quantity]]</f>
        <v>540</v>
      </c>
      <c r="W649" s="2">
        <f>IF(Table1[[#This Row],[Total Shipping]]&gt;0.1,0.2,0)</f>
        <v>0.2</v>
      </c>
      <c r="X649" s="4">
        <f>Table1[[#This Row],[Total Shipping]]*Table1[[#This Row],[VAT on Shipping]]</f>
        <v>108</v>
      </c>
      <c r="Y649" s="1">
        <f>Table1[[#This Row],[Revenue]]-Table1[[#This Row],[COGS]]</f>
        <v>786</v>
      </c>
      <c r="Z649" s="3">
        <f>(Table1[[#This Row],[Profit]]/Table1[[#This Row],[Revenue]])</f>
        <v>0.36288088642659277</v>
      </c>
      <c r="AA649" s="1">
        <f>Table1[[#This Row],[Profit]]-Table1[[#This Row],[Total Shipping]]</f>
        <v>246</v>
      </c>
      <c r="AB649" s="3">
        <f>Table1[[#This Row],[Operating Profit]]/Table1[[#This Row],[Revenue]]</f>
        <v>0.11357340720221606</v>
      </c>
    </row>
    <row r="650" spans="1:28" x14ac:dyDescent="0.25">
      <c r="A650" t="s">
        <v>305</v>
      </c>
      <c r="B650">
        <v>514</v>
      </c>
      <c r="C650" t="s">
        <v>38</v>
      </c>
      <c r="D650" t="s">
        <v>63</v>
      </c>
      <c r="E650" t="s">
        <v>49</v>
      </c>
      <c r="F650" t="s">
        <v>66</v>
      </c>
      <c r="G650" t="str" cm="1">
        <f t="array" ref="G650">_xlfn.SWITCH(F650,"Acme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650" t="s">
        <v>45</v>
      </c>
      <c r="I650" t="s">
        <v>91</v>
      </c>
      <c r="J650" t="str" cm="1">
        <f t="array" ref="J650">_xlfn.SWITCH(I650,"P001","Laptop","P002","Server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50" s="1" cm="1">
        <f t="array" ref="K650">_xlfn.SWITCH(Table1[[#This Row],[Product ID]],"P001",220,"P002",150,"P003",130,"P004",70,"P005",200,"P006",40,"P007",25,"P008",20,"P009",190,"P010",530)</f>
        <v>190</v>
      </c>
      <c r="L650">
        <v>16</v>
      </c>
      <c r="M650" s="1">
        <f>Table1[[#This Row],[Unit Price]]*Table1[[#This Row],[Quantity]]</f>
        <v>3040</v>
      </c>
      <c r="N650" s="2">
        <v>0.08</v>
      </c>
      <c r="O650" s="1">
        <f>Table1[[#This Row],[Gross Value]]*(1-Table1[[#This Row],[Discount]])</f>
        <v>2796.8</v>
      </c>
      <c r="P650" s="2">
        <v>0.2</v>
      </c>
      <c r="Q650" s="1">
        <f>Table1[[#This Row],[Revenue]]*Table1[[#This Row],[VAT Rate]]</f>
        <v>559.36</v>
      </c>
      <c r="R650" s="1">
        <f>Table1[[#This Row],[Revenue]]+Table1[[#This Row],[VAT Charged]]</f>
        <v>3356.1600000000003</v>
      </c>
      <c r="S650" s="1" cm="1">
        <f t="array" ref="S650">_xlfn.SWITCH(Table1[[#This Row],[Product ID]],"P001",140,"P002",80,"P003",72,"P004",30,"P005",110,"P006",24,"P007",14,"P008",12,"P009",115,"P010",360)</f>
        <v>115</v>
      </c>
      <c r="T650" s="1" cm="1">
        <f t="array" ref="T650">(_xlfn.SWITCH(Table1[[#This Row],[Product ID]],"P001",140,"P002",80,"P003",72,"P004",30,"P005",110,"P006",24,"P007",14,"P008",12,"P009",115,"P010",360))*Table1[[#This Row],[Quantity]]</f>
        <v>1840</v>
      </c>
      <c r="U650" s="1" cm="1">
        <f t="array" ref="U650">_xlfn.SWITCH(Table1[[#This Row],[Product ID]],"P001",15,"P002",0,"P003",8,"P004",8,"P005",0,"P006",7,"P007",7,"P008",6,"P009",45,"P010",60)</f>
        <v>45</v>
      </c>
      <c r="V650" s="1">
        <f>Table1[[#This Row],[Shipping per Unit]]*Table1[[#This Row],[Quantity]]</f>
        <v>720</v>
      </c>
      <c r="W650" s="2">
        <f>IF(Table1[[#This Row],[Total Shipping]]&gt;0.1,0.2,0)</f>
        <v>0.2</v>
      </c>
      <c r="X650" s="4">
        <f>Table1[[#This Row],[Total Shipping]]*Table1[[#This Row],[VAT on Shipping]]</f>
        <v>144</v>
      </c>
      <c r="Y650" s="1">
        <f>Table1[[#This Row],[Revenue]]-Table1[[#This Row],[COGS]]</f>
        <v>956.80000000000018</v>
      </c>
      <c r="Z650" s="3">
        <f>(Table1[[#This Row],[Profit]]/Table1[[#This Row],[Revenue]])</f>
        <v>0.3421052631578948</v>
      </c>
      <c r="AA650" s="1">
        <f>Table1[[#This Row],[Profit]]-Table1[[#This Row],[Total Shipping]]</f>
        <v>236.80000000000018</v>
      </c>
      <c r="AB650" s="3">
        <f>Table1[[#This Row],[Operating Profit]]/Table1[[#This Row],[Revenue]]</f>
        <v>8.4668192219679694E-2</v>
      </c>
    </row>
    <row r="651" spans="1:28" x14ac:dyDescent="0.25">
      <c r="A651" t="s">
        <v>305</v>
      </c>
      <c r="B651">
        <v>602</v>
      </c>
      <c r="C651" t="s">
        <v>38</v>
      </c>
      <c r="D651" t="s">
        <v>36</v>
      </c>
      <c r="E651" t="s">
        <v>31</v>
      </c>
      <c r="F651" t="s">
        <v>103</v>
      </c>
      <c r="G651" t="str" cm="1">
        <f t="array" ref="G651">_xlfn.SWITCH(F651,"Acme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651" t="s">
        <v>33</v>
      </c>
      <c r="I651" t="s">
        <v>42</v>
      </c>
      <c r="J651" t="str" cm="1">
        <f t="array" ref="J651">_xlfn.SWITCH(I651,"P001","Laptop","P002","Server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51" s="1" cm="1">
        <f t="array" ref="K651">_xlfn.SWITCH(Table1[[#This Row],[Product ID]],"P001",220,"P002",150,"P003",130,"P004",70,"P005",200,"P006",40,"P007",25,"P008",20,"P009",190,"P010",530)</f>
        <v>40</v>
      </c>
      <c r="L651">
        <v>11</v>
      </c>
      <c r="M651" s="1">
        <f>Table1[[#This Row],[Unit Price]]*Table1[[#This Row],[Quantity]]</f>
        <v>440</v>
      </c>
      <c r="N651" s="2">
        <v>0.03</v>
      </c>
      <c r="O651" s="1">
        <f>Table1[[#This Row],[Gross Value]]*(1-Table1[[#This Row],[Discount]])</f>
        <v>426.8</v>
      </c>
      <c r="P651" s="2">
        <v>0.2</v>
      </c>
      <c r="Q651" s="1">
        <f>Table1[[#This Row],[Revenue]]*Table1[[#This Row],[VAT Rate]]</f>
        <v>85.360000000000014</v>
      </c>
      <c r="R651" s="1">
        <f>Table1[[#This Row],[Revenue]]+Table1[[#This Row],[VAT Charged]]</f>
        <v>512.16000000000008</v>
      </c>
      <c r="S651" s="1" cm="1">
        <f t="array" ref="S651">_xlfn.SWITCH(Table1[[#This Row],[Product ID]],"P001",140,"P002",80,"P003",72,"P004",30,"P005",110,"P006",24,"P007",14,"P008",12,"P009",115,"P010",360)</f>
        <v>24</v>
      </c>
      <c r="T651" s="1" cm="1">
        <f t="array" ref="T651">(_xlfn.SWITCH(Table1[[#This Row],[Product ID]],"P001",140,"P002",80,"P003",72,"P004",30,"P005",110,"P006",24,"P007",14,"P008",12,"P009",115,"P010",360))*Table1[[#This Row],[Quantity]]</f>
        <v>264</v>
      </c>
      <c r="U651" s="1" cm="1">
        <f t="array" ref="U651">_xlfn.SWITCH(Table1[[#This Row],[Product ID]],"P001",15,"P002",0,"P003",8,"P004",8,"P005",0,"P006",7,"P007",7,"P008",6,"P009",45,"P010",60)</f>
        <v>7</v>
      </c>
      <c r="V651" s="1">
        <f>Table1[[#This Row],[Shipping per Unit]]*Table1[[#This Row],[Quantity]]</f>
        <v>77</v>
      </c>
      <c r="W651" s="2">
        <f>IF(Table1[[#This Row],[Total Shipping]]&gt;0.1,0.2,0)</f>
        <v>0.2</v>
      </c>
      <c r="X651" s="4">
        <f>Table1[[#This Row],[Total Shipping]]*Table1[[#This Row],[VAT on Shipping]]</f>
        <v>15.4</v>
      </c>
      <c r="Y651" s="1">
        <f>Table1[[#This Row],[Revenue]]-Table1[[#This Row],[COGS]]</f>
        <v>162.80000000000001</v>
      </c>
      <c r="Z651" s="3">
        <f>(Table1[[#This Row],[Profit]]/Table1[[#This Row],[Revenue]])</f>
        <v>0.3814432989690722</v>
      </c>
      <c r="AA651" s="1">
        <f>Table1[[#This Row],[Profit]]-Table1[[#This Row],[Total Shipping]]</f>
        <v>85.800000000000011</v>
      </c>
      <c r="AB651" s="3">
        <f>Table1[[#This Row],[Operating Profit]]/Table1[[#This Row],[Revenue]]</f>
        <v>0.20103092783505155</v>
      </c>
    </row>
    <row r="652" spans="1:28" x14ac:dyDescent="0.25">
      <c r="A652" t="s">
        <v>306</v>
      </c>
      <c r="B652">
        <v>192</v>
      </c>
      <c r="C652" t="s">
        <v>56</v>
      </c>
      <c r="D652" t="s">
        <v>57</v>
      </c>
      <c r="E652" t="s">
        <v>31</v>
      </c>
      <c r="F652" t="s">
        <v>86</v>
      </c>
      <c r="G652" t="str" cm="1">
        <f t="array" ref="G652">_xlfn.SWITCH(F652,"Acme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652" t="s">
        <v>33</v>
      </c>
      <c r="I652" t="s">
        <v>42</v>
      </c>
      <c r="J652" t="str" cm="1">
        <f t="array" ref="J652">_xlfn.SWITCH(I652,"P001","Laptop","P002","Server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52" s="1" cm="1">
        <f t="array" ref="K652">_xlfn.SWITCH(Table1[[#This Row],[Product ID]],"P001",220,"P002",150,"P003",130,"P004",70,"P005",200,"P006",40,"P007",25,"P008",20,"P009",190,"P010",530)</f>
        <v>40</v>
      </c>
      <c r="L652">
        <v>16</v>
      </c>
      <c r="M652" s="1">
        <f>Table1[[#This Row],[Unit Price]]*Table1[[#This Row],[Quantity]]</f>
        <v>640</v>
      </c>
      <c r="N652" s="2">
        <v>0.08</v>
      </c>
      <c r="O652" s="1">
        <f>Table1[[#This Row],[Gross Value]]*(1-Table1[[#This Row],[Discount]])</f>
        <v>588.80000000000007</v>
      </c>
      <c r="P652" s="2">
        <v>0.2</v>
      </c>
      <c r="Q652" s="1">
        <f>Table1[[#This Row],[Revenue]]*Table1[[#This Row],[VAT Rate]]</f>
        <v>117.76000000000002</v>
      </c>
      <c r="R652" s="1">
        <f>Table1[[#This Row],[Revenue]]+Table1[[#This Row],[VAT Charged]]</f>
        <v>706.56000000000006</v>
      </c>
      <c r="S652" s="1" cm="1">
        <f t="array" ref="S652">_xlfn.SWITCH(Table1[[#This Row],[Product ID]],"P001",140,"P002",80,"P003",72,"P004",30,"P005",110,"P006",24,"P007",14,"P008",12,"P009",115,"P010",360)</f>
        <v>24</v>
      </c>
      <c r="T652" s="1" cm="1">
        <f t="array" ref="T652">(_xlfn.SWITCH(Table1[[#This Row],[Product ID]],"P001",140,"P002",80,"P003",72,"P004",30,"P005",110,"P006",24,"P007",14,"P008",12,"P009",115,"P010",360))*Table1[[#This Row],[Quantity]]</f>
        <v>384</v>
      </c>
      <c r="U652" s="1" cm="1">
        <f t="array" ref="U652">_xlfn.SWITCH(Table1[[#This Row],[Product ID]],"P001",15,"P002",0,"P003",8,"P004",8,"P005",0,"P006",7,"P007",7,"P008",6,"P009",45,"P010",60)</f>
        <v>7</v>
      </c>
      <c r="V652" s="1">
        <f>Table1[[#This Row],[Shipping per Unit]]*Table1[[#This Row],[Quantity]]</f>
        <v>112</v>
      </c>
      <c r="W652" s="2">
        <f>IF(Table1[[#This Row],[Total Shipping]]&gt;0.1,0.2,0)</f>
        <v>0.2</v>
      </c>
      <c r="X652" s="4">
        <f>Table1[[#This Row],[Total Shipping]]*Table1[[#This Row],[VAT on Shipping]]</f>
        <v>22.400000000000002</v>
      </c>
      <c r="Y652" s="1">
        <f>Table1[[#This Row],[Revenue]]-Table1[[#This Row],[COGS]]</f>
        <v>204.80000000000007</v>
      </c>
      <c r="Z652" s="3">
        <f>(Table1[[#This Row],[Profit]]/Table1[[#This Row],[Revenue]])</f>
        <v>0.34782608695652184</v>
      </c>
      <c r="AA652" s="1">
        <f>Table1[[#This Row],[Profit]]-Table1[[#This Row],[Total Shipping]]</f>
        <v>92.800000000000068</v>
      </c>
      <c r="AB652" s="3">
        <f>Table1[[#This Row],[Operating Profit]]/Table1[[#This Row],[Revenue]]</f>
        <v>0.157608695652174</v>
      </c>
    </row>
    <row r="653" spans="1:28" x14ac:dyDescent="0.25">
      <c r="A653" t="s">
        <v>306</v>
      </c>
      <c r="B653">
        <v>491</v>
      </c>
      <c r="C653" t="s">
        <v>71</v>
      </c>
      <c r="D653" t="s">
        <v>53</v>
      </c>
      <c r="E653" t="s">
        <v>31</v>
      </c>
      <c r="F653" t="s">
        <v>74</v>
      </c>
      <c r="G653" t="str" cm="1">
        <f t="array" ref="G653">_xlfn.SWITCH(F653,"Acme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653" t="s">
        <v>58</v>
      </c>
      <c r="I653" t="s">
        <v>55</v>
      </c>
      <c r="J653" t="str" cm="1">
        <f t="array" ref="J653">_xlfn.SWITCH(I653,"P001","Laptop","P002","Server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53" s="1" cm="1">
        <f t="array" ref="K653">_xlfn.SWITCH(Table1[[#This Row],[Product ID]],"P001",220,"P002",150,"P003",130,"P004",70,"P005",200,"P006",40,"P007",25,"P008",20,"P009",190,"P010",530)</f>
        <v>70</v>
      </c>
      <c r="L653">
        <v>2</v>
      </c>
      <c r="M653" s="1">
        <f>Table1[[#This Row],[Unit Price]]*Table1[[#This Row],[Quantity]]</f>
        <v>140</v>
      </c>
      <c r="N653" s="2">
        <v>0.04</v>
      </c>
      <c r="O653" s="1">
        <f>Table1[[#This Row],[Gross Value]]*(1-Table1[[#This Row],[Discount]])</f>
        <v>134.4</v>
      </c>
      <c r="P653" s="2">
        <v>0.2</v>
      </c>
      <c r="Q653" s="1">
        <f>Table1[[#This Row],[Revenue]]*Table1[[#This Row],[VAT Rate]]</f>
        <v>26.880000000000003</v>
      </c>
      <c r="R653" s="1">
        <f>Table1[[#This Row],[Revenue]]+Table1[[#This Row],[VAT Charged]]</f>
        <v>161.28</v>
      </c>
      <c r="S653" s="1" cm="1">
        <f t="array" ref="S653">_xlfn.SWITCH(Table1[[#This Row],[Product ID]],"P001",140,"P002",80,"P003",72,"P004",30,"P005",110,"P006",24,"P007",14,"P008",12,"P009",115,"P010",360)</f>
        <v>30</v>
      </c>
      <c r="T653" s="1" cm="1">
        <f t="array" ref="T653">(_xlfn.SWITCH(Table1[[#This Row],[Product ID]],"P001",140,"P002",80,"P003",72,"P004",30,"P005",110,"P006",24,"P007",14,"P008",12,"P009",115,"P010",360))*Table1[[#This Row],[Quantity]]</f>
        <v>60</v>
      </c>
      <c r="U653" s="1" cm="1">
        <f t="array" ref="U653">_xlfn.SWITCH(Table1[[#This Row],[Product ID]],"P001",15,"P002",0,"P003",8,"P004",8,"P005",0,"P006",7,"P007",7,"P008",6,"P009",45,"P010",60)</f>
        <v>8</v>
      </c>
      <c r="V653" s="1">
        <f>Table1[[#This Row],[Shipping per Unit]]*Table1[[#This Row],[Quantity]]</f>
        <v>16</v>
      </c>
      <c r="W653" s="2">
        <f>IF(Table1[[#This Row],[Total Shipping]]&gt;0.1,0.2,0)</f>
        <v>0.2</v>
      </c>
      <c r="X653" s="4">
        <f>Table1[[#This Row],[Total Shipping]]*Table1[[#This Row],[VAT on Shipping]]</f>
        <v>3.2</v>
      </c>
      <c r="Y653" s="1">
        <f>Table1[[#This Row],[Revenue]]-Table1[[#This Row],[COGS]]</f>
        <v>74.400000000000006</v>
      </c>
      <c r="Z653" s="3">
        <f>(Table1[[#This Row],[Profit]]/Table1[[#This Row],[Revenue]])</f>
        <v>0.5535714285714286</v>
      </c>
      <c r="AA653" s="1">
        <f>Table1[[#This Row],[Profit]]-Table1[[#This Row],[Total Shipping]]</f>
        <v>58.400000000000006</v>
      </c>
      <c r="AB653" s="3">
        <f>Table1[[#This Row],[Operating Profit]]/Table1[[#This Row],[Revenue]]</f>
        <v>0.43452380952380953</v>
      </c>
    </row>
    <row r="654" spans="1:28" x14ac:dyDescent="0.25">
      <c r="A654" t="s">
        <v>306</v>
      </c>
      <c r="B654">
        <v>534</v>
      </c>
      <c r="C654" t="s">
        <v>62</v>
      </c>
      <c r="D654" t="s">
        <v>30</v>
      </c>
      <c r="E654" t="s">
        <v>49</v>
      </c>
      <c r="F654" t="s">
        <v>84</v>
      </c>
      <c r="G654" t="str" cm="1">
        <f t="array" ref="G654">_xlfn.SWITCH(F654,"Acme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654" t="s">
        <v>58</v>
      </c>
      <c r="I654" t="s">
        <v>70</v>
      </c>
      <c r="J654" t="str" cm="1">
        <f t="array" ref="J654">_xlfn.SWITCH(I654,"P001","Laptop","P002","Server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654" s="1" cm="1">
        <f t="array" ref="K654">_xlfn.SWITCH(Table1[[#This Row],[Product ID]],"P001",220,"P002",150,"P003",130,"P004",70,"P005",200,"P006",40,"P007",25,"P008",20,"P009",190,"P010",530)</f>
        <v>150</v>
      </c>
      <c r="L654">
        <v>19</v>
      </c>
      <c r="M654" s="1">
        <f>Table1[[#This Row],[Unit Price]]*Table1[[#This Row],[Quantity]]</f>
        <v>2850</v>
      </c>
      <c r="N654" s="2">
        <v>0.1</v>
      </c>
      <c r="O654" s="1">
        <f>Table1[[#This Row],[Gross Value]]*(1-Table1[[#This Row],[Discount]])</f>
        <v>2565</v>
      </c>
      <c r="P654" s="2">
        <v>0.2</v>
      </c>
      <c r="Q654" s="1">
        <f>Table1[[#This Row],[Revenue]]*Table1[[#This Row],[VAT Rate]]</f>
        <v>513</v>
      </c>
      <c r="R654" s="1">
        <f>Table1[[#This Row],[Revenue]]+Table1[[#This Row],[VAT Charged]]</f>
        <v>3078</v>
      </c>
      <c r="S654" s="1" cm="1">
        <f t="array" ref="S654">_xlfn.SWITCH(Table1[[#This Row],[Product ID]],"P001",140,"P002",80,"P003",72,"P004",30,"P005",110,"P006",24,"P007",14,"P008",12,"P009",115,"P010",360)</f>
        <v>80</v>
      </c>
      <c r="T654" s="1" cm="1">
        <f t="array" ref="T654">(_xlfn.SWITCH(Table1[[#This Row],[Product ID]],"P001",140,"P002",80,"P003",72,"P004",30,"P005",110,"P006",24,"P007",14,"P008",12,"P009",115,"P010",360))*Table1[[#This Row],[Quantity]]</f>
        <v>1520</v>
      </c>
      <c r="U654" s="1" cm="1">
        <f t="array" ref="U654">_xlfn.SWITCH(Table1[[#This Row],[Product ID]],"P001",15,"P002",0,"P003",8,"P004",8,"P005",0,"P006",7,"P007",7,"P008",6,"P009",45,"P010",60)</f>
        <v>0</v>
      </c>
      <c r="V654" s="1">
        <f>Table1[[#This Row],[Shipping per Unit]]*Table1[[#This Row],[Quantity]]</f>
        <v>0</v>
      </c>
      <c r="W654" s="2">
        <f>IF(Table1[[#This Row],[Total Shipping]]&gt;0.1,0.2,0)</f>
        <v>0</v>
      </c>
      <c r="X654" s="4">
        <f>Table1[[#This Row],[Total Shipping]]*Table1[[#This Row],[VAT on Shipping]]</f>
        <v>0</v>
      </c>
      <c r="Y654" s="1">
        <f>Table1[[#This Row],[Revenue]]-Table1[[#This Row],[COGS]]</f>
        <v>1045</v>
      </c>
      <c r="Z654" s="3">
        <f>(Table1[[#This Row],[Profit]]/Table1[[#This Row],[Revenue]])</f>
        <v>0.40740740740740738</v>
      </c>
      <c r="AA654" s="1">
        <f>Table1[[#This Row],[Profit]]-Table1[[#This Row],[Total Shipping]]</f>
        <v>1045</v>
      </c>
      <c r="AB654" s="3">
        <f>Table1[[#This Row],[Operating Profit]]/Table1[[#This Row],[Revenue]]</f>
        <v>0.40740740740740738</v>
      </c>
    </row>
    <row r="655" spans="1:28" x14ac:dyDescent="0.25">
      <c r="A655" t="s">
        <v>306</v>
      </c>
      <c r="B655">
        <v>792</v>
      </c>
      <c r="C655" t="s">
        <v>62</v>
      </c>
      <c r="D655" t="s">
        <v>53</v>
      </c>
      <c r="E655" t="s">
        <v>40</v>
      </c>
      <c r="F655" t="s">
        <v>54</v>
      </c>
      <c r="G655" t="str" cm="1">
        <f t="array" ref="G655">_xlfn.SWITCH(F655,"Acme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655" t="s">
        <v>51</v>
      </c>
      <c r="I655" t="s">
        <v>55</v>
      </c>
      <c r="J655" t="str" cm="1">
        <f t="array" ref="J655">_xlfn.SWITCH(I655,"P001","Laptop","P002","Server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55" s="1" cm="1">
        <f t="array" ref="K655">_xlfn.SWITCH(Table1[[#This Row],[Product ID]],"P001",220,"P002",150,"P003",130,"P004",70,"P005",200,"P006",40,"P007",25,"P008",20,"P009",190,"P010",530)</f>
        <v>70</v>
      </c>
      <c r="L655">
        <v>10</v>
      </c>
      <c r="M655" s="1">
        <f>Table1[[#This Row],[Unit Price]]*Table1[[#This Row],[Quantity]]</f>
        <v>700</v>
      </c>
      <c r="N655" s="2">
        <v>7.0000000000000007E-2</v>
      </c>
      <c r="O655" s="1">
        <f>Table1[[#This Row],[Gross Value]]*(1-Table1[[#This Row],[Discount]])</f>
        <v>651</v>
      </c>
      <c r="P655" s="2">
        <v>0.2</v>
      </c>
      <c r="Q655" s="1">
        <f>Table1[[#This Row],[Revenue]]*Table1[[#This Row],[VAT Rate]]</f>
        <v>130.20000000000002</v>
      </c>
      <c r="R655" s="1">
        <f>Table1[[#This Row],[Revenue]]+Table1[[#This Row],[VAT Charged]]</f>
        <v>781.2</v>
      </c>
      <c r="S655" s="1" cm="1">
        <f t="array" ref="S655">_xlfn.SWITCH(Table1[[#This Row],[Product ID]],"P001",140,"P002",80,"P003",72,"P004",30,"P005",110,"P006",24,"P007",14,"P008",12,"P009",115,"P010",360)</f>
        <v>30</v>
      </c>
      <c r="T655" s="1" cm="1">
        <f t="array" ref="T655">(_xlfn.SWITCH(Table1[[#This Row],[Product ID]],"P001",140,"P002",80,"P003",72,"P004",30,"P005",110,"P006",24,"P007",14,"P008",12,"P009",115,"P010",360))*Table1[[#This Row],[Quantity]]</f>
        <v>300</v>
      </c>
      <c r="U655" s="1" cm="1">
        <f t="array" ref="U655">_xlfn.SWITCH(Table1[[#This Row],[Product ID]],"P001",15,"P002",0,"P003",8,"P004",8,"P005",0,"P006",7,"P007",7,"P008",6,"P009",45,"P010",60)</f>
        <v>8</v>
      </c>
      <c r="V655" s="1">
        <f>Table1[[#This Row],[Shipping per Unit]]*Table1[[#This Row],[Quantity]]</f>
        <v>80</v>
      </c>
      <c r="W655" s="2">
        <f>IF(Table1[[#This Row],[Total Shipping]]&gt;0.1,0.2,0)</f>
        <v>0.2</v>
      </c>
      <c r="X655" s="4">
        <f>Table1[[#This Row],[Total Shipping]]*Table1[[#This Row],[VAT on Shipping]]</f>
        <v>16</v>
      </c>
      <c r="Y655" s="1">
        <f>Table1[[#This Row],[Revenue]]-Table1[[#This Row],[COGS]]</f>
        <v>351</v>
      </c>
      <c r="Z655" s="3">
        <f>(Table1[[#This Row],[Profit]]/Table1[[#This Row],[Revenue]])</f>
        <v>0.53917050691244239</v>
      </c>
      <c r="AA655" s="1">
        <f>Table1[[#This Row],[Profit]]-Table1[[#This Row],[Total Shipping]]</f>
        <v>271</v>
      </c>
      <c r="AB655" s="3">
        <f>Table1[[#This Row],[Operating Profit]]/Table1[[#This Row],[Revenue]]</f>
        <v>0.41628264208909371</v>
      </c>
    </row>
    <row r="656" spans="1:28" x14ac:dyDescent="0.25">
      <c r="A656" t="s">
        <v>306</v>
      </c>
      <c r="B656">
        <v>993</v>
      </c>
      <c r="C656" t="s">
        <v>65</v>
      </c>
      <c r="D656" t="s">
        <v>39</v>
      </c>
      <c r="E656" t="s">
        <v>31</v>
      </c>
      <c r="F656" t="s">
        <v>44</v>
      </c>
      <c r="G656" t="str" cm="1">
        <f t="array" ref="G656">_xlfn.SWITCH(F656,"Acme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656" t="s">
        <v>58</v>
      </c>
      <c r="I656" t="s">
        <v>91</v>
      </c>
      <c r="J656" t="str" cm="1">
        <f t="array" ref="J656">_xlfn.SWITCH(I656,"P001","Laptop","P002","Server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56" s="1" cm="1">
        <f t="array" ref="K656">_xlfn.SWITCH(Table1[[#This Row],[Product ID]],"P001",220,"P002",150,"P003",130,"P004",70,"P005",200,"P006",40,"P007",25,"P008",20,"P009",190,"P010",530)</f>
        <v>190</v>
      </c>
      <c r="L656">
        <v>17</v>
      </c>
      <c r="M656" s="1">
        <f>Table1[[#This Row],[Unit Price]]*Table1[[#This Row],[Quantity]]</f>
        <v>3230</v>
      </c>
      <c r="N656" s="2">
        <v>0.02</v>
      </c>
      <c r="O656" s="1">
        <f>Table1[[#This Row],[Gross Value]]*(1-Table1[[#This Row],[Discount]])</f>
        <v>3165.4</v>
      </c>
      <c r="P656" s="2">
        <v>0.2</v>
      </c>
      <c r="Q656" s="1">
        <f>Table1[[#This Row],[Revenue]]*Table1[[#This Row],[VAT Rate]]</f>
        <v>633.08000000000004</v>
      </c>
      <c r="R656" s="1">
        <f>Table1[[#This Row],[Revenue]]+Table1[[#This Row],[VAT Charged]]</f>
        <v>3798.48</v>
      </c>
      <c r="S656" s="1" cm="1">
        <f t="array" ref="S656">_xlfn.SWITCH(Table1[[#This Row],[Product ID]],"P001",140,"P002",80,"P003",72,"P004",30,"P005",110,"P006",24,"P007",14,"P008",12,"P009",115,"P010",360)</f>
        <v>115</v>
      </c>
      <c r="T656" s="1" cm="1">
        <f t="array" ref="T656">(_xlfn.SWITCH(Table1[[#This Row],[Product ID]],"P001",140,"P002",80,"P003",72,"P004",30,"P005",110,"P006",24,"P007",14,"P008",12,"P009",115,"P010",360))*Table1[[#This Row],[Quantity]]</f>
        <v>1955</v>
      </c>
      <c r="U656" s="1" cm="1">
        <f t="array" ref="U656">_xlfn.SWITCH(Table1[[#This Row],[Product ID]],"P001",15,"P002",0,"P003",8,"P004",8,"P005",0,"P006",7,"P007",7,"P008",6,"P009",45,"P010",60)</f>
        <v>45</v>
      </c>
      <c r="V656" s="1">
        <f>Table1[[#This Row],[Shipping per Unit]]*Table1[[#This Row],[Quantity]]</f>
        <v>765</v>
      </c>
      <c r="W656" s="2">
        <f>IF(Table1[[#This Row],[Total Shipping]]&gt;0.1,0.2,0)</f>
        <v>0.2</v>
      </c>
      <c r="X656" s="4">
        <f>Table1[[#This Row],[Total Shipping]]*Table1[[#This Row],[VAT on Shipping]]</f>
        <v>153</v>
      </c>
      <c r="Y656" s="1">
        <f>Table1[[#This Row],[Revenue]]-Table1[[#This Row],[COGS]]</f>
        <v>1210.4000000000001</v>
      </c>
      <c r="Z656" s="3">
        <f>(Table1[[#This Row],[Profit]]/Table1[[#This Row],[Revenue]])</f>
        <v>0.38238453276047263</v>
      </c>
      <c r="AA656" s="1">
        <f>Table1[[#This Row],[Profit]]-Table1[[#This Row],[Total Shipping]]</f>
        <v>445.40000000000009</v>
      </c>
      <c r="AB656" s="3">
        <f>Table1[[#This Row],[Operating Profit]]/Table1[[#This Row],[Revenue]]</f>
        <v>0.14070891514500539</v>
      </c>
    </row>
    <row r="657" spans="1:28" x14ac:dyDescent="0.25">
      <c r="A657" t="s">
        <v>307</v>
      </c>
      <c r="B657">
        <v>455</v>
      </c>
      <c r="C657" t="s">
        <v>38</v>
      </c>
      <c r="D657" t="s">
        <v>30</v>
      </c>
      <c r="E657" t="s">
        <v>31</v>
      </c>
      <c r="F657" t="s">
        <v>50</v>
      </c>
      <c r="G657" t="str" cm="1">
        <f t="array" ref="G657">_xlfn.SWITCH(F657,"Acme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657" t="s">
        <v>45</v>
      </c>
      <c r="I657" t="s">
        <v>42</v>
      </c>
      <c r="J657" t="str" cm="1">
        <f t="array" ref="J657">_xlfn.SWITCH(I657,"P001","Laptop","P002","Server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57" s="1" cm="1">
        <f t="array" ref="K657">_xlfn.SWITCH(Table1[[#This Row],[Product ID]],"P001",220,"P002",150,"P003",130,"P004",70,"P005",200,"P006",40,"P007",25,"P008",20,"P009",190,"P010",530)</f>
        <v>40</v>
      </c>
      <c r="L657">
        <v>4</v>
      </c>
      <c r="M657" s="1">
        <f>Table1[[#This Row],[Unit Price]]*Table1[[#This Row],[Quantity]]</f>
        <v>160</v>
      </c>
      <c r="N657" s="2">
        <v>0.05</v>
      </c>
      <c r="O657" s="1">
        <f>Table1[[#This Row],[Gross Value]]*(1-Table1[[#This Row],[Discount]])</f>
        <v>152</v>
      </c>
      <c r="P657" s="2">
        <v>0.2</v>
      </c>
      <c r="Q657" s="1">
        <f>Table1[[#This Row],[Revenue]]*Table1[[#This Row],[VAT Rate]]</f>
        <v>30.400000000000002</v>
      </c>
      <c r="R657" s="1">
        <f>Table1[[#This Row],[Revenue]]+Table1[[#This Row],[VAT Charged]]</f>
        <v>182.4</v>
      </c>
      <c r="S657" s="1" cm="1">
        <f t="array" ref="S657">_xlfn.SWITCH(Table1[[#This Row],[Product ID]],"P001",140,"P002",80,"P003",72,"P004",30,"P005",110,"P006",24,"P007",14,"P008",12,"P009",115,"P010",360)</f>
        <v>24</v>
      </c>
      <c r="T657" s="1" cm="1">
        <f t="array" ref="T657">(_xlfn.SWITCH(Table1[[#This Row],[Product ID]],"P001",140,"P002",80,"P003",72,"P004",30,"P005",110,"P006",24,"P007",14,"P008",12,"P009",115,"P010",360))*Table1[[#This Row],[Quantity]]</f>
        <v>96</v>
      </c>
      <c r="U657" s="1" cm="1">
        <f t="array" ref="U657">_xlfn.SWITCH(Table1[[#This Row],[Product ID]],"P001",15,"P002",0,"P003",8,"P004",8,"P005",0,"P006",7,"P007",7,"P008",6,"P009",45,"P010",60)</f>
        <v>7</v>
      </c>
      <c r="V657" s="1">
        <f>Table1[[#This Row],[Shipping per Unit]]*Table1[[#This Row],[Quantity]]</f>
        <v>28</v>
      </c>
      <c r="W657" s="2">
        <f>IF(Table1[[#This Row],[Total Shipping]]&gt;0.1,0.2,0)</f>
        <v>0.2</v>
      </c>
      <c r="X657" s="4">
        <f>Table1[[#This Row],[Total Shipping]]*Table1[[#This Row],[VAT on Shipping]]</f>
        <v>5.6000000000000005</v>
      </c>
      <c r="Y657" s="1">
        <f>Table1[[#This Row],[Revenue]]-Table1[[#This Row],[COGS]]</f>
        <v>56</v>
      </c>
      <c r="Z657" s="3">
        <f>(Table1[[#This Row],[Profit]]/Table1[[#This Row],[Revenue]])</f>
        <v>0.36842105263157893</v>
      </c>
      <c r="AA657" s="1">
        <f>Table1[[#This Row],[Profit]]-Table1[[#This Row],[Total Shipping]]</f>
        <v>28</v>
      </c>
      <c r="AB657" s="3">
        <f>Table1[[#This Row],[Operating Profit]]/Table1[[#This Row],[Revenue]]</f>
        <v>0.18421052631578946</v>
      </c>
    </row>
    <row r="658" spans="1:28" x14ac:dyDescent="0.25">
      <c r="A658" t="s">
        <v>307</v>
      </c>
      <c r="B658">
        <v>901</v>
      </c>
      <c r="C658" t="s">
        <v>83</v>
      </c>
      <c r="D658" t="s">
        <v>95</v>
      </c>
      <c r="E658" t="s">
        <v>49</v>
      </c>
      <c r="F658" t="s">
        <v>64</v>
      </c>
      <c r="G658" t="str" cm="1">
        <f t="array" ref="G658">_xlfn.SWITCH(F658,"Acme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658" t="s">
        <v>45</v>
      </c>
      <c r="I658" t="s">
        <v>52</v>
      </c>
      <c r="J658" t="str" cm="1">
        <f t="array" ref="J658">_xlfn.SWITCH(I658,"P001","Laptop","P002","Server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658" s="1" cm="1">
        <f t="array" ref="K658">_xlfn.SWITCH(Table1[[#This Row],[Product ID]],"P001",220,"P002",150,"P003",130,"P004",70,"P005",200,"P006",40,"P007",25,"P008",20,"P009",190,"P010",530)</f>
        <v>130</v>
      </c>
      <c r="L658">
        <v>14</v>
      </c>
      <c r="M658" s="1">
        <f>Table1[[#This Row],[Unit Price]]*Table1[[#This Row],[Quantity]]</f>
        <v>1820</v>
      </c>
      <c r="N658" s="2">
        <v>0.03</v>
      </c>
      <c r="O658" s="1">
        <f>Table1[[#This Row],[Gross Value]]*(1-Table1[[#This Row],[Discount]])</f>
        <v>1765.3999999999999</v>
      </c>
      <c r="P658" s="2">
        <v>0.2</v>
      </c>
      <c r="Q658" s="1">
        <f>Table1[[#This Row],[Revenue]]*Table1[[#This Row],[VAT Rate]]</f>
        <v>353.08</v>
      </c>
      <c r="R658" s="1">
        <f>Table1[[#This Row],[Revenue]]+Table1[[#This Row],[VAT Charged]]</f>
        <v>2118.48</v>
      </c>
      <c r="S658" s="1" cm="1">
        <f t="array" ref="S658">_xlfn.SWITCH(Table1[[#This Row],[Product ID]],"P001",140,"P002",80,"P003",72,"P004",30,"P005",110,"P006",24,"P007",14,"P008",12,"P009",115,"P010",360)</f>
        <v>72</v>
      </c>
      <c r="T658" s="1" cm="1">
        <f t="array" ref="T658">(_xlfn.SWITCH(Table1[[#This Row],[Product ID]],"P001",140,"P002",80,"P003",72,"P004",30,"P005",110,"P006",24,"P007",14,"P008",12,"P009",115,"P010",360))*Table1[[#This Row],[Quantity]]</f>
        <v>1008</v>
      </c>
      <c r="U658" s="1" cm="1">
        <f t="array" ref="U658">_xlfn.SWITCH(Table1[[#This Row],[Product ID]],"P001",15,"P002",0,"P003",8,"P004",8,"P005",0,"P006",7,"P007",7,"P008",6,"P009",45,"P010",60)</f>
        <v>8</v>
      </c>
      <c r="V658" s="1">
        <f>Table1[[#This Row],[Shipping per Unit]]*Table1[[#This Row],[Quantity]]</f>
        <v>112</v>
      </c>
      <c r="W658" s="2">
        <f>IF(Table1[[#This Row],[Total Shipping]]&gt;0.1,0.2,0)</f>
        <v>0.2</v>
      </c>
      <c r="X658" s="4">
        <f>Table1[[#This Row],[Total Shipping]]*Table1[[#This Row],[VAT on Shipping]]</f>
        <v>22.400000000000002</v>
      </c>
      <c r="Y658" s="1">
        <f>Table1[[#This Row],[Revenue]]-Table1[[#This Row],[COGS]]</f>
        <v>757.39999999999986</v>
      </c>
      <c r="Z658" s="3">
        <f>(Table1[[#This Row],[Profit]]/Table1[[#This Row],[Revenue]])</f>
        <v>0.4290245836637589</v>
      </c>
      <c r="AA658" s="1">
        <f>Table1[[#This Row],[Profit]]-Table1[[#This Row],[Total Shipping]]</f>
        <v>645.39999999999986</v>
      </c>
      <c r="AB658" s="3">
        <f>Table1[[#This Row],[Operating Profit]]/Table1[[#This Row],[Revenue]]</f>
        <v>0.36558287073750989</v>
      </c>
    </row>
    <row r="659" spans="1:28" x14ac:dyDescent="0.25">
      <c r="A659" t="s">
        <v>308</v>
      </c>
      <c r="B659">
        <v>138</v>
      </c>
      <c r="C659" t="s">
        <v>29</v>
      </c>
      <c r="D659" t="s">
        <v>30</v>
      </c>
      <c r="E659" t="s">
        <v>49</v>
      </c>
      <c r="F659" t="s">
        <v>79</v>
      </c>
      <c r="G659" t="str" cm="1">
        <f t="array" ref="G659">_xlfn.SWITCH(F659,"Acme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59" t="s">
        <v>69</v>
      </c>
      <c r="I659" t="s">
        <v>46</v>
      </c>
      <c r="J659" t="str" cm="1">
        <f t="array" ref="J659">_xlfn.SWITCH(I659,"P001","Laptop","P002","Server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59" s="1" cm="1">
        <f t="array" ref="K659">_xlfn.SWITCH(Table1[[#This Row],[Product ID]],"P001",220,"P002",150,"P003",130,"P004",70,"P005",200,"P006",40,"P007",25,"P008",20,"P009",190,"P010",530)</f>
        <v>530</v>
      </c>
      <c r="L659">
        <v>7</v>
      </c>
      <c r="M659" s="1">
        <f>Table1[[#This Row],[Unit Price]]*Table1[[#This Row],[Quantity]]</f>
        <v>3710</v>
      </c>
      <c r="N659" s="2">
        <v>0.05</v>
      </c>
      <c r="O659" s="1">
        <f>Table1[[#This Row],[Gross Value]]*(1-Table1[[#This Row],[Discount]])</f>
        <v>3524.5</v>
      </c>
      <c r="P659" s="2">
        <v>0.2</v>
      </c>
      <c r="Q659" s="1">
        <f>Table1[[#This Row],[Revenue]]*Table1[[#This Row],[VAT Rate]]</f>
        <v>704.90000000000009</v>
      </c>
      <c r="R659" s="1">
        <f>Table1[[#This Row],[Revenue]]+Table1[[#This Row],[VAT Charged]]</f>
        <v>4229.3999999999996</v>
      </c>
      <c r="S659" s="1" cm="1">
        <f t="array" ref="S659">_xlfn.SWITCH(Table1[[#This Row],[Product ID]],"P001",140,"P002",80,"P003",72,"P004",30,"P005",110,"P006",24,"P007",14,"P008",12,"P009",115,"P010",360)</f>
        <v>360</v>
      </c>
      <c r="T659" s="1" cm="1">
        <f t="array" ref="T659">(_xlfn.SWITCH(Table1[[#This Row],[Product ID]],"P001",140,"P002",80,"P003",72,"P004",30,"P005",110,"P006",24,"P007",14,"P008",12,"P009",115,"P010",360))*Table1[[#This Row],[Quantity]]</f>
        <v>2520</v>
      </c>
      <c r="U659" s="1" cm="1">
        <f t="array" ref="U659">_xlfn.SWITCH(Table1[[#This Row],[Product ID]],"P001",15,"P002",0,"P003",8,"P004",8,"P005",0,"P006",7,"P007",7,"P008",6,"P009",45,"P010",60)</f>
        <v>60</v>
      </c>
      <c r="V659" s="1">
        <f>Table1[[#This Row],[Shipping per Unit]]*Table1[[#This Row],[Quantity]]</f>
        <v>420</v>
      </c>
      <c r="W659" s="2">
        <f>IF(Table1[[#This Row],[Total Shipping]]&gt;0.1,0.2,0)</f>
        <v>0.2</v>
      </c>
      <c r="X659" s="4">
        <f>Table1[[#This Row],[Total Shipping]]*Table1[[#This Row],[VAT on Shipping]]</f>
        <v>84</v>
      </c>
      <c r="Y659" s="1">
        <f>Table1[[#This Row],[Revenue]]-Table1[[#This Row],[COGS]]</f>
        <v>1004.5</v>
      </c>
      <c r="Z659" s="3">
        <f>(Table1[[#This Row],[Profit]]/Table1[[#This Row],[Revenue]])</f>
        <v>0.28500496524329694</v>
      </c>
      <c r="AA659" s="1">
        <f>Table1[[#This Row],[Profit]]-Table1[[#This Row],[Total Shipping]]</f>
        <v>584.5</v>
      </c>
      <c r="AB659" s="3">
        <f>Table1[[#This Row],[Operating Profit]]/Table1[[#This Row],[Revenue]]</f>
        <v>0.16583912611717974</v>
      </c>
    </row>
    <row r="660" spans="1:28" x14ac:dyDescent="0.25">
      <c r="A660" t="s">
        <v>308</v>
      </c>
      <c r="B660">
        <v>240</v>
      </c>
      <c r="C660" t="s">
        <v>56</v>
      </c>
      <c r="D660" t="s">
        <v>67</v>
      </c>
      <c r="E660" t="s">
        <v>31</v>
      </c>
      <c r="F660" t="s">
        <v>98</v>
      </c>
      <c r="G660" t="str" cm="1">
        <f t="array" ref="G660">_xlfn.SWITCH(F660,"Acme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660" t="s">
        <v>33</v>
      </c>
      <c r="I660" t="s">
        <v>91</v>
      </c>
      <c r="J660" t="str" cm="1">
        <f t="array" ref="J660">_xlfn.SWITCH(I660,"P001","Laptop","P002","Server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60" s="1" cm="1">
        <f t="array" ref="K660">_xlfn.SWITCH(Table1[[#This Row],[Product ID]],"P001",220,"P002",150,"P003",130,"P004",70,"P005",200,"P006",40,"P007",25,"P008",20,"P009",190,"P010",530)</f>
        <v>190</v>
      </c>
      <c r="L660">
        <v>18</v>
      </c>
      <c r="M660" s="1">
        <f>Table1[[#This Row],[Unit Price]]*Table1[[#This Row],[Quantity]]</f>
        <v>3420</v>
      </c>
      <c r="N660" s="2">
        <v>0.09</v>
      </c>
      <c r="O660" s="1">
        <f>Table1[[#This Row],[Gross Value]]*(1-Table1[[#This Row],[Discount]])</f>
        <v>3112.2000000000003</v>
      </c>
      <c r="P660" s="2">
        <v>0.2</v>
      </c>
      <c r="Q660" s="1">
        <f>Table1[[#This Row],[Revenue]]*Table1[[#This Row],[VAT Rate]]</f>
        <v>622.44000000000005</v>
      </c>
      <c r="R660" s="1">
        <f>Table1[[#This Row],[Revenue]]+Table1[[#This Row],[VAT Charged]]</f>
        <v>3734.6400000000003</v>
      </c>
      <c r="S660" s="1" cm="1">
        <f t="array" ref="S660">_xlfn.SWITCH(Table1[[#This Row],[Product ID]],"P001",140,"P002",80,"P003",72,"P004",30,"P005",110,"P006",24,"P007",14,"P008",12,"P009",115,"P010",360)</f>
        <v>115</v>
      </c>
      <c r="T660" s="1" cm="1">
        <f t="array" ref="T660">(_xlfn.SWITCH(Table1[[#This Row],[Product ID]],"P001",140,"P002",80,"P003",72,"P004",30,"P005",110,"P006",24,"P007",14,"P008",12,"P009",115,"P010",360))*Table1[[#This Row],[Quantity]]</f>
        <v>2070</v>
      </c>
      <c r="U660" s="1" cm="1">
        <f t="array" ref="U660">_xlfn.SWITCH(Table1[[#This Row],[Product ID]],"P001",15,"P002",0,"P003",8,"P004",8,"P005",0,"P006",7,"P007",7,"P008",6,"P009",45,"P010",60)</f>
        <v>45</v>
      </c>
      <c r="V660" s="1">
        <f>Table1[[#This Row],[Shipping per Unit]]*Table1[[#This Row],[Quantity]]</f>
        <v>810</v>
      </c>
      <c r="W660" s="2">
        <f>IF(Table1[[#This Row],[Total Shipping]]&gt;0.1,0.2,0)</f>
        <v>0.2</v>
      </c>
      <c r="X660" s="4">
        <f>Table1[[#This Row],[Total Shipping]]*Table1[[#This Row],[VAT on Shipping]]</f>
        <v>162</v>
      </c>
      <c r="Y660" s="1">
        <f>Table1[[#This Row],[Revenue]]-Table1[[#This Row],[COGS]]</f>
        <v>1042.2000000000003</v>
      </c>
      <c r="Z660" s="3">
        <f>(Table1[[#This Row],[Profit]]/Table1[[#This Row],[Revenue]])</f>
        <v>0.33487565066512442</v>
      </c>
      <c r="AA660" s="1">
        <f>Table1[[#This Row],[Profit]]-Table1[[#This Row],[Total Shipping]]</f>
        <v>232.20000000000027</v>
      </c>
      <c r="AB660" s="3">
        <f>Table1[[#This Row],[Operating Profit]]/Table1[[#This Row],[Revenue]]</f>
        <v>7.4609600925390485E-2</v>
      </c>
    </row>
    <row r="661" spans="1:28" x14ac:dyDescent="0.25">
      <c r="A661" t="s">
        <v>308</v>
      </c>
      <c r="B661">
        <v>284</v>
      </c>
      <c r="C661" t="s">
        <v>65</v>
      </c>
      <c r="D661" t="s">
        <v>57</v>
      </c>
      <c r="E661" t="s">
        <v>31</v>
      </c>
      <c r="F661" t="s">
        <v>44</v>
      </c>
      <c r="G661" t="str" cm="1">
        <f t="array" ref="G661">_xlfn.SWITCH(F661,"Acme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661" t="s">
        <v>33</v>
      </c>
      <c r="I661" t="s">
        <v>42</v>
      </c>
      <c r="J661" t="str" cm="1">
        <f t="array" ref="J661">_xlfn.SWITCH(I661,"P001","Laptop","P002","Server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61" s="1" cm="1">
        <f t="array" ref="K661">_xlfn.SWITCH(Table1[[#This Row],[Product ID]],"P001",220,"P002",150,"P003",130,"P004",70,"P005",200,"P006",40,"P007",25,"P008",20,"P009",190,"P010",530)</f>
        <v>40</v>
      </c>
      <c r="L661">
        <v>12</v>
      </c>
      <c r="M661" s="1">
        <f>Table1[[#This Row],[Unit Price]]*Table1[[#This Row],[Quantity]]</f>
        <v>480</v>
      </c>
      <c r="N661" s="2">
        <v>0.12</v>
      </c>
      <c r="O661" s="1">
        <f>Table1[[#This Row],[Gross Value]]*(1-Table1[[#This Row],[Discount]])</f>
        <v>422.4</v>
      </c>
      <c r="P661" s="2">
        <v>0.2</v>
      </c>
      <c r="Q661" s="1">
        <f>Table1[[#This Row],[Revenue]]*Table1[[#This Row],[VAT Rate]]</f>
        <v>84.48</v>
      </c>
      <c r="R661" s="1">
        <f>Table1[[#This Row],[Revenue]]+Table1[[#This Row],[VAT Charged]]</f>
        <v>506.88</v>
      </c>
      <c r="S661" s="1" cm="1">
        <f t="array" ref="S661">_xlfn.SWITCH(Table1[[#This Row],[Product ID]],"P001",140,"P002",80,"P003",72,"P004",30,"P005",110,"P006",24,"P007",14,"P008",12,"P009",115,"P010",360)</f>
        <v>24</v>
      </c>
      <c r="T661" s="1" cm="1">
        <f t="array" ref="T661">(_xlfn.SWITCH(Table1[[#This Row],[Product ID]],"P001",140,"P002",80,"P003",72,"P004",30,"P005",110,"P006",24,"P007",14,"P008",12,"P009",115,"P010",360))*Table1[[#This Row],[Quantity]]</f>
        <v>288</v>
      </c>
      <c r="U661" s="1" cm="1">
        <f t="array" ref="U661">_xlfn.SWITCH(Table1[[#This Row],[Product ID]],"P001",15,"P002",0,"P003",8,"P004",8,"P005",0,"P006",7,"P007",7,"P008",6,"P009",45,"P010",60)</f>
        <v>7</v>
      </c>
      <c r="V661" s="1">
        <f>Table1[[#This Row],[Shipping per Unit]]*Table1[[#This Row],[Quantity]]</f>
        <v>84</v>
      </c>
      <c r="W661" s="2">
        <f>IF(Table1[[#This Row],[Total Shipping]]&gt;0.1,0.2,0)</f>
        <v>0.2</v>
      </c>
      <c r="X661" s="4">
        <f>Table1[[#This Row],[Total Shipping]]*Table1[[#This Row],[VAT on Shipping]]</f>
        <v>16.8</v>
      </c>
      <c r="Y661" s="1">
        <f>Table1[[#This Row],[Revenue]]-Table1[[#This Row],[COGS]]</f>
        <v>134.39999999999998</v>
      </c>
      <c r="Z661" s="3">
        <f>(Table1[[#This Row],[Profit]]/Table1[[#This Row],[Revenue]])</f>
        <v>0.31818181818181812</v>
      </c>
      <c r="AA661" s="1">
        <f>Table1[[#This Row],[Profit]]-Table1[[#This Row],[Total Shipping]]</f>
        <v>50.399999999999977</v>
      </c>
      <c r="AB661" s="3">
        <f>Table1[[#This Row],[Operating Profit]]/Table1[[#This Row],[Revenue]]</f>
        <v>0.11931818181818177</v>
      </c>
    </row>
    <row r="662" spans="1:28" x14ac:dyDescent="0.25">
      <c r="A662" t="s">
        <v>308</v>
      </c>
      <c r="B662">
        <v>623</v>
      </c>
      <c r="C662" t="s">
        <v>35</v>
      </c>
      <c r="D662" t="s">
        <v>39</v>
      </c>
      <c r="E662" t="s">
        <v>40</v>
      </c>
      <c r="F662" t="s">
        <v>126</v>
      </c>
      <c r="G662" t="str" cm="1">
        <f t="array" ref="G662">_xlfn.SWITCH(F662,"Acme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662" t="s">
        <v>45</v>
      </c>
      <c r="I662" t="s">
        <v>60</v>
      </c>
      <c r="J662" t="str" cm="1">
        <f t="array" ref="J662">_xlfn.SWITCH(I662,"P001","Laptop","P002","Server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62" s="1" cm="1">
        <f t="array" ref="K662">_xlfn.SWITCH(Table1[[#This Row],[Product ID]],"P001",220,"P002",150,"P003",130,"P004",70,"P005",200,"P006",40,"P007",25,"P008",20,"P009",190,"P010",530)</f>
        <v>25</v>
      </c>
      <c r="L662">
        <v>7</v>
      </c>
      <c r="M662" s="1">
        <f>Table1[[#This Row],[Unit Price]]*Table1[[#This Row],[Quantity]]</f>
        <v>175</v>
      </c>
      <c r="N662" s="2">
        <v>0.05</v>
      </c>
      <c r="O662" s="1">
        <f>Table1[[#This Row],[Gross Value]]*(1-Table1[[#This Row],[Discount]])</f>
        <v>166.25</v>
      </c>
      <c r="P662" s="2">
        <v>0.2</v>
      </c>
      <c r="Q662" s="1">
        <f>Table1[[#This Row],[Revenue]]*Table1[[#This Row],[VAT Rate]]</f>
        <v>33.25</v>
      </c>
      <c r="R662" s="1">
        <f>Table1[[#This Row],[Revenue]]+Table1[[#This Row],[VAT Charged]]</f>
        <v>199.5</v>
      </c>
      <c r="S662" s="1" cm="1">
        <f t="array" ref="S662">_xlfn.SWITCH(Table1[[#This Row],[Product ID]],"P001",140,"P002",80,"P003",72,"P004",30,"P005",110,"P006",24,"P007",14,"P008",12,"P009",115,"P010",360)</f>
        <v>14</v>
      </c>
      <c r="T662" s="1" cm="1">
        <f t="array" ref="T662">(_xlfn.SWITCH(Table1[[#This Row],[Product ID]],"P001",140,"P002",80,"P003",72,"P004",30,"P005",110,"P006",24,"P007",14,"P008",12,"P009",115,"P010",360))*Table1[[#This Row],[Quantity]]</f>
        <v>98</v>
      </c>
      <c r="U662" s="1" cm="1">
        <f t="array" ref="U662">_xlfn.SWITCH(Table1[[#This Row],[Product ID]],"P001",15,"P002",0,"P003",8,"P004",8,"P005",0,"P006",7,"P007",7,"P008",6,"P009",45,"P010",60)</f>
        <v>7</v>
      </c>
      <c r="V662" s="1">
        <f>Table1[[#This Row],[Shipping per Unit]]*Table1[[#This Row],[Quantity]]</f>
        <v>49</v>
      </c>
      <c r="W662" s="2">
        <f>IF(Table1[[#This Row],[Total Shipping]]&gt;0.1,0.2,0)</f>
        <v>0.2</v>
      </c>
      <c r="X662" s="4">
        <f>Table1[[#This Row],[Total Shipping]]*Table1[[#This Row],[VAT on Shipping]]</f>
        <v>9.8000000000000007</v>
      </c>
      <c r="Y662" s="1">
        <f>Table1[[#This Row],[Revenue]]-Table1[[#This Row],[COGS]]</f>
        <v>68.25</v>
      </c>
      <c r="Z662" s="3">
        <f>(Table1[[#This Row],[Profit]]/Table1[[#This Row],[Revenue]])</f>
        <v>0.41052631578947368</v>
      </c>
      <c r="AA662" s="1">
        <f>Table1[[#This Row],[Profit]]-Table1[[#This Row],[Total Shipping]]</f>
        <v>19.25</v>
      </c>
      <c r="AB662" s="3">
        <f>Table1[[#This Row],[Operating Profit]]/Table1[[#This Row],[Revenue]]</f>
        <v>0.11578947368421053</v>
      </c>
    </row>
    <row r="663" spans="1:28" x14ac:dyDescent="0.25">
      <c r="A663" t="s">
        <v>308</v>
      </c>
      <c r="B663">
        <v>693</v>
      </c>
      <c r="C663" t="s">
        <v>56</v>
      </c>
      <c r="D663" t="s">
        <v>95</v>
      </c>
      <c r="E663" t="s">
        <v>40</v>
      </c>
      <c r="F663" t="s">
        <v>86</v>
      </c>
      <c r="G663" t="str" cm="1">
        <f t="array" ref="G663">_xlfn.SWITCH(F663,"Acme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663" t="s">
        <v>33</v>
      </c>
      <c r="I663" t="s">
        <v>91</v>
      </c>
      <c r="J663" t="str" cm="1">
        <f t="array" ref="J663">_xlfn.SWITCH(I663,"P001","Laptop","P002","Server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63" s="1" cm="1">
        <f t="array" ref="K663">_xlfn.SWITCH(Table1[[#This Row],[Product ID]],"P001",220,"P002",150,"P003",130,"P004",70,"P005",200,"P006",40,"P007",25,"P008",20,"P009",190,"P010",530)</f>
        <v>190</v>
      </c>
      <c r="L663">
        <v>4</v>
      </c>
      <c r="M663" s="1">
        <f>Table1[[#This Row],[Unit Price]]*Table1[[#This Row],[Quantity]]</f>
        <v>760</v>
      </c>
      <c r="N663" s="2">
        <v>0.02</v>
      </c>
      <c r="O663" s="1">
        <f>Table1[[#This Row],[Gross Value]]*(1-Table1[[#This Row],[Discount]])</f>
        <v>744.8</v>
      </c>
      <c r="P663" s="2">
        <v>0.2</v>
      </c>
      <c r="Q663" s="1">
        <f>Table1[[#This Row],[Revenue]]*Table1[[#This Row],[VAT Rate]]</f>
        <v>148.96</v>
      </c>
      <c r="R663" s="1">
        <f>Table1[[#This Row],[Revenue]]+Table1[[#This Row],[VAT Charged]]</f>
        <v>893.76</v>
      </c>
      <c r="S663" s="1" cm="1">
        <f t="array" ref="S663">_xlfn.SWITCH(Table1[[#This Row],[Product ID]],"P001",140,"P002",80,"P003",72,"P004",30,"P005",110,"P006",24,"P007",14,"P008",12,"P009",115,"P010",360)</f>
        <v>115</v>
      </c>
      <c r="T663" s="1" cm="1">
        <f t="array" ref="T663">(_xlfn.SWITCH(Table1[[#This Row],[Product ID]],"P001",140,"P002",80,"P003",72,"P004",30,"P005",110,"P006",24,"P007",14,"P008",12,"P009",115,"P010",360))*Table1[[#This Row],[Quantity]]</f>
        <v>460</v>
      </c>
      <c r="U663" s="1" cm="1">
        <f t="array" ref="U663">_xlfn.SWITCH(Table1[[#This Row],[Product ID]],"P001",15,"P002",0,"P003",8,"P004",8,"P005",0,"P006",7,"P007",7,"P008",6,"P009",45,"P010",60)</f>
        <v>45</v>
      </c>
      <c r="V663" s="1">
        <f>Table1[[#This Row],[Shipping per Unit]]*Table1[[#This Row],[Quantity]]</f>
        <v>180</v>
      </c>
      <c r="W663" s="2">
        <f>IF(Table1[[#This Row],[Total Shipping]]&gt;0.1,0.2,0)</f>
        <v>0.2</v>
      </c>
      <c r="X663" s="4">
        <f>Table1[[#This Row],[Total Shipping]]*Table1[[#This Row],[VAT on Shipping]]</f>
        <v>36</v>
      </c>
      <c r="Y663" s="1">
        <f>Table1[[#This Row],[Revenue]]-Table1[[#This Row],[COGS]]</f>
        <v>284.79999999999995</v>
      </c>
      <c r="Z663" s="3">
        <f>(Table1[[#This Row],[Profit]]/Table1[[#This Row],[Revenue]])</f>
        <v>0.38238453276047257</v>
      </c>
      <c r="AA663" s="1">
        <f>Table1[[#This Row],[Profit]]-Table1[[#This Row],[Total Shipping]]</f>
        <v>104.79999999999995</v>
      </c>
      <c r="AB663" s="3">
        <f>Table1[[#This Row],[Operating Profit]]/Table1[[#This Row],[Revenue]]</f>
        <v>0.14070891514500533</v>
      </c>
    </row>
    <row r="664" spans="1:28" x14ac:dyDescent="0.25">
      <c r="A664" t="s">
        <v>308</v>
      </c>
      <c r="B664">
        <v>832</v>
      </c>
      <c r="C664" t="s">
        <v>38</v>
      </c>
      <c r="D664" t="s">
        <v>36</v>
      </c>
      <c r="E664" t="s">
        <v>40</v>
      </c>
      <c r="F664" t="s">
        <v>98</v>
      </c>
      <c r="G664" t="str" cm="1">
        <f t="array" ref="G664">_xlfn.SWITCH(F664,"Acme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664" t="s">
        <v>33</v>
      </c>
      <c r="I664" t="s">
        <v>60</v>
      </c>
      <c r="J664" t="str" cm="1">
        <f t="array" ref="J664">_xlfn.SWITCH(I664,"P001","Laptop","P002","Server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64" s="1" cm="1">
        <f t="array" ref="K664">_xlfn.SWITCH(Table1[[#This Row],[Product ID]],"P001",220,"P002",150,"P003",130,"P004",70,"P005",200,"P006",40,"P007",25,"P008",20,"P009",190,"P010",530)</f>
        <v>25</v>
      </c>
      <c r="L664">
        <v>11</v>
      </c>
      <c r="M664" s="1">
        <f>Table1[[#This Row],[Unit Price]]*Table1[[#This Row],[Quantity]]</f>
        <v>275</v>
      </c>
      <c r="N664" s="2">
        <v>0.04</v>
      </c>
      <c r="O664" s="1">
        <f>Table1[[#This Row],[Gross Value]]*(1-Table1[[#This Row],[Discount]])</f>
        <v>264</v>
      </c>
      <c r="P664" s="2">
        <v>0.2</v>
      </c>
      <c r="Q664" s="1">
        <f>Table1[[#This Row],[Revenue]]*Table1[[#This Row],[VAT Rate]]</f>
        <v>52.800000000000004</v>
      </c>
      <c r="R664" s="1">
        <f>Table1[[#This Row],[Revenue]]+Table1[[#This Row],[VAT Charged]]</f>
        <v>316.8</v>
      </c>
      <c r="S664" s="1" cm="1">
        <f t="array" ref="S664">_xlfn.SWITCH(Table1[[#This Row],[Product ID]],"P001",140,"P002",80,"P003",72,"P004",30,"P005",110,"P006",24,"P007",14,"P008",12,"P009",115,"P010",360)</f>
        <v>14</v>
      </c>
      <c r="T664" s="1" cm="1">
        <f t="array" ref="T664">(_xlfn.SWITCH(Table1[[#This Row],[Product ID]],"P001",140,"P002",80,"P003",72,"P004",30,"P005",110,"P006",24,"P007",14,"P008",12,"P009",115,"P010",360))*Table1[[#This Row],[Quantity]]</f>
        <v>154</v>
      </c>
      <c r="U664" s="1" cm="1">
        <f t="array" ref="U664">_xlfn.SWITCH(Table1[[#This Row],[Product ID]],"P001",15,"P002",0,"P003",8,"P004",8,"P005",0,"P006",7,"P007",7,"P008",6,"P009",45,"P010",60)</f>
        <v>7</v>
      </c>
      <c r="V664" s="1">
        <f>Table1[[#This Row],[Shipping per Unit]]*Table1[[#This Row],[Quantity]]</f>
        <v>77</v>
      </c>
      <c r="W664" s="2">
        <f>IF(Table1[[#This Row],[Total Shipping]]&gt;0.1,0.2,0)</f>
        <v>0.2</v>
      </c>
      <c r="X664" s="4">
        <f>Table1[[#This Row],[Total Shipping]]*Table1[[#This Row],[VAT on Shipping]]</f>
        <v>15.4</v>
      </c>
      <c r="Y664" s="1">
        <f>Table1[[#This Row],[Revenue]]-Table1[[#This Row],[COGS]]</f>
        <v>110</v>
      </c>
      <c r="Z664" s="3">
        <f>(Table1[[#This Row],[Profit]]/Table1[[#This Row],[Revenue]])</f>
        <v>0.41666666666666669</v>
      </c>
      <c r="AA664" s="1">
        <f>Table1[[#This Row],[Profit]]-Table1[[#This Row],[Total Shipping]]</f>
        <v>33</v>
      </c>
      <c r="AB664" s="3">
        <f>Table1[[#This Row],[Operating Profit]]/Table1[[#This Row],[Revenue]]</f>
        <v>0.125</v>
      </c>
    </row>
    <row r="665" spans="1:28" x14ac:dyDescent="0.25">
      <c r="A665" t="s">
        <v>309</v>
      </c>
      <c r="B665">
        <v>137</v>
      </c>
      <c r="C665" t="s">
        <v>35</v>
      </c>
      <c r="D665" t="s">
        <v>36</v>
      </c>
      <c r="E665" t="s">
        <v>49</v>
      </c>
      <c r="F665" t="s">
        <v>64</v>
      </c>
      <c r="G665" t="str" cm="1">
        <f t="array" ref="G665">_xlfn.SWITCH(F665,"Acme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665" t="s">
        <v>45</v>
      </c>
      <c r="I665" t="s">
        <v>46</v>
      </c>
      <c r="J665" t="str" cm="1">
        <f t="array" ref="J665">_xlfn.SWITCH(I665,"P001","Laptop","P002","Server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65" s="1" cm="1">
        <f t="array" ref="K665">_xlfn.SWITCH(Table1[[#This Row],[Product ID]],"P001",220,"P002",150,"P003",130,"P004",70,"P005",200,"P006",40,"P007",25,"P008",20,"P009",190,"P010",530)</f>
        <v>530</v>
      </c>
      <c r="L665">
        <v>3</v>
      </c>
      <c r="M665" s="1">
        <f>Table1[[#This Row],[Unit Price]]*Table1[[#This Row],[Quantity]]</f>
        <v>1590</v>
      </c>
      <c r="N665" s="2">
        <v>0.03</v>
      </c>
      <c r="O665" s="1">
        <f>Table1[[#This Row],[Gross Value]]*(1-Table1[[#This Row],[Discount]])</f>
        <v>1542.3</v>
      </c>
      <c r="P665" s="2">
        <v>0.2</v>
      </c>
      <c r="Q665" s="1">
        <f>Table1[[#This Row],[Revenue]]*Table1[[#This Row],[VAT Rate]]</f>
        <v>308.46000000000004</v>
      </c>
      <c r="R665" s="1">
        <f>Table1[[#This Row],[Revenue]]+Table1[[#This Row],[VAT Charged]]</f>
        <v>1850.76</v>
      </c>
      <c r="S665" s="1" cm="1">
        <f t="array" ref="S665">_xlfn.SWITCH(Table1[[#This Row],[Product ID]],"P001",140,"P002",80,"P003",72,"P004",30,"P005",110,"P006",24,"P007",14,"P008",12,"P009",115,"P010",360)</f>
        <v>360</v>
      </c>
      <c r="T665" s="1" cm="1">
        <f t="array" ref="T665">(_xlfn.SWITCH(Table1[[#This Row],[Product ID]],"P001",140,"P002",80,"P003",72,"P004",30,"P005",110,"P006",24,"P007",14,"P008",12,"P009",115,"P010",360))*Table1[[#This Row],[Quantity]]</f>
        <v>1080</v>
      </c>
      <c r="U665" s="1" cm="1">
        <f t="array" ref="U665">_xlfn.SWITCH(Table1[[#This Row],[Product ID]],"P001",15,"P002",0,"P003",8,"P004",8,"P005",0,"P006",7,"P007",7,"P008",6,"P009",45,"P010",60)</f>
        <v>60</v>
      </c>
      <c r="V665" s="1">
        <f>Table1[[#This Row],[Shipping per Unit]]*Table1[[#This Row],[Quantity]]</f>
        <v>180</v>
      </c>
      <c r="W665" s="2">
        <f>IF(Table1[[#This Row],[Total Shipping]]&gt;0.1,0.2,0)</f>
        <v>0.2</v>
      </c>
      <c r="X665" s="4">
        <f>Table1[[#This Row],[Total Shipping]]*Table1[[#This Row],[VAT on Shipping]]</f>
        <v>36</v>
      </c>
      <c r="Y665" s="1">
        <f>Table1[[#This Row],[Revenue]]-Table1[[#This Row],[COGS]]</f>
        <v>462.29999999999995</v>
      </c>
      <c r="Z665" s="3">
        <f>(Table1[[#This Row],[Profit]]/Table1[[#This Row],[Revenue]])</f>
        <v>0.29974713090838356</v>
      </c>
      <c r="AA665" s="1">
        <f>Table1[[#This Row],[Profit]]-Table1[[#This Row],[Total Shipping]]</f>
        <v>282.29999999999995</v>
      </c>
      <c r="AB665" s="3">
        <f>Table1[[#This Row],[Operating Profit]]/Table1[[#This Row],[Revenue]]</f>
        <v>0.18303831939311416</v>
      </c>
    </row>
    <row r="666" spans="1:28" x14ac:dyDescent="0.25">
      <c r="A666" t="s">
        <v>309</v>
      </c>
      <c r="B666">
        <v>704</v>
      </c>
      <c r="C666" t="s">
        <v>38</v>
      </c>
      <c r="D666" t="s">
        <v>72</v>
      </c>
      <c r="E666" t="s">
        <v>40</v>
      </c>
      <c r="F666" t="s">
        <v>90</v>
      </c>
      <c r="G666" t="str" cm="1">
        <f t="array" ref="G666">_xlfn.SWITCH(F666,"Acme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666" t="s">
        <v>33</v>
      </c>
      <c r="I666" t="s">
        <v>42</v>
      </c>
      <c r="J666" t="str" cm="1">
        <f t="array" ref="J666">_xlfn.SWITCH(I666,"P001","Laptop","P002","Server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66" s="1" cm="1">
        <f t="array" ref="K666">_xlfn.SWITCH(Table1[[#This Row],[Product ID]],"P001",220,"P002",150,"P003",130,"P004",70,"P005",200,"P006",40,"P007",25,"P008",20,"P009",190,"P010",530)</f>
        <v>40</v>
      </c>
      <c r="L666">
        <v>4</v>
      </c>
      <c r="M666" s="1">
        <f>Table1[[#This Row],[Unit Price]]*Table1[[#This Row],[Quantity]]</f>
        <v>160</v>
      </c>
      <c r="N666" s="2">
        <v>0.04</v>
      </c>
      <c r="O666" s="1">
        <f>Table1[[#This Row],[Gross Value]]*(1-Table1[[#This Row],[Discount]])</f>
        <v>153.6</v>
      </c>
      <c r="P666" s="2">
        <v>0.2</v>
      </c>
      <c r="Q666" s="1">
        <f>Table1[[#This Row],[Revenue]]*Table1[[#This Row],[VAT Rate]]</f>
        <v>30.72</v>
      </c>
      <c r="R666" s="1">
        <f>Table1[[#This Row],[Revenue]]+Table1[[#This Row],[VAT Charged]]</f>
        <v>184.32</v>
      </c>
      <c r="S666" s="1" cm="1">
        <f t="array" ref="S666">_xlfn.SWITCH(Table1[[#This Row],[Product ID]],"P001",140,"P002",80,"P003",72,"P004",30,"P005",110,"P006",24,"P007",14,"P008",12,"P009",115,"P010",360)</f>
        <v>24</v>
      </c>
      <c r="T666" s="1" cm="1">
        <f t="array" ref="T666">(_xlfn.SWITCH(Table1[[#This Row],[Product ID]],"P001",140,"P002",80,"P003",72,"P004",30,"P005",110,"P006",24,"P007",14,"P008",12,"P009",115,"P010",360))*Table1[[#This Row],[Quantity]]</f>
        <v>96</v>
      </c>
      <c r="U666" s="1" cm="1">
        <f t="array" ref="U666">_xlfn.SWITCH(Table1[[#This Row],[Product ID]],"P001",15,"P002",0,"P003",8,"P004",8,"P005",0,"P006",7,"P007",7,"P008",6,"P009",45,"P010",60)</f>
        <v>7</v>
      </c>
      <c r="V666" s="1">
        <f>Table1[[#This Row],[Shipping per Unit]]*Table1[[#This Row],[Quantity]]</f>
        <v>28</v>
      </c>
      <c r="W666" s="2">
        <f>IF(Table1[[#This Row],[Total Shipping]]&gt;0.1,0.2,0)</f>
        <v>0.2</v>
      </c>
      <c r="X666" s="4">
        <f>Table1[[#This Row],[Total Shipping]]*Table1[[#This Row],[VAT on Shipping]]</f>
        <v>5.6000000000000005</v>
      </c>
      <c r="Y666" s="1">
        <f>Table1[[#This Row],[Revenue]]-Table1[[#This Row],[COGS]]</f>
        <v>57.599999999999994</v>
      </c>
      <c r="Z666" s="3">
        <f>(Table1[[#This Row],[Profit]]/Table1[[#This Row],[Revenue]])</f>
        <v>0.375</v>
      </c>
      <c r="AA666" s="1">
        <f>Table1[[#This Row],[Profit]]-Table1[[#This Row],[Total Shipping]]</f>
        <v>29.599999999999994</v>
      </c>
      <c r="AB666" s="3">
        <f>Table1[[#This Row],[Operating Profit]]/Table1[[#This Row],[Revenue]]</f>
        <v>0.19270833333333331</v>
      </c>
    </row>
    <row r="667" spans="1:28" x14ac:dyDescent="0.25">
      <c r="A667" t="s">
        <v>310</v>
      </c>
      <c r="B667">
        <v>37</v>
      </c>
      <c r="C667" t="s">
        <v>29</v>
      </c>
      <c r="D667" t="s">
        <v>57</v>
      </c>
      <c r="E667" t="s">
        <v>31</v>
      </c>
      <c r="F667" t="s">
        <v>87</v>
      </c>
      <c r="G667" t="str" cm="1">
        <f t="array" ref="G667">_xlfn.SWITCH(F667,"Acme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667" t="s">
        <v>45</v>
      </c>
      <c r="I667" t="s">
        <v>91</v>
      </c>
      <c r="J667" t="str" cm="1">
        <f t="array" ref="J667">_xlfn.SWITCH(I667,"P001","Laptop","P002","Server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67" s="1" cm="1">
        <f t="array" ref="K667">_xlfn.SWITCH(Table1[[#This Row],[Product ID]],"P001",220,"P002",150,"P003",130,"P004",70,"P005",200,"P006",40,"P007",25,"P008",20,"P009",190,"P010",530)</f>
        <v>190</v>
      </c>
      <c r="L667">
        <v>4</v>
      </c>
      <c r="M667" s="1">
        <f>Table1[[#This Row],[Unit Price]]*Table1[[#This Row],[Quantity]]</f>
        <v>760</v>
      </c>
      <c r="N667" s="2">
        <v>0.08</v>
      </c>
      <c r="O667" s="1">
        <f>Table1[[#This Row],[Gross Value]]*(1-Table1[[#This Row],[Discount]])</f>
        <v>699.2</v>
      </c>
      <c r="P667" s="2">
        <v>0.2</v>
      </c>
      <c r="Q667" s="1">
        <f>Table1[[#This Row],[Revenue]]*Table1[[#This Row],[VAT Rate]]</f>
        <v>139.84</v>
      </c>
      <c r="R667" s="1">
        <f>Table1[[#This Row],[Revenue]]+Table1[[#This Row],[VAT Charged]]</f>
        <v>839.04000000000008</v>
      </c>
      <c r="S667" s="1" cm="1">
        <f t="array" ref="S667">_xlfn.SWITCH(Table1[[#This Row],[Product ID]],"P001",140,"P002",80,"P003",72,"P004",30,"P005",110,"P006",24,"P007",14,"P008",12,"P009",115,"P010",360)</f>
        <v>115</v>
      </c>
      <c r="T667" s="1" cm="1">
        <f t="array" ref="T667">(_xlfn.SWITCH(Table1[[#This Row],[Product ID]],"P001",140,"P002",80,"P003",72,"P004",30,"P005",110,"P006",24,"P007",14,"P008",12,"P009",115,"P010",360))*Table1[[#This Row],[Quantity]]</f>
        <v>460</v>
      </c>
      <c r="U667" s="1" cm="1">
        <f t="array" ref="U667">_xlfn.SWITCH(Table1[[#This Row],[Product ID]],"P001",15,"P002",0,"P003",8,"P004",8,"P005",0,"P006",7,"P007",7,"P008",6,"P009",45,"P010",60)</f>
        <v>45</v>
      </c>
      <c r="V667" s="1">
        <f>Table1[[#This Row],[Shipping per Unit]]*Table1[[#This Row],[Quantity]]</f>
        <v>180</v>
      </c>
      <c r="W667" s="2">
        <f>IF(Table1[[#This Row],[Total Shipping]]&gt;0.1,0.2,0)</f>
        <v>0.2</v>
      </c>
      <c r="X667" s="4">
        <f>Table1[[#This Row],[Total Shipping]]*Table1[[#This Row],[VAT on Shipping]]</f>
        <v>36</v>
      </c>
      <c r="Y667" s="1">
        <f>Table1[[#This Row],[Revenue]]-Table1[[#This Row],[COGS]]</f>
        <v>239.20000000000005</v>
      </c>
      <c r="Z667" s="3">
        <f>(Table1[[#This Row],[Profit]]/Table1[[#This Row],[Revenue]])</f>
        <v>0.3421052631578948</v>
      </c>
      <c r="AA667" s="1">
        <f>Table1[[#This Row],[Profit]]-Table1[[#This Row],[Total Shipping]]</f>
        <v>59.200000000000045</v>
      </c>
      <c r="AB667" s="3">
        <f>Table1[[#This Row],[Operating Profit]]/Table1[[#This Row],[Revenue]]</f>
        <v>8.4668192219679694E-2</v>
      </c>
    </row>
    <row r="668" spans="1:28" x14ac:dyDescent="0.25">
      <c r="A668" t="s">
        <v>310</v>
      </c>
      <c r="B668">
        <v>177</v>
      </c>
      <c r="C668" t="s">
        <v>35</v>
      </c>
      <c r="D668" t="s">
        <v>36</v>
      </c>
      <c r="E668" t="s">
        <v>49</v>
      </c>
      <c r="F668" t="s">
        <v>76</v>
      </c>
      <c r="G668" t="str" cm="1">
        <f t="array" ref="G668">_xlfn.SWITCH(F668,"Acme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668" t="s">
        <v>104</v>
      </c>
      <c r="I668" t="s">
        <v>42</v>
      </c>
      <c r="J668" t="str" cm="1">
        <f t="array" ref="J668">_xlfn.SWITCH(I668,"P001","Laptop","P002","Server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68" s="1" cm="1">
        <f t="array" ref="K668">_xlfn.SWITCH(Table1[[#This Row],[Product ID]],"P001",220,"P002",150,"P003",130,"P004",70,"P005",200,"P006",40,"P007",25,"P008",20,"P009",190,"P010",530)</f>
        <v>40</v>
      </c>
      <c r="L668">
        <v>2</v>
      </c>
      <c r="M668" s="1">
        <f>Table1[[#This Row],[Unit Price]]*Table1[[#This Row],[Quantity]]</f>
        <v>80</v>
      </c>
      <c r="N668" s="2">
        <v>0.04</v>
      </c>
      <c r="O668" s="1">
        <f>Table1[[#This Row],[Gross Value]]*(1-Table1[[#This Row],[Discount]])</f>
        <v>76.8</v>
      </c>
      <c r="P668" s="2">
        <v>0.2</v>
      </c>
      <c r="Q668" s="1">
        <f>Table1[[#This Row],[Revenue]]*Table1[[#This Row],[VAT Rate]]</f>
        <v>15.36</v>
      </c>
      <c r="R668" s="1">
        <f>Table1[[#This Row],[Revenue]]+Table1[[#This Row],[VAT Charged]]</f>
        <v>92.16</v>
      </c>
      <c r="S668" s="1" cm="1">
        <f t="array" ref="S668">_xlfn.SWITCH(Table1[[#This Row],[Product ID]],"P001",140,"P002",80,"P003",72,"P004",30,"P005",110,"P006",24,"P007",14,"P008",12,"P009",115,"P010",360)</f>
        <v>24</v>
      </c>
      <c r="T668" s="1" cm="1">
        <f t="array" ref="T668">(_xlfn.SWITCH(Table1[[#This Row],[Product ID]],"P001",140,"P002",80,"P003",72,"P004",30,"P005",110,"P006",24,"P007",14,"P008",12,"P009",115,"P010",360))*Table1[[#This Row],[Quantity]]</f>
        <v>48</v>
      </c>
      <c r="U668" s="1" cm="1">
        <f t="array" ref="U668">_xlfn.SWITCH(Table1[[#This Row],[Product ID]],"P001",15,"P002",0,"P003",8,"P004",8,"P005",0,"P006",7,"P007",7,"P008",6,"P009",45,"P010",60)</f>
        <v>7</v>
      </c>
      <c r="V668" s="1">
        <f>Table1[[#This Row],[Shipping per Unit]]*Table1[[#This Row],[Quantity]]</f>
        <v>14</v>
      </c>
      <c r="W668" s="2">
        <f>IF(Table1[[#This Row],[Total Shipping]]&gt;0.1,0.2,0)</f>
        <v>0.2</v>
      </c>
      <c r="X668" s="4">
        <f>Table1[[#This Row],[Total Shipping]]*Table1[[#This Row],[VAT on Shipping]]</f>
        <v>2.8000000000000003</v>
      </c>
      <c r="Y668" s="1">
        <f>Table1[[#This Row],[Revenue]]-Table1[[#This Row],[COGS]]</f>
        <v>28.799999999999997</v>
      </c>
      <c r="Z668" s="3">
        <f>(Table1[[#This Row],[Profit]]/Table1[[#This Row],[Revenue]])</f>
        <v>0.375</v>
      </c>
      <c r="AA668" s="1">
        <f>Table1[[#This Row],[Profit]]-Table1[[#This Row],[Total Shipping]]</f>
        <v>14.799999999999997</v>
      </c>
      <c r="AB668" s="3">
        <f>Table1[[#This Row],[Operating Profit]]/Table1[[#This Row],[Revenue]]</f>
        <v>0.19270833333333331</v>
      </c>
    </row>
    <row r="669" spans="1:28" x14ac:dyDescent="0.25">
      <c r="A669" t="s">
        <v>310</v>
      </c>
      <c r="B669">
        <v>291</v>
      </c>
      <c r="C669" t="s">
        <v>71</v>
      </c>
      <c r="D669" t="s">
        <v>30</v>
      </c>
      <c r="E669" t="s">
        <v>49</v>
      </c>
      <c r="F669" t="s">
        <v>66</v>
      </c>
      <c r="G669" t="str" cm="1">
        <f t="array" ref="G669">_xlfn.SWITCH(F669,"Acme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669" t="s">
        <v>33</v>
      </c>
      <c r="I669" t="s">
        <v>42</v>
      </c>
      <c r="J669" t="str" cm="1">
        <f t="array" ref="J669">_xlfn.SWITCH(I669,"P001","Laptop","P002","Server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69" s="1" cm="1">
        <f t="array" ref="K669">_xlfn.SWITCH(Table1[[#This Row],[Product ID]],"P001",220,"P002",150,"P003",130,"P004",70,"P005",200,"P006",40,"P007",25,"P008",20,"P009",190,"P010",530)</f>
        <v>40</v>
      </c>
      <c r="L669">
        <v>4</v>
      </c>
      <c r="M669" s="1">
        <f>Table1[[#This Row],[Unit Price]]*Table1[[#This Row],[Quantity]]</f>
        <v>160</v>
      </c>
      <c r="N669" s="2">
        <v>0.01</v>
      </c>
      <c r="O669" s="1">
        <f>Table1[[#This Row],[Gross Value]]*(1-Table1[[#This Row],[Discount]])</f>
        <v>158.4</v>
      </c>
      <c r="P669" s="2">
        <v>0.2</v>
      </c>
      <c r="Q669" s="1">
        <f>Table1[[#This Row],[Revenue]]*Table1[[#This Row],[VAT Rate]]</f>
        <v>31.680000000000003</v>
      </c>
      <c r="R669" s="1">
        <f>Table1[[#This Row],[Revenue]]+Table1[[#This Row],[VAT Charged]]</f>
        <v>190.08</v>
      </c>
      <c r="S669" s="1" cm="1">
        <f t="array" ref="S669">_xlfn.SWITCH(Table1[[#This Row],[Product ID]],"P001",140,"P002",80,"P003",72,"P004",30,"P005",110,"P006",24,"P007",14,"P008",12,"P009",115,"P010",360)</f>
        <v>24</v>
      </c>
      <c r="T669" s="1" cm="1">
        <f t="array" ref="T669">(_xlfn.SWITCH(Table1[[#This Row],[Product ID]],"P001",140,"P002",80,"P003",72,"P004",30,"P005",110,"P006",24,"P007",14,"P008",12,"P009",115,"P010",360))*Table1[[#This Row],[Quantity]]</f>
        <v>96</v>
      </c>
      <c r="U669" s="1" cm="1">
        <f t="array" ref="U669">_xlfn.SWITCH(Table1[[#This Row],[Product ID]],"P001",15,"P002",0,"P003",8,"P004",8,"P005",0,"P006",7,"P007",7,"P008",6,"P009",45,"P010",60)</f>
        <v>7</v>
      </c>
      <c r="V669" s="1">
        <f>Table1[[#This Row],[Shipping per Unit]]*Table1[[#This Row],[Quantity]]</f>
        <v>28</v>
      </c>
      <c r="W669" s="2">
        <f>IF(Table1[[#This Row],[Total Shipping]]&gt;0.1,0.2,0)</f>
        <v>0.2</v>
      </c>
      <c r="X669" s="4">
        <f>Table1[[#This Row],[Total Shipping]]*Table1[[#This Row],[VAT on Shipping]]</f>
        <v>5.6000000000000005</v>
      </c>
      <c r="Y669" s="1">
        <f>Table1[[#This Row],[Revenue]]-Table1[[#This Row],[COGS]]</f>
        <v>62.400000000000006</v>
      </c>
      <c r="Z669" s="3">
        <f>(Table1[[#This Row],[Profit]]/Table1[[#This Row],[Revenue]])</f>
        <v>0.39393939393939398</v>
      </c>
      <c r="AA669" s="1">
        <f>Table1[[#This Row],[Profit]]-Table1[[#This Row],[Total Shipping]]</f>
        <v>34.400000000000006</v>
      </c>
      <c r="AB669" s="3">
        <f>Table1[[#This Row],[Operating Profit]]/Table1[[#This Row],[Revenue]]</f>
        <v>0.21717171717171721</v>
      </c>
    </row>
    <row r="670" spans="1:28" x14ac:dyDescent="0.25">
      <c r="A670" t="s">
        <v>310</v>
      </c>
      <c r="B670">
        <v>565</v>
      </c>
      <c r="C670" t="s">
        <v>65</v>
      </c>
      <c r="D670" t="s">
        <v>95</v>
      </c>
      <c r="E670" t="s">
        <v>31</v>
      </c>
      <c r="F670" t="s">
        <v>98</v>
      </c>
      <c r="G670" t="str" cm="1">
        <f t="array" ref="G670">_xlfn.SWITCH(F670,"Acme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670" t="s">
        <v>69</v>
      </c>
      <c r="I670" t="s">
        <v>34</v>
      </c>
      <c r="J670" t="str" cm="1">
        <f t="array" ref="J670">_xlfn.SWITCH(I670,"P001","Laptop","P002","Server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670" s="1" cm="1">
        <f t="array" ref="K670">_xlfn.SWITCH(Table1[[#This Row],[Product ID]],"P001",220,"P002",150,"P003",130,"P004",70,"P005",200,"P006",40,"P007",25,"P008",20,"P009",190,"P010",530)</f>
        <v>20</v>
      </c>
      <c r="L670">
        <v>3</v>
      </c>
      <c r="M670" s="1">
        <f>Table1[[#This Row],[Unit Price]]*Table1[[#This Row],[Quantity]]</f>
        <v>60</v>
      </c>
      <c r="N670" s="2">
        <v>0.1</v>
      </c>
      <c r="O670" s="1">
        <f>Table1[[#This Row],[Gross Value]]*(1-Table1[[#This Row],[Discount]])</f>
        <v>54</v>
      </c>
      <c r="P670" s="2">
        <v>0.2</v>
      </c>
      <c r="Q670" s="1">
        <f>Table1[[#This Row],[Revenue]]*Table1[[#This Row],[VAT Rate]]</f>
        <v>10.8</v>
      </c>
      <c r="R670" s="1">
        <f>Table1[[#This Row],[Revenue]]+Table1[[#This Row],[VAT Charged]]</f>
        <v>64.8</v>
      </c>
      <c r="S670" s="1" cm="1">
        <f t="array" ref="S670">_xlfn.SWITCH(Table1[[#This Row],[Product ID]],"P001",140,"P002",80,"P003",72,"P004",30,"P005",110,"P006",24,"P007",14,"P008",12,"P009",115,"P010",360)</f>
        <v>12</v>
      </c>
      <c r="T670" s="1" cm="1">
        <f t="array" ref="T670">(_xlfn.SWITCH(Table1[[#This Row],[Product ID]],"P001",140,"P002",80,"P003",72,"P004",30,"P005",110,"P006",24,"P007",14,"P008",12,"P009",115,"P010",360))*Table1[[#This Row],[Quantity]]</f>
        <v>36</v>
      </c>
      <c r="U670" s="1" cm="1">
        <f t="array" ref="U670">_xlfn.SWITCH(Table1[[#This Row],[Product ID]],"P001",15,"P002",0,"P003",8,"P004",8,"P005",0,"P006",7,"P007",7,"P008",6,"P009",45,"P010",60)</f>
        <v>6</v>
      </c>
      <c r="V670" s="1">
        <f>Table1[[#This Row],[Shipping per Unit]]*Table1[[#This Row],[Quantity]]</f>
        <v>18</v>
      </c>
      <c r="W670" s="2">
        <f>IF(Table1[[#This Row],[Total Shipping]]&gt;0.1,0.2,0)</f>
        <v>0.2</v>
      </c>
      <c r="X670" s="4">
        <f>Table1[[#This Row],[Total Shipping]]*Table1[[#This Row],[VAT on Shipping]]</f>
        <v>3.6</v>
      </c>
      <c r="Y670" s="1">
        <f>Table1[[#This Row],[Revenue]]-Table1[[#This Row],[COGS]]</f>
        <v>18</v>
      </c>
      <c r="Z670" s="3">
        <f>(Table1[[#This Row],[Profit]]/Table1[[#This Row],[Revenue]])</f>
        <v>0.33333333333333331</v>
      </c>
      <c r="AA670" s="1">
        <f>Table1[[#This Row],[Profit]]-Table1[[#This Row],[Total Shipping]]</f>
        <v>0</v>
      </c>
      <c r="AB670" s="3">
        <f>Table1[[#This Row],[Operating Profit]]/Table1[[#This Row],[Revenue]]</f>
        <v>0</v>
      </c>
    </row>
    <row r="671" spans="1:28" x14ac:dyDescent="0.25">
      <c r="A671" t="s">
        <v>310</v>
      </c>
      <c r="B671">
        <v>758</v>
      </c>
      <c r="C671" t="s">
        <v>83</v>
      </c>
      <c r="D671" t="s">
        <v>36</v>
      </c>
      <c r="E671" t="s">
        <v>40</v>
      </c>
      <c r="F671" t="s">
        <v>97</v>
      </c>
      <c r="G671" t="str" cm="1">
        <f t="array" ref="G671">_xlfn.SWITCH(F671,"Acme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671" t="s">
        <v>33</v>
      </c>
      <c r="I671" t="s">
        <v>75</v>
      </c>
      <c r="J671" t="str" cm="1">
        <f t="array" ref="J671">_xlfn.SWITCH(I671,"P001","Laptop","P002","Server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671" s="1" cm="1">
        <f t="array" ref="K671">_xlfn.SWITCH(Table1[[#This Row],[Product ID]],"P001",220,"P002",150,"P003",130,"P004",70,"P005",200,"P006",40,"P007",25,"P008",20,"P009",190,"P010",530)</f>
        <v>200</v>
      </c>
      <c r="L671">
        <v>14</v>
      </c>
      <c r="M671" s="1">
        <f>Table1[[#This Row],[Unit Price]]*Table1[[#This Row],[Quantity]]</f>
        <v>2800</v>
      </c>
      <c r="N671" s="2">
        <v>0.05</v>
      </c>
      <c r="O671" s="1">
        <f>Table1[[#This Row],[Gross Value]]*(1-Table1[[#This Row],[Discount]])</f>
        <v>2660</v>
      </c>
      <c r="P671" s="2">
        <v>0.2</v>
      </c>
      <c r="Q671" s="1">
        <f>Table1[[#This Row],[Revenue]]*Table1[[#This Row],[VAT Rate]]</f>
        <v>532</v>
      </c>
      <c r="R671" s="1">
        <f>Table1[[#This Row],[Revenue]]+Table1[[#This Row],[VAT Charged]]</f>
        <v>3192</v>
      </c>
      <c r="S671" s="1" cm="1">
        <f t="array" ref="S671">_xlfn.SWITCH(Table1[[#This Row],[Product ID]],"P001",140,"P002",80,"P003",72,"P004",30,"P005",110,"P006",24,"P007",14,"P008",12,"P009",115,"P010",360)</f>
        <v>110</v>
      </c>
      <c r="T671" s="1" cm="1">
        <f t="array" ref="T671">(_xlfn.SWITCH(Table1[[#This Row],[Product ID]],"P001",140,"P002",80,"P003",72,"P004",30,"P005",110,"P006",24,"P007",14,"P008",12,"P009",115,"P010",360))*Table1[[#This Row],[Quantity]]</f>
        <v>1540</v>
      </c>
      <c r="U671" s="1" cm="1">
        <f t="array" ref="U671">_xlfn.SWITCH(Table1[[#This Row],[Product ID]],"P001",15,"P002",0,"P003",8,"P004",8,"P005",0,"P006",7,"P007",7,"P008",6,"P009",45,"P010",60)</f>
        <v>0</v>
      </c>
      <c r="V671" s="1">
        <f>Table1[[#This Row],[Shipping per Unit]]*Table1[[#This Row],[Quantity]]</f>
        <v>0</v>
      </c>
      <c r="W671" s="2">
        <f>IF(Table1[[#This Row],[Total Shipping]]&gt;0.1,0.2,0)</f>
        <v>0</v>
      </c>
      <c r="X671" s="4">
        <f>Table1[[#This Row],[Total Shipping]]*Table1[[#This Row],[VAT on Shipping]]</f>
        <v>0</v>
      </c>
      <c r="Y671" s="1">
        <f>Table1[[#This Row],[Revenue]]-Table1[[#This Row],[COGS]]</f>
        <v>1120</v>
      </c>
      <c r="Z671" s="3">
        <f>(Table1[[#This Row],[Profit]]/Table1[[#This Row],[Revenue]])</f>
        <v>0.42105263157894735</v>
      </c>
      <c r="AA671" s="1">
        <f>Table1[[#This Row],[Profit]]-Table1[[#This Row],[Total Shipping]]</f>
        <v>1120</v>
      </c>
      <c r="AB671" s="3">
        <f>Table1[[#This Row],[Operating Profit]]/Table1[[#This Row],[Revenue]]</f>
        <v>0.42105263157894735</v>
      </c>
    </row>
    <row r="672" spans="1:28" x14ac:dyDescent="0.25">
      <c r="A672" t="s">
        <v>310</v>
      </c>
      <c r="B672">
        <v>899</v>
      </c>
      <c r="C672" t="s">
        <v>38</v>
      </c>
      <c r="D672" t="s">
        <v>30</v>
      </c>
      <c r="E672" t="s">
        <v>31</v>
      </c>
      <c r="F672" t="s">
        <v>98</v>
      </c>
      <c r="G672" t="str" cm="1">
        <f t="array" ref="G672">_xlfn.SWITCH(F672,"Acme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672" t="s">
        <v>33</v>
      </c>
      <c r="I672" t="s">
        <v>42</v>
      </c>
      <c r="J672" t="str" cm="1">
        <f t="array" ref="J672">_xlfn.SWITCH(I672,"P001","Laptop","P002","Server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72" s="1" cm="1">
        <f t="array" ref="K672">_xlfn.SWITCH(Table1[[#This Row],[Product ID]],"P001",220,"P002",150,"P003",130,"P004",70,"P005",200,"P006",40,"P007",25,"P008",20,"P009",190,"P010",530)</f>
        <v>40</v>
      </c>
      <c r="L672">
        <v>16</v>
      </c>
      <c r="M672" s="1">
        <f>Table1[[#This Row],[Unit Price]]*Table1[[#This Row],[Quantity]]</f>
        <v>640</v>
      </c>
      <c r="N672" s="2">
        <v>7.0000000000000007E-2</v>
      </c>
      <c r="O672" s="1">
        <f>Table1[[#This Row],[Gross Value]]*(1-Table1[[#This Row],[Discount]])</f>
        <v>595.19999999999993</v>
      </c>
      <c r="P672" s="2">
        <v>0.2</v>
      </c>
      <c r="Q672" s="1">
        <f>Table1[[#This Row],[Revenue]]*Table1[[#This Row],[VAT Rate]]</f>
        <v>119.03999999999999</v>
      </c>
      <c r="R672" s="1">
        <f>Table1[[#This Row],[Revenue]]+Table1[[#This Row],[VAT Charged]]</f>
        <v>714.2399999999999</v>
      </c>
      <c r="S672" s="1" cm="1">
        <f t="array" ref="S672">_xlfn.SWITCH(Table1[[#This Row],[Product ID]],"P001",140,"P002",80,"P003",72,"P004",30,"P005",110,"P006",24,"P007",14,"P008",12,"P009",115,"P010",360)</f>
        <v>24</v>
      </c>
      <c r="T672" s="1" cm="1">
        <f t="array" ref="T672">(_xlfn.SWITCH(Table1[[#This Row],[Product ID]],"P001",140,"P002",80,"P003",72,"P004",30,"P005",110,"P006",24,"P007",14,"P008",12,"P009",115,"P010",360))*Table1[[#This Row],[Quantity]]</f>
        <v>384</v>
      </c>
      <c r="U672" s="1" cm="1">
        <f t="array" ref="U672">_xlfn.SWITCH(Table1[[#This Row],[Product ID]],"P001",15,"P002",0,"P003",8,"P004",8,"P005",0,"P006",7,"P007",7,"P008",6,"P009",45,"P010",60)</f>
        <v>7</v>
      </c>
      <c r="V672" s="1">
        <f>Table1[[#This Row],[Shipping per Unit]]*Table1[[#This Row],[Quantity]]</f>
        <v>112</v>
      </c>
      <c r="W672" s="2">
        <f>IF(Table1[[#This Row],[Total Shipping]]&gt;0.1,0.2,0)</f>
        <v>0.2</v>
      </c>
      <c r="X672" s="4">
        <f>Table1[[#This Row],[Total Shipping]]*Table1[[#This Row],[VAT on Shipping]]</f>
        <v>22.400000000000002</v>
      </c>
      <c r="Y672" s="1">
        <f>Table1[[#This Row],[Revenue]]-Table1[[#This Row],[COGS]]</f>
        <v>211.19999999999993</v>
      </c>
      <c r="Z672" s="3">
        <f>(Table1[[#This Row],[Profit]]/Table1[[#This Row],[Revenue]])</f>
        <v>0.35483870967741926</v>
      </c>
      <c r="AA672" s="1">
        <f>Table1[[#This Row],[Profit]]-Table1[[#This Row],[Total Shipping]]</f>
        <v>99.199999999999932</v>
      </c>
      <c r="AB672" s="3">
        <f>Table1[[#This Row],[Operating Profit]]/Table1[[#This Row],[Revenue]]</f>
        <v>0.16666666666666657</v>
      </c>
    </row>
    <row r="673" spans="1:28" x14ac:dyDescent="0.25">
      <c r="A673" t="s">
        <v>311</v>
      </c>
      <c r="B673">
        <v>917</v>
      </c>
      <c r="C673" t="s">
        <v>83</v>
      </c>
      <c r="D673" t="s">
        <v>53</v>
      </c>
      <c r="E673" t="s">
        <v>31</v>
      </c>
      <c r="F673" t="s">
        <v>74</v>
      </c>
      <c r="G673" t="str" cm="1">
        <f t="array" ref="G673">_xlfn.SWITCH(F673,"Acme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673" t="s">
        <v>51</v>
      </c>
      <c r="I673" t="s">
        <v>55</v>
      </c>
      <c r="J673" t="str" cm="1">
        <f t="array" ref="J673">_xlfn.SWITCH(I673,"P001","Laptop","P002","Server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73" s="1" cm="1">
        <f t="array" ref="K673">_xlfn.SWITCH(Table1[[#This Row],[Product ID]],"P001",220,"P002",150,"P003",130,"P004",70,"P005",200,"P006",40,"P007",25,"P008",20,"P009",190,"P010",530)</f>
        <v>70</v>
      </c>
      <c r="L673">
        <v>19</v>
      </c>
      <c r="M673" s="1">
        <f>Table1[[#This Row],[Unit Price]]*Table1[[#This Row],[Quantity]]</f>
        <v>1330</v>
      </c>
      <c r="N673" s="2">
        <v>0.08</v>
      </c>
      <c r="O673" s="1">
        <f>Table1[[#This Row],[Gross Value]]*(1-Table1[[#This Row],[Discount]])</f>
        <v>1223.6000000000001</v>
      </c>
      <c r="P673" s="2">
        <v>0.2</v>
      </c>
      <c r="Q673" s="1">
        <f>Table1[[#This Row],[Revenue]]*Table1[[#This Row],[VAT Rate]]</f>
        <v>244.72000000000003</v>
      </c>
      <c r="R673" s="1">
        <f>Table1[[#This Row],[Revenue]]+Table1[[#This Row],[VAT Charged]]</f>
        <v>1468.3200000000002</v>
      </c>
      <c r="S673" s="1" cm="1">
        <f t="array" ref="S673">_xlfn.SWITCH(Table1[[#This Row],[Product ID]],"P001",140,"P002",80,"P003",72,"P004",30,"P005",110,"P006",24,"P007",14,"P008",12,"P009",115,"P010",360)</f>
        <v>30</v>
      </c>
      <c r="T673" s="1" cm="1">
        <f t="array" ref="T673">(_xlfn.SWITCH(Table1[[#This Row],[Product ID]],"P001",140,"P002",80,"P003",72,"P004",30,"P005",110,"P006",24,"P007",14,"P008",12,"P009",115,"P010",360))*Table1[[#This Row],[Quantity]]</f>
        <v>570</v>
      </c>
      <c r="U673" s="1" cm="1">
        <f t="array" ref="U673">_xlfn.SWITCH(Table1[[#This Row],[Product ID]],"P001",15,"P002",0,"P003",8,"P004",8,"P005",0,"P006",7,"P007",7,"P008",6,"P009",45,"P010",60)</f>
        <v>8</v>
      </c>
      <c r="V673" s="1">
        <f>Table1[[#This Row],[Shipping per Unit]]*Table1[[#This Row],[Quantity]]</f>
        <v>152</v>
      </c>
      <c r="W673" s="2">
        <f>IF(Table1[[#This Row],[Total Shipping]]&gt;0.1,0.2,0)</f>
        <v>0.2</v>
      </c>
      <c r="X673" s="4">
        <f>Table1[[#This Row],[Total Shipping]]*Table1[[#This Row],[VAT on Shipping]]</f>
        <v>30.400000000000002</v>
      </c>
      <c r="Y673" s="1">
        <f>Table1[[#This Row],[Revenue]]-Table1[[#This Row],[COGS]]</f>
        <v>653.60000000000014</v>
      </c>
      <c r="Z673" s="3">
        <f>(Table1[[#This Row],[Profit]]/Table1[[#This Row],[Revenue]])</f>
        <v>0.53416149068322982</v>
      </c>
      <c r="AA673" s="1">
        <f>Table1[[#This Row],[Profit]]-Table1[[#This Row],[Total Shipping]]</f>
        <v>501.60000000000014</v>
      </c>
      <c r="AB673" s="3">
        <f>Table1[[#This Row],[Operating Profit]]/Table1[[#This Row],[Revenue]]</f>
        <v>0.40993788819875782</v>
      </c>
    </row>
    <row r="674" spans="1:28" x14ac:dyDescent="0.25">
      <c r="A674" t="s">
        <v>312</v>
      </c>
      <c r="B674">
        <v>733</v>
      </c>
      <c r="C674" t="s">
        <v>71</v>
      </c>
      <c r="D674" t="s">
        <v>57</v>
      </c>
      <c r="E674" t="s">
        <v>31</v>
      </c>
      <c r="F674" t="s">
        <v>97</v>
      </c>
      <c r="G674" t="str" cm="1">
        <f t="array" ref="G674">_xlfn.SWITCH(F674,"Acme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674" t="s">
        <v>33</v>
      </c>
      <c r="I674" t="s">
        <v>70</v>
      </c>
      <c r="J674" t="str" cm="1">
        <f t="array" ref="J674">_xlfn.SWITCH(I674,"P001","Laptop","P002","Server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674" s="1" cm="1">
        <f t="array" ref="K674">_xlfn.SWITCH(Table1[[#This Row],[Product ID]],"P001",220,"P002",150,"P003",130,"P004",70,"P005",200,"P006",40,"P007",25,"P008",20,"P009",190,"P010",530)</f>
        <v>150</v>
      </c>
      <c r="L674">
        <v>17</v>
      </c>
      <c r="M674" s="1">
        <f>Table1[[#This Row],[Unit Price]]*Table1[[#This Row],[Quantity]]</f>
        <v>2550</v>
      </c>
      <c r="N674" s="2">
        <v>0.05</v>
      </c>
      <c r="O674" s="1">
        <f>Table1[[#This Row],[Gross Value]]*(1-Table1[[#This Row],[Discount]])</f>
        <v>2422.5</v>
      </c>
      <c r="P674" s="2">
        <v>0.2</v>
      </c>
      <c r="Q674" s="1">
        <f>Table1[[#This Row],[Revenue]]*Table1[[#This Row],[VAT Rate]]</f>
        <v>484.5</v>
      </c>
      <c r="R674" s="1">
        <f>Table1[[#This Row],[Revenue]]+Table1[[#This Row],[VAT Charged]]</f>
        <v>2907</v>
      </c>
      <c r="S674" s="1" cm="1">
        <f t="array" ref="S674">_xlfn.SWITCH(Table1[[#This Row],[Product ID]],"P001",140,"P002",80,"P003",72,"P004",30,"P005",110,"P006",24,"P007",14,"P008",12,"P009",115,"P010",360)</f>
        <v>80</v>
      </c>
      <c r="T674" s="1" cm="1">
        <f t="array" ref="T674">(_xlfn.SWITCH(Table1[[#This Row],[Product ID]],"P001",140,"P002",80,"P003",72,"P004",30,"P005",110,"P006",24,"P007",14,"P008",12,"P009",115,"P010",360))*Table1[[#This Row],[Quantity]]</f>
        <v>1360</v>
      </c>
      <c r="U674" s="1" cm="1">
        <f t="array" ref="U674">_xlfn.SWITCH(Table1[[#This Row],[Product ID]],"P001",15,"P002",0,"P003",8,"P004",8,"P005",0,"P006",7,"P007",7,"P008",6,"P009",45,"P010",60)</f>
        <v>0</v>
      </c>
      <c r="V674" s="1">
        <f>Table1[[#This Row],[Shipping per Unit]]*Table1[[#This Row],[Quantity]]</f>
        <v>0</v>
      </c>
      <c r="W674" s="2">
        <f>IF(Table1[[#This Row],[Total Shipping]]&gt;0.1,0.2,0)</f>
        <v>0</v>
      </c>
      <c r="X674" s="4">
        <f>Table1[[#This Row],[Total Shipping]]*Table1[[#This Row],[VAT on Shipping]]</f>
        <v>0</v>
      </c>
      <c r="Y674" s="1">
        <f>Table1[[#This Row],[Revenue]]-Table1[[#This Row],[COGS]]</f>
        <v>1062.5</v>
      </c>
      <c r="Z674" s="3">
        <f>(Table1[[#This Row],[Profit]]/Table1[[#This Row],[Revenue]])</f>
        <v>0.43859649122807015</v>
      </c>
      <c r="AA674" s="1">
        <f>Table1[[#This Row],[Profit]]-Table1[[#This Row],[Total Shipping]]</f>
        <v>1062.5</v>
      </c>
      <c r="AB674" s="3">
        <f>Table1[[#This Row],[Operating Profit]]/Table1[[#This Row],[Revenue]]</f>
        <v>0.43859649122807015</v>
      </c>
    </row>
    <row r="675" spans="1:28" x14ac:dyDescent="0.25">
      <c r="A675" t="s">
        <v>312</v>
      </c>
      <c r="B675">
        <v>856</v>
      </c>
      <c r="C675" t="s">
        <v>83</v>
      </c>
      <c r="D675" t="s">
        <v>95</v>
      </c>
      <c r="E675" t="s">
        <v>49</v>
      </c>
      <c r="F675" t="s">
        <v>50</v>
      </c>
      <c r="G675" t="str" cm="1">
        <f t="array" ref="G675">_xlfn.SWITCH(F675,"Acme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675" t="s">
        <v>104</v>
      </c>
      <c r="I675" t="s">
        <v>46</v>
      </c>
      <c r="J675" t="str" cm="1">
        <f t="array" ref="J675">_xlfn.SWITCH(I675,"P001","Laptop","P002","Server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75" s="1" cm="1">
        <f t="array" ref="K675">_xlfn.SWITCH(Table1[[#This Row],[Product ID]],"P001",220,"P002",150,"P003",130,"P004",70,"P005",200,"P006",40,"P007",25,"P008",20,"P009",190,"P010",530)</f>
        <v>530</v>
      </c>
      <c r="L675">
        <v>5</v>
      </c>
      <c r="M675" s="1">
        <f>Table1[[#This Row],[Unit Price]]*Table1[[#This Row],[Quantity]]</f>
        <v>2650</v>
      </c>
      <c r="N675" s="2">
        <v>0.06</v>
      </c>
      <c r="O675" s="1">
        <f>Table1[[#This Row],[Gross Value]]*(1-Table1[[#This Row],[Discount]])</f>
        <v>2491</v>
      </c>
      <c r="P675" s="2">
        <v>0.2</v>
      </c>
      <c r="Q675" s="1">
        <f>Table1[[#This Row],[Revenue]]*Table1[[#This Row],[VAT Rate]]</f>
        <v>498.20000000000005</v>
      </c>
      <c r="R675" s="1">
        <f>Table1[[#This Row],[Revenue]]+Table1[[#This Row],[VAT Charged]]</f>
        <v>2989.2</v>
      </c>
      <c r="S675" s="1" cm="1">
        <f t="array" ref="S675">_xlfn.SWITCH(Table1[[#This Row],[Product ID]],"P001",140,"P002",80,"P003",72,"P004",30,"P005",110,"P006",24,"P007",14,"P008",12,"P009",115,"P010",360)</f>
        <v>360</v>
      </c>
      <c r="T675" s="1" cm="1">
        <f t="array" ref="T675">(_xlfn.SWITCH(Table1[[#This Row],[Product ID]],"P001",140,"P002",80,"P003",72,"P004",30,"P005",110,"P006",24,"P007",14,"P008",12,"P009",115,"P010",360))*Table1[[#This Row],[Quantity]]</f>
        <v>1800</v>
      </c>
      <c r="U675" s="1" cm="1">
        <f t="array" ref="U675">_xlfn.SWITCH(Table1[[#This Row],[Product ID]],"P001",15,"P002",0,"P003",8,"P004",8,"P005",0,"P006",7,"P007",7,"P008",6,"P009",45,"P010",60)</f>
        <v>60</v>
      </c>
      <c r="V675" s="1">
        <f>Table1[[#This Row],[Shipping per Unit]]*Table1[[#This Row],[Quantity]]</f>
        <v>300</v>
      </c>
      <c r="W675" s="2">
        <f>IF(Table1[[#This Row],[Total Shipping]]&gt;0.1,0.2,0)</f>
        <v>0.2</v>
      </c>
      <c r="X675" s="4">
        <f>Table1[[#This Row],[Total Shipping]]*Table1[[#This Row],[VAT on Shipping]]</f>
        <v>60</v>
      </c>
      <c r="Y675" s="1">
        <f>Table1[[#This Row],[Revenue]]-Table1[[#This Row],[COGS]]</f>
        <v>691</v>
      </c>
      <c r="Z675" s="3">
        <f>(Table1[[#This Row],[Profit]]/Table1[[#This Row],[Revenue]])</f>
        <v>0.27739863508631074</v>
      </c>
      <c r="AA675" s="1">
        <f>Table1[[#This Row],[Profit]]-Table1[[#This Row],[Total Shipping]]</f>
        <v>391</v>
      </c>
      <c r="AB675" s="3">
        <f>Table1[[#This Row],[Operating Profit]]/Table1[[#This Row],[Revenue]]</f>
        <v>0.1569650742673625</v>
      </c>
    </row>
    <row r="676" spans="1:28" x14ac:dyDescent="0.25">
      <c r="A676" t="s">
        <v>313</v>
      </c>
      <c r="B676">
        <v>214</v>
      </c>
      <c r="C676" t="s">
        <v>38</v>
      </c>
      <c r="D676" t="s">
        <v>72</v>
      </c>
      <c r="E676" t="s">
        <v>31</v>
      </c>
      <c r="F676" t="s">
        <v>126</v>
      </c>
      <c r="G676" t="str" cm="1">
        <f t="array" ref="G676">_xlfn.SWITCH(F676,"Acme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676" t="s">
        <v>33</v>
      </c>
      <c r="I676" t="s">
        <v>55</v>
      </c>
      <c r="J676" t="str" cm="1">
        <f t="array" ref="J676">_xlfn.SWITCH(I676,"P001","Laptop","P002","Server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76" s="1" cm="1">
        <f t="array" ref="K676">_xlfn.SWITCH(Table1[[#This Row],[Product ID]],"P001",220,"P002",150,"P003",130,"P004",70,"P005",200,"P006",40,"P007",25,"P008",20,"P009",190,"P010",530)</f>
        <v>70</v>
      </c>
      <c r="L676">
        <v>1</v>
      </c>
      <c r="M676" s="1">
        <f>Table1[[#This Row],[Unit Price]]*Table1[[#This Row],[Quantity]]</f>
        <v>70</v>
      </c>
      <c r="N676" s="2">
        <v>0.05</v>
      </c>
      <c r="O676" s="1">
        <f>Table1[[#This Row],[Gross Value]]*(1-Table1[[#This Row],[Discount]])</f>
        <v>66.5</v>
      </c>
      <c r="P676" s="2">
        <v>0.2</v>
      </c>
      <c r="Q676" s="1">
        <f>Table1[[#This Row],[Revenue]]*Table1[[#This Row],[VAT Rate]]</f>
        <v>13.3</v>
      </c>
      <c r="R676" s="1">
        <f>Table1[[#This Row],[Revenue]]+Table1[[#This Row],[VAT Charged]]</f>
        <v>79.8</v>
      </c>
      <c r="S676" s="1" cm="1">
        <f t="array" ref="S676">_xlfn.SWITCH(Table1[[#This Row],[Product ID]],"P001",140,"P002",80,"P003",72,"P004",30,"P005",110,"P006",24,"P007",14,"P008",12,"P009",115,"P010",360)</f>
        <v>30</v>
      </c>
      <c r="T676" s="1" cm="1">
        <f t="array" ref="T676">(_xlfn.SWITCH(Table1[[#This Row],[Product ID]],"P001",140,"P002",80,"P003",72,"P004",30,"P005",110,"P006",24,"P007",14,"P008",12,"P009",115,"P010",360))*Table1[[#This Row],[Quantity]]</f>
        <v>30</v>
      </c>
      <c r="U676" s="1" cm="1">
        <f t="array" ref="U676">_xlfn.SWITCH(Table1[[#This Row],[Product ID]],"P001",15,"P002",0,"P003",8,"P004",8,"P005",0,"P006",7,"P007",7,"P008",6,"P009",45,"P010",60)</f>
        <v>8</v>
      </c>
      <c r="V676" s="1">
        <f>Table1[[#This Row],[Shipping per Unit]]*Table1[[#This Row],[Quantity]]</f>
        <v>8</v>
      </c>
      <c r="W676" s="2">
        <f>IF(Table1[[#This Row],[Total Shipping]]&gt;0.1,0.2,0)</f>
        <v>0.2</v>
      </c>
      <c r="X676" s="4">
        <f>Table1[[#This Row],[Total Shipping]]*Table1[[#This Row],[VAT on Shipping]]</f>
        <v>1.6</v>
      </c>
      <c r="Y676" s="1">
        <f>Table1[[#This Row],[Revenue]]-Table1[[#This Row],[COGS]]</f>
        <v>36.5</v>
      </c>
      <c r="Z676" s="3">
        <f>(Table1[[#This Row],[Profit]]/Table1[[#This Row],[Revenue]])</f>
        <v>0.54887218045112784</v>
      </c>
      <c r="AA676" s="1">
        <f>Table1[[#This Row],[Profit]]-Table1[[#This Row],[Total Shipping]]</f>
        <v>28.5</v>
      </c>
      <c r="AB676" s="3">
        <f>Table1[[#This Row],[Operating Profit]]/Table1[[#This Row],[Revenue]]</f>
        <v>0.42857142857142855</v>
      </c>
    </row>
    <row r="677" spans="1:28" x14ac:dyDescent="0.25">
      <c r="A677" t="s">
        <v>313</v>
      </c>
      <c r="B677">
        <v>558</v>
      </c>
      <c r="C677" t="s">
        <v>29</v>
      </c>
      <c r="D677" t="s">
        <v>67</v>
      </c>
      <c r="E677" t="s">
        <v>40</v>
      </c>
      <c r="F677" t="s">
        <v>50</v>
      </c>
      <c r="G677" t="str" cm="1">
        <f t="array" ref="G677">_xlfn.SWITCH(F677,"Acme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677" t="s">
        <v>45</v>
      </c>
      <c r="I677" t="s">
        <v>46</v>
      </c>
      <c r="J677" t="str" cm="1">
        <f t="array" ref="J677">_xlfn.SWITCH(I677,"P001","Laptop","P002","Server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77" s="1" cm="1">
        <f t="array" ref="K677">_xlfn.SWITCH(Table1[[#This Row],[Product ID]],"P001",220,"P002",150,"P003",130,"P004",70,"P005",200,"P006",40,"P007",25,"P008",20,"P009",190,"P010",530)</f>
        <v>530</v>
      </c>
      <c r="L677">
        <v>15</v>
      </c>
      <c r="M677" s="1">
        <f>Table1[[#This Row],[Unit Price]]*Table1[[#This Row],[Quantity]]</f>
        <v>7950</v>
      </c>
      <c r="N677" s="2">
        <v>7.0000000000000007E-2</v>
      </c>
      <c r="O677" s="1">
        <f>Table1[[#This Row],[Gross Value]]*(1-Table1[[#This Row],[Discount]])</f>
        <v>7393.4999999999991</v>
      </c>
      <c r="P677" s="2">
        <v>0.2</v>
      </c>
      <c r="Q677" s="1">
        <f>Table1[[#This Row],[Revenue]]*Table1[[#This Row],[VAT Rate]]</f>
        <v>1478.6999999999998</v>
      </c>
      <c r="R677" s="1">
        <f>Table1[[#This Row],[Revenue]]+Table1[[#This Row],[VAT Charged]]</f>
        <v>8872.1999999999989</v>
      </c>
      <c r="S677" s="1" cm="1">
        <f t="array" ref="S677">_xlfn.SWITCH(Table1[[#This Row],[Product ID]],"P001",140,"P002",80,"P003",72,"P004",30,"P005",110,"P006",24,"P007",14,"P008",12,"P009",115,"P010",360)</f>
        <v>360</v>
      </c>
      <c r="T677" s="1" cm="1">
        <f t="array" ref="T677">(_xlfn.SWITCH(Table1[[#This Row],[Product ID]],"P001",140,"P002",80,"P003",72,"P004",30,"P005",110,"P006",24,"P007",14,"P008",12,"P009",115,"P010",360))*Table1[[#This Row],[Quantity]]</f>
        <v>5400</v>
      </c>
      <c r="U677" s="1" cm="1">
        <f t="array" ref="U677">_xlfn.SWITCH(Table1[[#This Row],[Product ID]],"P001",15,"P002",0,"P003",8,"P004",8,"P005",0,"P006",7,"P007",7,"P008",6,"P009",45,"P010",60)</f>
        <v>60</v>
      </c>
      <c r="V677" s="1">
        <f>Table1[[#This Row],[Shipping per Unit]]*Table1[[#This Row],[Quantity]]</f>
        <v>900</v>
      </c>
      <c r="W677" s="2">
        <f>IF(Table1[[#This Row],[Total Shipping]]&gt;0.1,0.2,0)</f>
        <v>0.2</v>
      </c>
      <c r="X677" s="4">
        <f>Table1[[#This Row],[Total Shipping]]*Table1[[#This Row],[VAT on Shipping]]</f>
        <v>180</v>
      </c>
      <c r="Y677" s="1">
        <f>Table1[[#This Row],[Revenue]]-Table1[[#This Row],[COGS]]</f>
        <v>1993.4999999999991</v>
      </c>
      <c r="Z677" s="3">
        <f>(Table1[[#This Row],[Profit]]/Table1[[#This Row],[Revenue]])</f>
        <v>0.26962872793670106</v>
      </c>
      <c r="AA677" s="1">
        <f>Table1[[#This Row],[Profit]]-Table1[[#This Row],[Total Shipping]]</f>
        <v>1093.4999999999991</v>
      </c>
      <c r="AB677" s="3">
        <f>Table1[[#This Row],[Operating Profit]]/Table1[[#This Row],[Revenue]]</f>
        <v>0.14790018259281792</v>
      </c>
    </row>
    <row r="678" spans="1:28" x14ac:dyDescent="0.25">
      <c r="A678" t="s">
        <v>313</v>
      </c>
      <c r="B678">
        <v>869</v>
      </c>
      <c r="C678" t="s">
        <v>29</v>
      </c>
      <c r="D678" t="s">
        <v>39</v>
      </c>
      <c r="E678" t="s">
        <v>40</v>
      </c>
      <c r="F678" t="s">
        <v>59</v>
      </c>
      <c r="G678" t="str" cm="1">
        <f t="array" ref="G678">_xlfn.SWITCH(F678,"Acme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678" t="s">
        <v>45</v>
      </c>
      <c r="I678" t="s">
        <v>46</v>
      </c>
      <c r="J678" t="str" cm="1">
        <f t="array" ref="J678">_xlfn.SWITCH(I678,"P001","Laptop","P002","Server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78" s="1" cm="1">
        <f t="array" ref="K678">_xlfn.SWITCH(Table1[[#This Row],[Product ID]],"P001",220,"P002",150,"P003",130,"P004",70,"P005",200,"P006",40,"P007",25,"P008",20,"P009",190,"P010",530)</f>
        <v>530</v>
      </c>
      <c r="L678">
        <v>17</v>
      </c>
      <c r="M678" s="1">
        <f>Table1[[#This Row],[Unit Price]]*Table1[[#This Row],[Quantity]]</f>
        <v>9010</v>
      </c>
      <c r="N678" s="2">
        <v>0.02</v>
      </c>
      <c r="O678" s="1">
        <f>Table1[[#This Row],[Gross Value]]*(1-Table1[[#This Row],[Discount]])</f>
        <v>8829.7999999999993</v>
      </c>
      <c r="P678" s="2">
        <v>0.2</v>
      </c>
      <c r="Q678" s="1">
        <f>Table1[[#This Row],[Revenue]]*Table1[[#This Row],[VAT Rate]]</f>
        <v>1765.96</v>
      </c>
      <c r="R678" s="1">
        <f>Table1[[#This Row],[Revenue]]+Table1[[#This Row],[VAT Charged]]</f>
        <v>10595.759999999998</v>
      </c>
      <c r="S678" s="1" cm="1">
        <f t="array" ref="S678">_xlfn.SWITCH(Table1[[#This Row],[Product ID]],"P001",140,"P002",80,"P003",72,"P004",30,"P005",110,"P006",24,"P007",14,"P008",12,"P009",115,"P010",360)</f>
        <v>360</v>
      </c>
      <c r="T678" s="1" cm="1">
        <f t="array" ref="T678">(_xlfn.SWITCH(Table1[[#This Row],[Product ID]],"P001",140,"P002",80,"P003",72,"P004",30,"P005",110,"P006",24,"P007",14,"P008",12,"P009",115,"P010",360))*Table1[[#This Row],[Quantity]]</f>
        <v>6120</v>
      </c>
      <c r="U678" s="1" cm="1">
        <f t="array" ref="U678">_xlfn.SWITCH(Table1[[#This Row],[Product ID]],"P001",15,"P002",0,"P003",8,"P004",8,"P005",0,"P006",7,"P007",7,"P008",6,"P009",45,"P010",60)</f>
        <v>60</v>
      </c>
      <c r="V678" s="1">
        <f>Table1[[#This Row],[Shipping per Unit]]*Table1[[#This Row],[Quantity]]</f>
        <v>1020</v>
      </c>
      <c r="W678" s="2">
        <f>IF(Table1[[#This Row],[Total Shipping]]&gt;0.1,0.2,0)</f>
        <v>0.2</v>
      </c>
      <c r="X678" s="4">
        <f>Table1[[#This Row],[Total Shipping]]*Table1[[#This Row],[VAT on Shipping]]</f>
        <v>204</v>
      </c>
      <c r="Y678" s="1">
        <f>Table1[[#This Row],[Revenue]]-Table1[[#This Row],[COGS]]</f>
        <v>2709.7999999999993</v>
      </c>
      <c r="Z678" s="3">
        <f>(Table1[[#This Row],[Profit]]/Table1[[#This Row],[Revenue]])</f>
        <v>0.30689256834809392</v>
      </c>
      <c r="AA678" s="1">
        <f>Table1[[#This Row],[Profit]]-Table1[[#This Row],[Total Shipping]]</f>
        <v>1689.7999999999993</v>
      </c>
      <c r="AB678" s="3">
        <f>Table1[[#This Row],[Operating Profit]]/Table1[[#This Row],[Revenue]]</f>
        <v>0.1913746630727762</v>
      </c>
    </row>
    <row r="679" spans="1:28" x14ac:dyDescent="0.25">
      <c r="A679" t="s">
        <v>313</v>
      </c>
      <c r="B679">
        <v>951</v>
      </c>
      <c r="C679" t="s">
        <v>71</v>
      </c>
      <c r="D679" t="s">
        <v>36</v>
      </c>
      <c r="E679" t="s">
        <v>31</v>
      </c>
      <c r="F679" t="s">
        <v>90</v>
      </c>
      <c r="G679" t="str" cm="1">
        <f t="array" ref="G679">_xlfn.SWITCH(F679,"Acme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679" t="s">
        <v>45</v>
      </c>
      <c r="I679" t="s">
        <v>46</v>
      </c>
      <c r="J679" t="str" cm="1">
        <f t="array" ref="J679">_xlfn.SWITCH(I679,"P001","Laptop","P002","Server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79" s="1" cm="1">
        <f t="array" ref="K679">_xlfn.SWITCH(Table1[[#This Row],[Product ID]],"P001",220,"P002",150,"P003",130,"P004",70,"P005",200,"P006",40,"P007",25,"P008",20,"P009",190,"P010",530)</f>
        <v>530</v>
      </c>
      <c r="L679">
        <v>9</v>
      </c>
      <c r="M679" s="1">
        <f>Table1[[#This Row],[Unit Price]]*Table1[[#This Row],[Quantity]]</f>
        <v>4770</v>
      </c>
      <c r="N679" s="2">
        <v>0.05</v>
      </c>
      <c r="O679" s="1">
        <f>Table1[[#This Row],[Gross Value]]*(1-Table1[[#This Row],[Discount]])</f>
        <v>4531.5</v>
      </c>
      <c r="P679" s="2">
        <v>0.2</v>
      </c>
      <c r="Q679" s="1">
        <f>Table1[[#This Row],[Revenue]]*Table1[[#This Row],[VAT Rate]]</f>
        <v>906.30000000000007</v>
      </c>
      <c r="R679" s="1">
        <f>Table1[[#This Row],[Revenue]]+Table1[[#This Row],[VAT Charged]]</f>
        <v>5437.8</v>
      </c>
      <c r="S679" s="1" cm="1">
        <f t="array" ref="S679">_xlfn.SWITCH(Table1[[#This Row],[Product ID]],"P001",140,"P002",80,"P003",72,"P004",30,"P005",110,"P006",24,"P007",14,"P008",12,"P009",115,"P010",360)</f>
        <v>360</v>
      </c>
      <c r="T679" s="1" cm="1">
        <f t="array" ref="T679">(_xlfn.SWITCH(Table1[[#This Row],[Product ID]],"P001",140,"P002",80,"P003",72,"P004",30,"P005",110,"P006",24,"P007",14,"P008",12,"P009",115,"P010",360))*Table1[[#This Row],[Quantity]]</f>
        <v>3240</v>
      </c>
      <c r="U679" s="1" cm="1">
        <f t="array" ref="U679">_xlfn.SWITCH(Table1[[#This Row],[Product ID]],"P001",15,"P002",0,"P003",8,"P004",8,"P005",0,"P006",7,"P007",7,"P008",6,"P009",45,"P010",60)</f>
        <v>60</v>
      </c>
      <c r="V679" s="1">
        <f>Table1[[#This Row],[Shipping per Unit]]*Table1[[#This Row],[Quantity]]</f>
        <v>540</v>
      </c>
      <c r="W679" s="2">
        <f>IF(Table1[[#This Row],[Total Shipping]]&gt;0.1,0.2,0)</f>
        <v>0.2</v>
      </c>
      <c r="X679" s="4">
        <f>Table1[[#This Row],[Total Shipping]]*Table1[[#This Row],[VAT on Shipping]]</f>
        <v>108</v>
      </c>
      <c r="Y679" s="1">
        <f>Table1[[#This Row],[Revenue]]-Table1[[#This Row],[COGS]]</f>
        <v>1291.5</v>
      </c>
      <c r="Z679" s="3">
        <f>(Table1[[#This Row],[Profit]]/Table1[[#This Row],[Revenue]])</f>
        <v>0.28500496524329694</v>
      </c>
      <c r="AA679" s="1">
        <f>Table1[[#This Row],[Profit]]-Table1[[#This Row],[Total Shipping]]</f>
        <v>751.5</v>
      </c>
      <c r="AB679" s="3">
        <f>Table1[[#This Row],[Operating Profit]]/Table1[[#This Row],[Revenue]]</f>
        <v>0.16583912611717974</v>
      </c>
    </row>
    <row r="680" spans="1:28" x14ac:dyDescent="0.25">
      <c r="A680" t="s">
        <v>314</v>
      </c>
      <c r="B680">
        <v>285</v>
      </c>
      <c r="C680" t="s">
        <v>71</v>
      </c>
      <c r="D680" t="s">
        <v>36</v>
      </c>
      <c r="E680" t="s">
        <v>40</v>
      </c>
      <c r="F680" t="s">
        <v>79</v>
      </c>
      <c r="G680" t="str" cm="1">
        <f t="array" ref="G680">_xlfn.SWITCH(F680,"Acme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80" t="s">
        <v>58</v>
      </c>
      <c r="I680" t="s">
        <v>91</v>
      </c>
      <c r="J680" t="str" cm="1">
        <f t="array" ref="J680">_xlfn.SWITCH(I680,"P001","Laptop","P002","Server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80" s="1" cm="1">
        <f t="array" ref="K680">_xlfn.SWITCH(Table1[[#This Row],[Product ID]],"P001",220,"P002",150,"P003",130,"P004",70,"P005",200,"P006",40,"P007",25,"P008",20,"P009",190,"P010",530)</f>
        <v>190</v>
      </c>
      <c r="L680">
        <v>20</v>
      </c>
      <c r="M680" s="1">
        <f>Table1[[#This Row],[Unit Price]]*Table1[[#This Row],[Quantity]]</f>
        <v>3800</v>
      </c>
      <c r="N680" s="2">
        <v>0.08</v>
      </c>
      <c r="O680" s="1">
        <f>Table1[[#This Row],[Gross Value]]*(1-Table1[[#This Row],[Discount]])</f>
        <v>3496</v>
      </c>
      <c r="P680" s="2">
        <v>0.2</v>
      </c>
      <c r="Q680" s="1">
        <f>Table1[[#This Row],[Revenue]]*Table1[[#This Row],[VAT Rate]]</f>
        <v>699.2</v>
      </c>
      <c r="R680" s="1">
        <f>Table1[[#This Row],[Revenue]]+Table1[[#This Row],[VAT Charged]]</f>
        <v>4195.2</v>
      </c>
      <c r="S680" s="1" cm="1">
        <f t="array" ref="S680">_xlfn.SWITCH(Table1[[#This Row],[Product ID]],"P001",140,"P002",80,"P003",72,"P004",30,"P005",110,"P006",24,"P007",14,"P008",12,"P009",115,"P010",360)</f>
        <v>115</v>
      </c>
      <c r="T680" s="1" cm="1">
        <f t="array" ref="T680">(_xlfn.SWITCH(Table1[[#This Row],[Product ID]],"P001",140,"P002",80,"P003",72,"P004",30,"P005",110,"P006",24,"P007",14,"P008",12,"P009",115,"P010",360))*Table1[[#This Row],[Quantity]]</f>
        <v>2300</v>
      </c>
      <c r="U680" s="1" cm="1">
        <f t="array" ref="U680">_xlfn.SWITCH(Table1[[#This Row],[Product ID]],"P001",15,"P002",0,"P003",8,"P004",8,"P005",0,"P006",7,"P007",7,"P008",6,"P009",45,"P010",60)</f>
        <v>45</v>
      </c>
      <c r="V680" s="1">
        <f>Table1[[#This Row],[Shipping per Unit]]*Table1[[#This Row],[Quantity]]</f>
        <v>900</v>
      </c>
      <c r="W680" s="2">
        <f>IF(Table1[[#This Row],[Total Shipping]]&gt;0.1,0.2,0)</f>
        <v>0.2</v>
      </c>
      <c r="X680" s="4">
        <f>Table1[[#This Row],[Total Shipping]]*Table1[[#This Row],[VAT on Shipping]]</f>
        <v>180</v>
      </c>
      <c r="Y680" s="1">
        <f>Table1[[#This Row],[Revenue]]-Table1[[#This Row],[COGS]]</f>
        <v>1196</v>
      </c>
      <c r="Z680" s="3">
        <f>(Table1[[#This Row],[Profit]]/Table1[[#This Row],[Revenue]])</f>
        <v>0.34210526315789475</v>
      </c>
      <c r="AA680" s="1">
        <f>Table1[[#This Row],[Profit]]-Table1[[#This Row],[Total Shipping]]</f>
        <v>296</v>
      </c>
      <c r="AB680" s="3">
        <f>Table1[[#This Row],[Operating Profit]]/Table1[[#This Row],[Revenue]]</f>
        <v>8.4668192219679639E-2</v>
      </c>
    </row>
    <row r="681" spans="1:28" x14ac:dyDescent="0.25">
      <c r="A681" t="s">
        <v>314</v>
      </c>
      <c r="B681">
        <v>473</v>
      </c>
      <c r="C681" t="s">
        <v>35</v>
      </c>
      <c r="D681" t="s">
        <v>36</v>
      </c>
      <c r="E681" t="s">
        <v>40</v>
      </c>
      <c r="F681" t="s">
        <v>90</v>
      </c>
      <c r="G681" t="str" cm="1">
        <f t="array" ref="G681">_xlfn.SWITCH(F681,"Acme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681" t="s">
        <v>58</v>
      </c>
      <c r="I681" t="s">
        <v>60</v>
      </c>
      <c r="J681" t="str" cm="1">
        <f t="array" ref="J681">_xlfn.SWITCH(I681,"P001","Laptop","P002","Server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681" s="1" cm="1">
        <f t="array" ref="K681">_xlfn.SWITCH(Table1[[#This Row],[Product ID]],"P001",220,"P002",150,"P003",130,"P004",70,"P005",200,"P006",40,"P007",25,"P008",20,"P009",190,"P010",530)</f>
        <v>25</v>
      </c>
      <c r="L681">
        <v>17</v>
      </c>
      <c r="M681" s="1">
        <f>Table1[[#This Row],[Unit Price]]*Table1[[#This Row],[Quantity]]</f>
        <v>425</v>
      </c>
      <c r="N681" s="2">
        <v>0.05</v>
      </c>
      <c r="O681" s="1">
        <f>Table1[[#This Row],[Gross Value]]*(1-Table1[[#This Row],[Discount]])</f>
        <v>403.75</v>
      </c>
      <c r="P681" s="2">
        <v>0.2</v>
      </c>
      <c r="Q681" s="1">
        <f>Table1[[#This Row],[Revenue]]*Table1[[#This Row],[VAT Rate]]</f>
        <v>80.75</v>
      </c>
      <c r="R681" s="1">
        <f>Table1[[#This Row],[Revenue]]+Table1[[#This Row],[VAT Charged]]</f>
        <v>484.5</v>
      </c>
      <c r="S681" s="1" cm="1">
        <f t="array" ref="S681">_xlfn.SWITCH(Table1[[#This Row],[Product ID]],"P001",140,"P002",80,"P003",72,"P004",30,"P005",110,"P006",24,"P007",14,"P008",12,"P009",115,"P010",360)</f>
        <v>14</v>
      </c>
      <c r="T681" s="1" cm="1">
        <f t="array" ref="T681">(_xlfn.SWITCH(Table1[[#This Row],[Product ID]],"P001",140,"P002",80,"P003",72,"P004",30,"P005",110,"P006",24,"P007",14,"P008",12,"P009",115,"P010",360))*Table1[[#This Row],[Quantity]]</f>
        <v>238</v>
      </c>
      <c r="U681" s="1" cm="1">
        <f t="array" ref="U681">_xlfn.SWITCH(Table1[[#This Row],[Product ID]],"P001",15,"P002",0,"P003",8,"P004",8,"P005",0,"P006",7,"P007",7,"P008",6,"P009",45,"P010",60)</f>
        <v>7</v>
      </c>
      <c r="V681" s="1">
        <f>Table1[[#This Row],[Shipping per Unit]]*Table1[[#This Row],[Quantity]]</f>
        <v>119</v>
      </c>
      <c r="W681" s="2">
        <f>IF(Table1[[#This Row],[Total Shipping]]&gt;0.1,0.2,0)</f>
        <v>0.2</v>
      </c>
      <c r="X681" s="4">
        <f>Table1[[#This Row],[Total Shipping]]*Table1[[#This Row],[VAT on Shipping]]</f>
        <v>23.8</v>
      </c>
      <c r="Y681" s="1">
        <f>Table1[[#This Row],[Revenue]]-Table1[[#This Row],[COGS]]</f>
        <v>165.75</v>
      </c>
      <c r="Z681" s="3">
        <f>(Table1[[#This Row],[Profit]]/Table1[[#This Row],[Revenue]])</f>
        <v>0.41052631578947368</v>
      </c>
      <c r="AA681" s="1">
        <f>Table1[[#This Row],[Profit]]-Table1[[#This Row],[Total Shipping]]</f>
        <v>46.75</v>
      </c>
      <c r="AB681" s="3">
        <f>Table1[[#This Row],[Operating Profit]]/Table1[[#This Row],[Revenue]]</f>
        <v>0.11578947368421053</v>
      </c>
    </row>
    <row r="682" spans="1:28" x14ac:dyDescent="0.25">
      <c r="A682" t="s">
        <v>314</v>
      </c>
      <c r="B682">
        <v>708</v>
      </c>
      <c r="C682" t="s">
        <v>56</v>
      </c>
      <c r="D682" t="s">
        <v>30</v>
      </c>
      <c r="E682" t="s">
        <v>31</v>
      </c>
      <c r="F682" t="s">
        <v>102</v>
      </c>
      <c r="G682" t="str" cm="1">
        <f t="array" ref="G682">_xlfn.SWITCH(F682,"Acme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682" t="s">
        <v>104</v>
      </c>
      <c r="I682" t="s">
        <v>55</v>
      </c>
      <c r="J682" t="str" cm="1">
        <f t="array" ref="J682">_xlfn.SWITCH(I682,"P001","Laptop","P002","Server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82" s="1" cm="1">
        <f t="array" ref="K682">_xlfn.SWITCH(Table1[[#This Row],[Product ID]],"P001",220,"P002",150,"P003",130,"P004",70,"P005",200,"P006",40,"P007",25,"P008",20,"P009",190,"P010",530)</f>
        <v>70</v>
      </c>
      <c r="L682">
        <v>9</v>
      </c>
      <c r="M682" s="1">
        <f>Table1[[#This Row],[Unit Price]]*Table1[[#This Row],[Quantity]]</f>
        <v>630</v>
      </c>
      <c r="N682" s="2">
        <v>0.04</v>
      </c>
      <c r="O682" s="1">
        <f>Table1[[#This Row],[Gross Value]]*(1-Table1[[#This Row],[Discount]])</f>
        <v>604.79999999999995</v>
      </c>
      <c r="P682" s="2">
        <v>0.2</v>
      </c>
      <c r="Q682" s="1">
        <f>Table1[[#This Row],[Revenue]]*Table1[[#This Row],[VAT Rate]]</f>
        <v>120.96</v>
      </c>
      <c r="R682" s="1">
        <f>Table1[[#This Row],[Revenue]]+Table1[[#This Row],[VAT Charged]]</f>
        <v>725.76</v>
      </c>
      <c r="S682" s="1" cm="1">
        <f t="array" ref="S682">_xlfn.SWITCH(Table1[[#This Row],[Product ID]],"P001",140,"P002",80,"P003",72,"P004",30,"P005",110,"P006",24,"P007",14,"P008",12,"P009",115,"P010",360)</f>
        <v>30</v>
      </c>
      <c r="T682" s="1" cm="1">
        <f t="array" ref="T682">(_xlfn.SWITCH(Table1[[#This Row],[Product ID]],"P001",140,"P002",80,"P003",72,"P004",30,"P005",110,"P006",24,"P007",14,"P008",12,"P009",115,"P010",360))*Table1[[#This Row],[Quantity]]</f>
        <v>270</v>
      </c>
      <c r="U682" s="1" cm="1">
        <f t="array" ref="U682">_xlfn.SWITCH(Table1[[#This Row],[Product ID]],"P001",15,"P002",0,"P003",8,"P004",8,"P005",0,"P006",7,"P007",7,"P008",6,"P009",45,"P010",60)</f>
        <v>8</v>
      </c>
      <c r="V682" s="1">
        <f>Table1[[#This Row],[Shipping per Unit]]*Table1[[#This Row],[Quantity]]</f>
        <v>72</v>
      </c>
      <c r="W682" s="2">
        <f>IF(Table1[[#This Row],[Total Shipping]]&gt;0.1,0.2,0)</f>
        <v>0.2</v>
      </c>
      <c r="X682" s="4">
        <f>Table1[[#This Row],[Total Shipping]]*Table1[[#This Row],[VAT on Shipping]]</f>
        <v>14.4</v>
      </c>
      <c r="Y682" s="1">
        <f>Table1[[#This Row],[Revenue]]-Table1[[#This Row],[COGS]]</f>
        <v>334.79999999999995</v>
      </c>
      <c r="Z682" s="3">
        <f>(Table1[[#This Row],[Profit]]/Table1[[#This Row],[Revenue]])</f>
        <v>0.55357142857142849</v>
      </c>
      <c r="AA682" s="1">
        <f>Table1[[#This Row],[Profit]]-Table1[[#This Row],[Total Shipping]]</f>
        <v>262.79999999999995</v>
      </c>
      <c r="AB682" s="3">
        <f>Table1[[#This Row],[Operating Profit]]/Table1[[#This Row],[Revenue]]</f>
        <v>0.43452380952380948</v>
      </c>
    </row>
    <row r="683" spans="1:28" x14ac:dyDescent="0.25">
      <c r="A683" t="s">
        <v>314</v>
      </c>
      <c r="B683">
        <v>959</v>
      </c>
      <c r="C683" t="s">
        <v>62</v>
      </c>
      <c r="D683" t="s">
        <v>72</v>
      </c>
      <c r="E683" t="s">
        <v>40</v>
      </c>
      <c r="F683" t="s">
        <v>90</v>
      </c>
      <c r="G683" t="str" cm="1">
        <f t="array" ref="G683">_xlfn.SWITCH(F683,"Acme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683" t="s">
        <v>104</v>
      </c>
      <c r="I683" t="s">
        <v>42</v>
      </c>
      <c r="J683" t="str" cm="1">
        <f t="array" ref="J683">_xlfn.SWITCH(I683,"P001","Laptop","P002","Server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83" s="1" cm="1">
        <f t="array" ref="K683">_xlfn.SWITCH(Table1[[#This Row],[Product ID]],"P001",220,"P002",150,"P003",130,"P004",70,"P005",200,"P006",40,"P007",25,"P008",20,"P009",190,"P010",530)</f>
        <v>40</v>
      </c>
      <c r="L683">
        <v>15</v>
      </c>
      <c r="M683" s="1">
        <f>Table1[[#This Row],[Unit Price]]*Table1[[#This Row],[Quantity]]</f>
        <v>600</v>
      </c>
      <c r="N683" s="2">
        <v>0.06</v>
      </c>
      <c r="O683" s="1">
        <f>Table1[[#This Row],[Gross Value]]*(1-Table1[[#This Row],[Discount]])</f>
        <v>564</v>
      </c>
      <c r="P683" s="2">
        <v>0.2</v>
      </c>
      <c r="Q683" s="1">
        <f>Table1[[#This Row],[Revenue]]*Table1[[#This Row],[VAT Rate]]</f>
        <v>112.80000000000001</v>
      </c>
      <c r="R683" s="1">
        <f>Table1[[#This Row],[Revenue]]+Table1[[#This Row],[VAT Charged]]</f>
        <v>676.8</v>
      </c>
      <c r="S683" s="1" cm="1">
        <f t="array" ref="S683">_xlfn.SWITCH(Table1[[#This Row],[Product ID]],"P001",140,"P002",80,"P003",72,"P004",30,"P005",110,"P006",24,"P007",14,"P008",12,"P009",115,"P010",360)</f>
        <v>24</v>
      </c>
      <c r="T683" s="1" cm="1">
        <f t="array" ref="T683">(_xlfn.SWITCH(Table1[[#This Row],[Product ID]],"P001",140,"P002",80,"P003",72,"P004",30,"P005",110,"P006",24,"P007",14,"P008",12,"P009",115,"P010",360))*Table1[[#This Row],[Quantity]]</f>
        <v>360</v>
      </c>
      <c r="U683" s="1" cm="1">
        <f t="array" ref="U683">_xlfn.SWITCH(Table1[[#This Row],[Product ID]],"P001",15,"P002",0,"P003",8,"P004",8,"P005",0,"P006",7,"P007",7,"P008",6,"P009",45,"P010",60)</f>
        <v>7</v>
      </c>
      <c r="V683" s="1">
        <f>Table1[[#This Row],[Shipping per Unit]]*Table1[[#This Row],[Quantity]]</f>
        <v>105</v>
      </c>
      <c r="W683" s="2">
        <f>IF(Table1[[#This Row],[Total Shipping]]&gt;0.1,0.2,0)</f>
        <v>0.2</v>
      </c>
      <c r="X683" s="4">
        <f>Table1[[#This Row],[Total Shipping]]*Table1[[#This Row],[VAT on Shipping]]</f>
        <v>21</v>
      </c>
      <c r="Y683" s="1">
        <f>Table1[[#This Row],[Revenue]]-Table1[[#This Row],[COGS]]</f>
        <v>204</v>
      </c>
      <c r="Z683" s="3">
        <f>(Table1[[#This Row],[Profit]]/Table1[[#This Row],[Revenue]])</f>
        <v>0.36170212765957449</v>
      </c>
      <c r="AA683" s="1">
        <f>Table1[[#This Row],[Profit]]-Table1[[#This Row],[Total Shipping]]</f>
        <v>99</v>
      </c>
      <c r="AB683" s="3">
        <f>Table1[[#This Row],[Operating Profit]]/Table1[[#This Row],[Revenue]]</f>
        <v>0.17553191489361702</v>
      </c>
    </row>
    <row r="684" spans="1:28" x14ac:dyDescent="0.25">
      <c r="A684" t="s">
        <v>315</v>
      </c>
      <c r="B684">
        <v>619</v>
      </c>
      <c r="C684" t="s">
        <v>38</v>
      </c>
      <c r="D684" t="s">
        <v>53</v>
      </c>
      <c r="E684" t="s">
        <v>40</v>
      </c>
      <c r="F684" t="s">
        <v>41</v>
      </c>
      <c r="G684" t="str" cm="1">
        <f t="array" ref="G684">_xlfn.SWITCH(F684,"Acme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684" t="s">
        <v>33</v>
      </c>
      <c r="I684" t="s">
        <v>91</v>
      </c>
      <c r="J684" t="str" cm="1">
        <f t="array" ref="J684">_xlfn.SWITCH(I684,"P001","Laptop","P002","Server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84" s="1" cm="1">
        <f t="array" ref="K684">_xlfn.SWITCH(Table1[[#This Row],[Product ID]],"P001",220,"P002",150,"P003",130,"P004",70,"P005",200,"P006",40,"P007",25,"P008",20,"P009",190,"P010",530)</f>
        <v>190</v>
      </c>
      <c r="L684">
        <v>4</v>
      </c>
      <c r="M684" s="1">
        <f>Table1[[#This Row],[Unit Price]]*Table1[[#This Row],[Quantity]]</f>
        <v>760</v>
      </c>
      <c r="N684" s="2">
        <v>0.06</v>
      </c>
      <c r="O684" s="1">
        <f>Table1[[#This Row],[Gross Value]]*(1-Table1[[#This Row],[Discount]])</f>
        <v>714.4</v>
      </c>
      <c r="P684" s="2">
        <v>0.2</v>
      </c>
      <c r="Q684" s="1">
        <f>Table1[[#This Row],[Revenue]]*Table1[[#This Row],[VAT Rate]]</f>
        <v>142.88</v>
      </c>
      <c r="R684" s="1">
        <f>Table1[[#This Row],[Revenue]]+Table1[[#This Row],[VAT Charged]]</f>
        <v>857.28</v>
      </c>
      <c r="S684" s="1" cm="1">
        <f t="array" ref="S684">_xlfn.SWITCH(Table1[[#This Row],[Product ID]],"P001",140,"P002",80,"P003",72,"P004",30,"P005",110,"P006",24,"P007",14,"P008",12,"P009",115,"P010",360)</f>
        <v>115</v>
      </c>
      <c r="T684" s="1" cm="1">
        <f t="array" ref="T684">(_xlfn.SWITCH(Table1[[#This Row],[Product ID]],"P001",140,"P002",80,"P003",72,"P004",30,"P005",110,"P006",24,"P007",14,"P008",12,"P009",115,"P010",360))*Table1[[#This Row],[Quantity]]</f>
        <v>460</v>
      </c>
      <c r="U684" s="1" cm="1">
        <f t="array" ref="U684">_xlfn.SWITCH(Table1[[#This Row],[Product ID]],"P001",15,"P002",0,"P003",8,"P004",8,"P005",0,"P006",7,"P007",7,"P008",6,"P009",45,"P010",60)</f>
        <v>45</v>
      </c>
      <c r="V684" s="1">
        <f>Table1[[#This Row],[Shipping per Unit]]*Table1[[#This Row],[Quantity]]</f>
        <v>180</v>
      </c>
      <c r="W684" s="2">
        <f>IF(Table1[[#This Row],[Total Shipping]]&gt;0.1,0.2,0)</f>
        <v>0.2</v>
      </c>
      <c r="X684" s="4">
        <f>Table1[[#This Row],[Total Shipping]]*Table1[[#This Row],[VAT on Shipping]]</f>
        <v>36</v>
      </c>
      <c r="Y684" s="1">
        <f>Table1[[#This Row],[Revenue]]-Table1[[#This Row],[COGS]]</f>
        <v>254.39999999999998</v>
      </c>
      <c r="Z684" s="3">
        <f>(Table1[[#This Row],[Profit]]/Table1[[#This Row],[Revenue]])</f>
        <v>0.3561030235162374</v>
      </c>
      <c r="AA684" s="1">
        <f>Table1[[#This Row],[Profit]]-Table1[[#This Row],[Total Shipping]]</f>
        <v>74.399999999999977</v>
      </c>
      <c r="AB684" s="3">
        <f>Table1[[#This Row],[Operating Profit]]/Table1[[#This Row],[Revenue]]</f>
        <v>0.1041433370660694</v>
      </c>
    </row>
    <row r="685" spans="1:28" x14ac:dyDescent="0.25">
      <c r="A685" t="s">
        <v>316</v>
      </c>
      <c r="B685">
        <v>213</v>
      </c>
      <c r="C685" t="s">
        <v>62</v>
      </c>
      <c r="D685" t="s">
        <v>36</v>
      </c>
      <c r="E685" t="s">
        <v>40</v>
      </c>
      <c r="F685" t="s">
        <v>44</v>
      </c>
      <c r="G685" t="str" cm="1">
        <f t="array" ref="G685">_xlfn.SWITCH(F685,"Acme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685" t="s">
        <v>33</v>
      </c>
      <c r="I685" t="s">
        <v>91</v>
      </c>
      <c r="J685" t="str" cm="1">
        <f t="array" ref="J685">_xlfn.SWITCH(I685,"P001","Laptop","P002","Server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85" s="1" cm="1">
        <f t="array" ref="K685">_xlfn.SWITCH(Table1[[#This Row],[Product ID]],"P001",220,"P002",150,"P003",130,"P004",70,"P005",200,"P006",40,"P007",25,"P008",20,"P009",190,"P010",530)</f>
        <v>190</v>
      </c>
      <c r="L685">
        <v>20</v>
      </c>
      <c r="M685" s="1">
        <f>Table1[[#This Row],[Unit Price]]*Table1[[#This Row],[Quantity]]</f>
        <v>3800</v>
      </c>
      <c r="N685" s="2">
        <v>0.03</v>
      </c>
      <c r="O685" s="1">
        <f>Table1[[#This Row],[Gross Value]]*(1-Table1[[#This Row],[Discount]])</f>
        <v>3686</v>
      </c>
      <c r="P685" s="2">
        <v>0.2</v>
      </c>
      <c r="Q685" s="1">
        <f>Table1[[#This Row],[Revenue]]*Table1[[#This Row],[VAT Rate]]</f>
        <v>737.2</v>
      </c>
      <c r="R685" s="1">
        <f>Table1[[#This Row],[Revenue]]+Table1[[#This Row],[VAT Charged]]</f>
        <v>4423.2</v>
      </c>
      <c r="S685" s="1" cm="1">
        <f t="array" ref="S685">_xlfn.SWITCH(Table1[[#This Row],[Product ID]],"P001",140,"P002",80,"P003",72,"P004",30,"P005",110,"P006",24,"P007",14,"P008",12,"P009",115,"P010",360)</f>
        <v>115</v>
      </c>
      <c r="T685" s="1" cm="1">
        <f t="array" ref="T685">(_xlfn.SWITCH(Table1[[#This Row],[Product ID]],"P001",140,"P002",80,"P003",72,"P004",30,"P005",110,"P006",24,"P007",14,"P008",12,"P009",115,"P010",360))*Table1[[#This Row],[Quantity]]</f>
        <v>2300</v>
      </c>
      <c r="U685" s="1" cm="1">
        <f t="array" ref="U685">_xlfn.SWITCH(Table1[[#This Row],[Product ID]],"P001",15,"P002",0,"P003",8,"P004",8,"P005",0,"P006",7,"P007",7,"P008",6,"P009",45,"P010",60)</f>
        <v>45</v>
      </c>
      <c r="V685" s="1">
        <f>Table1[[#This Row],[Shipping per Unit]]*Table1[[#This Row],[Quantity]]</f>
        <v>900</v>
      </c>
      <c r="W685" s="2">
        <f>IF(Table1[[#This Row],[Total Shipping]]&gt;0.1,0.2,0)</f>
        <v>0.2</v>
      </c>
      <c r="X685" s="4">
        <f>Table1[[#This Row],[Total Shipping]]*Table1[[#This Row],[VAT on Shipping]]</f>
        <v>180</v>
      </c>
      <c r="Y685" s="1">
        <f>Table1[[#This Row],[Revenue]]-Table1[[#This Row],[COGS]]</f>
        <v>1386</v>
      </c>
      <c r="Z685" s="3">
        <f>(Table1[[#This Row],[Profit]]/Table1[[#This Row],[Revenue]])</f>
        <v>0.37601736299511668</v>
      </c>
      <c r="AA685" s="1">
        <f>Table1[[#This Row],[Profit]]-Table1[[#This Row],[Total Shipping]]</f>
        <v>486</v>
      </c>
      <c r="AB685" s="3">
        <f>Table1[[#This Row],[Operating Profit]]/Table1[[#This Row],[Revenue]]</f>
        <v>0.13185024416711882</v>
      </c>
    </row>
    <row r="686" spans="1:28" x14ac:dyDescent="0.25">
      <c r="A686" t="s">
        <v>316</v>
      </c>
      <c r="B686">
        <v>955</v>
      </c>
      <c r="C686" t="s">
        <v>62</v>
      </c>
      <c r="D686" t="s">
        <v>67</v>
      </c>
      <c r="E686" t="s">
        <v>31</v>
      </c>
      <c r="F686" t="s">
        <v>64</v>
      </c>
      <c r="G686" t="str" cm="1">
        <f t="array" ref="G686">_xlfn.SWITCH(F686,"Acme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686" t="s">
        <v>33</v>
      </c>
      <c r="I686" t="s">
        <v>42</v>
      </c>
      <c r="J686" t="str" cm="1">
        <f t="array" ref="J686">_xlfn.SWITCH(I686,"P001","Laptop","P002","Server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86" s="1" cm="1">
        <f t="array" ref="K686">_xlfn.SWITCH(Table1[[#This Row],[Product ID]],"P001",220,"P002",150,"P003",130,"P004",70,"P005",200,"P006",40,"P007",25,"P008",20,"P009",190,"P010",530)</f>
        <v>40</v>
      </c>
      <c r="L686">
        <v>12</v>
      </c>
      <c r="M686" s="1">
        <f>Table1[[#This Row],[Unit Price]]*Table1[[#This Row],[Quantity]]</f>
        <v>480</v>
      </c>
      <c r="N686" s="2">
        <v>0.1</v>
      </c>
      <c r="O686" s="1">
        <f>Table1[[#This Row],[Gross Value]]*(1-Table1[[#This Row],[Discount]])</f>
        <v>432</v>
      </c>
      <c r="P686" s="2">
        <v>0.2</v>
      </c>
      <c r="Q686" s="1">
        <f>Table1[[#This Row],[Revenue]]*Table1[[#This Row],[VAT Rate]]</f>
        <v>86.4</v>
      </c>
      <c r="R686" s="1">
        <f>Table1[[#This Row],[Revenue]]+Table1[[#This Row],[VAT Charged]]</f>
        <v>518.4</v>
      </c>
      <c r="S686" s="1" cm="1">
        <f t="array" ref="S686">_xlfn.SWITCH(Table1[[#This Row],[Product ID]],"P001",140,"P002",80,"P003",72,"P004",30,"P005",110,"P006",24,"P007",14,"P008",12,"P009",115,"P010",360)</f>
        <v>24</v>
      </c>
      <c r="T686" s="1" cm="1">
        <f t="array" ref="T686">(_xlfn.SWITCH(Table1[[#This Row],[Product ID]],"P001",140,"P002",80,"P003",72,"P004",30,"P005",110,"P006",24,"P007",14,"P008",12,"P009",115,"P010",360))*Table1[[#This Row],[Quantity]]</f>
        <v>288</v>
      </c>
      <c r="U686" s="1" cm="1">
        <f t="array" ref="U686">_xlfn.SWITCH(Table1[[#This Row],[Product ID]],"P001",15,"P002",0,"P003",8,"P004",8,"P005",0,"P006",7,"P007",7,"P008",6,"P009",45,"P010",60)</f>
        <v>7</v>
      </c>
      <c r="V686" s="1">
        <f>Table1[[#This Row],[Shipping per Unit]]*Table1[[#This Row],[Quantity]]</f>
        <v>84</v>
      </c>
      <c r="W686" s="2">
        <f>IF(Table1[[#This Row],[Total Shipping]]&gt;0.1,0.2,0)</f>
        <v>0.2</v>
      </c>
      <c r="X686" s="4">
        <f>Table1[[#This Row],[Total Shipping]]*Table1[[#This Row],[VAT on Shipping]]</f>
        <v>16.8</v>
      </c>
      <c r="Y686" s="1">
        <f>Table1[[#This Row],[Revenue]]-Table1[[#This Row],[COGS]]</f>
        <v>144</v>
      </c>
      <c r="Z686" s="3">
        <f>(Table1[[#This Row],[Profit]]/Table1[[#This Row],[Revenue]])</f>
        <v>0.33333333333333331</v>
      </c>
      <c r="AA686" s="1">
        <f>Table1[[#This Row],[Profit]]-Table1[[#This Row],[Total Shipping]]</f>
        <v>60</v>
      </c>
      <c r="AB686" s="3">
        <f>Table1[[#This Row],[Operating Profit]]/Table1[[#This Row],[Revenue]]</f>
        <v>0.1388888888888889</v>
      </c>
    </row>
    <row r="687" spans="1:28" x14ac:dyDescent="0.25">
      <c r="A687" t="s">
        <v>317</v>
      </c>
      <c r="B687">
        <v>579</v>
      </c>
      <c r="C687" t="s">
        <v>56</v>
      </c>
      <c r="D687" t="s">
        <v>36</v>
      </c>
      <c r="E687" t="s">
        <v>40</v>
      </c>
      <c r="F687" t="s">
        <v>97</v>
      </c>
      <c r="G687" t="str" cm="1">
        <f t="array" ref="G687">_xlfn.SWITCH(F687,"Acme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687" t="s">
        <v>45</v>
      </c>
      <c r="I687" t="s">
        <v>42</v>
      </c>
      <c r="J687" t="str" cm="1">
        <f t="array" ref="J687">_xlfn.SWITCH(I687,"P001","Laptop","P002","Server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87" s="1" cm="1">
        <f t="array" ref="K687">_xlfn.SWITCH(Table1[[#This Row],[Product ID]],"P001",220,"P002",150,"P003",130,"P004",70,"P005",200,"P006",40,"P007",25,"P008",20,"P009",190,"P010",530)</f>
        <v>40</v>
      </c>
      <c r="L687">
        <v>20</v>
      </c>
      <c r="M687" s="1">
        <f>Table1[[#This Row],[Unit Price]]*Table1[[#This Row],[Quantity]]</f>
        <v>800</v>
      </c>
      <c r="N687" s="2">
        <v>0.05</v>
      </c>
      <c r="O687" s="1">
        <f>Table1[[#This Row],[Gross Value]]*(1-Table1[[#This Row],[Discount]])</f>
        <v>760</v>
      </c>
      <c r="P687" s="2">
        <v>0.2</v>
      </c>
      <c r="Q687" s="1">
        <f>Table1[[#This Row],[Revenue]]*Table1[[#This Row],[VAT Rate]]</f>
        <v>152</v>
      </c>
      <c r="R687" s="1">
        <f>Table1[[#This Row],[Revenue]]+Table1[[#This Row],[VAT Charged]]</f>
        <v>912</v>
      </c>
      <c r="S687" s="1" cm="1">
        <f t="array" ref="S687">_xlfn.SWITCH(Table1[[#This Row],[Product ID]],"P001",140,"P002",80,"P003",72,"P004",30,"P005",110,"P006",24,"P007",14,"P008",12,"P009",115,"P010",360)</f>
        <v>24</v>
      </c>
      <c r="T687" s="1" cm="1">
        <f t="array" ref="T687">(_xlfn.SWITCH(Table1[[#This Row],[Product ID]],"P001",140,"P002",80,"P003",72,"P004",30,"P005",110,"P006",24,"P007",14,"P008",12,"P009",115,"P010",360))*Table1[[#This Row],[Quantity]]</f>
        <v>480</v>
      </c>
      <c r="U687" s="1" cm="1">
        <f t="array" ref="U687">_xlfn.SWITCH(Table1[[#This Row],[Product ID]],"P001",15,"P002",0,"P003",8,"P004",8,"P005",0,"P006",7,"P007",7,"P008",6,"P009",45,"P010",60)</f>
        <v>7</v>
      </c>
      <c r="V687" s="1">
        <f>Table1[[#This Row],[Shipping per Unit]]*Table1[[#This Row],[Quantity]]</f>
        <v>140</v>
      </c>
      <c r="W687" s="2">
        <f>IF(Table1[[#This Row],[Total Shipping]]&gt;0.1,0.2,0)</f>
        <v>0.2</v>
      </c>
      <c r="X687" s="4">
        <f>Table1[[#This Row],[Total Shipping]]*Table1[[#This Row],[VAT on Shipping]]</f>
        <v>28</v>
      </c>
      <c r="Y687" s="1">
        <f>Table1[[#This Row],[Revenue]]-Table1[[#This Row],[COGS]]</f>
        <v>280</v>
      </c>
      <c r="Z687" s="3">
        <f>(Table1[[#This Row],[Profit]]/Table1[[#This Row],[Revenue]])</f>
        <v>0.36842105263157893</v>
      </c>
      <c r="AA687" s="1">
        <f>Table1[[#This Row],[Profit]]-Table1[[#This Row],[Total Shipping]]</f>
        <v>140</v>
      </c>
      <c r="AB687" s="3">
        <f>Table1[[#This Row],[Operating Profit]]/Table1[[#This Row],[Revenue]]</f>
        <v>0.18421052631578946</v>
      </c>
    </row>
    <row r="688" spans="1:28" x14ac:dyDescent="0.25">
      <c r="A688" t="s">
        <v>317</v>
      </c>
      <c r="B688">
        <v>725</v>
      </c>
      <c r="C688" t="s">
        <v>83</v>
      </c>
      <c r="D688" t="s">
        <v>39</v>
      </c>
      <c r="E688" t="s">
        <v>49</v>
      </c>
      <c r="F688" t="s">
        <v>59</v>
      </c>
      <c r="G688" t="str" cm="1">
        <f t="array" ref="G688">_xlfn.SWITCH(F688,"Acme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688" t="s">
        <v>33</v>
      </c>
      <c r="I688" t="s">
        <v>68</v>
      </c>
      <c r="J688" t="str" cm="1">
        <f t="array" ref="J688">_xlfn.SWITCH(I688,"P001","Laptop","P002","Server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688" s="1" cm="1">
        <f t="array" ref="K688">_xlfn.SWITCH(Table1[[#This Row],[Product ID]],"P001",220,"P002",150,"P003",130,"P004",70,"P005",200,"P006",40,"P007",25,"P008",20,"P009",190,"P010",530)</f>
        <v>220</v>
      </c>
      <c r="L688">
        <v>11</v>
      </c>
      <c r="M688" s="1">
        <f>Table1[[#This Row],[Unit Price]]*Table1[[#This Row],[Quantity]]</f>
        <v>2420</v>
      </c>
      <c r="N688" s="2">
        <v>0.01</v>
      </c>
      <c r="O688" s="1">
        <f>Table1[[#This Row],[Gross Value]]*(1-Table1[[#This Row],[Discount]])</f>
        <v>2395.8000000000002</v>
      </c>
      <c r="P688" s="2">
        <v>0.2</v>
      </c>
      <c r="Q688" s="1">
        <f>Table1[[#This Row],[Revenue]]*Table1[[#This Row],[VAT Rate]]</f>
        <v>479.16000000000008</v>
      </c>
      <c r="R688" s="1">
        <f>Table1[[#This Row],[Revenue]]+Table1[[#This Row],[VAT Charged]]</f>
        <v>2874.96</v>
      </c>
      <c r="S688" s="1" cm="1">
        <f t="array" ref="S688">_xlfn.SWITCH(Table1[[#This Row],[Product ID]],"P001",140,"P002",80,"P003",72,"P004",30,"P005",110,"P006",24,"P007",14,"P008",12,"P009",115,"P010",360)</f>
        <v>140</v>
      </c>
      <c r="T688" s="1" cm="1">
        <f t="array" ref="T688">(_xlfn.SWITCH(Table1[[#This Row],[Product ID]],"P001",140,"P002",80,"P003",72,"P004",30,"P005",110,"P006",24,"P007",14,"P008",12,"P009",115,"P010",360))*Table1[[#This Row],[Quantity]]</f>
        <v>1540</v>
      </c>
      <c r="U688" s="1" cm="1">
        <f t="array" ref="U688">_xlfn.SWITCH(Table1[[#This Row],[Product ID]],"P001",15,"P002",0,"P003",8,"P004",8,"P005",0,"P006",7,"P007",7,"P008",6,"P009",45,"P010",60)</f>
        <v>15</v>
      </c>
      <c r="V688" s="1">
        <f>Table1[[#This Row],[Shipping per Unit]]*Table1[[#This Row],[Quantity]]</f>
        <v>165</v>
      </c>
      <c r="W688" s="2">
        <f>IF(Table1[[#This Row],[Total Shipping]]&gt;0.1,0.2,0)</f>
        <v>0.2</v>
      </c>
      <c r="X688" s="4">
        <f>Table1[[#This Row],[Total Shipping]]*Table1[[#This Row],[VAT on Shipping]]</f>
        <v>33</v>
      </c>
      <c r="Y688" s="1">
        <f>Table1[[#This Row],[Revenue]]-Table1[[#This Row],[COGS]]</f>
        <v>855.80000000000018</v>
      </c>
      <c r="Z688" s="3">
        <f>(Table1[[#This Row],[Profit]]/Table1[[#This Row],[Revenue]])</f>
        <v>0.3572084481175391</v>
      </c>
      <c r="AA688" s="1">
        <f>Table1[[#This Row],[Profit]]-Table1[[#This Row],[Total Shipping]]</f>
        <v>690.80000000000018</v>
      </c>
      <c r="AB688" s="3">
        <f>Table1[[#This Row],[Operating Profit]]/Table1[[#This Row],[Revenue]]</f>
        <v>0.28833792470156111</v>
      </c>
    </row>
    <row r="689" spans="1:28" x14ac:dyDescent="0.25">
      <c r="A689" t="s">
        <v>318</v>
      </c>
      <c r="B689">
        <v>405</v>
      </c>
      <c r="C689" t="s">
        <v>29</v>
      </c>
      <c r="D689" t="s">
        <v>36</v>
      </c>
      <c r="E689" t="s">
        <v>40</v>
      </c>
      <c r="F689" t="s">
        <v>126</v>
      </c>
      <c r="G689" t="str" cm="1">
        <f t="array" ref="G689">_xlfn.SWITCH(F689,"Acme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689" t="s">
        <v>33</v>
      </c>
      <c r="I689" t="s">
        <v>70</v>
      </c>
      <c r="J689" t="str" cm="1">
        <f t="array" ref="J689">_xlfn.SWITCH(I689,"P001","Laptop","P002","Server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689" s="1" cm="1">
        <f t="array" ref="K689">_xlfn.SWITCH(Table1[[#This Row],[Product ID]],"P001",220,"P002",150,"P003",130,"P004",70,"P005",200,"P006",40,"P007",25,"P008",20,"P009",190,"P010",530)</f>
        <v>150</v>
      </c>
      <c r="L689">
        <v>2</v>
      </c>
      <c r="M689" s="1">
        <f>Table1[[#This Row],[Unit Price]]*Table1[[#This Row],[Quantity]]</f>
        <v>300</v>
      </c>
      <c r="N689" s="2">
        <v>0.03</v>
      </c>
      <c r="O689" s="1">
        <f>Table1[[#This Row],[Gross Value]]*(1-Table1[[#This Row],[Discount]])</f>
        <v>291</v>
      </c>
      <c r="P689" s="2">
        <v>0.2</v>
      </c>
      <c r="Q689" s="1">
        <f>Table1[[#This Row],[Revenue]]*Table1[[#This Row],[VAT Rate]]</f>
        <v>58.2</v>
      </c>
      <c r="R689" s="1">
        <f>Table1[[#This Row],[Revenue]]+Table1[[#This Row],[VAT Charged]]</f>
        <v>349.2</v>
      </c>
      <c r="S689" s="1" cm="1">
        <f t="array" ref="S689">_xlfn.SWITCH(Table1[[#This Row],[Product ID]],"P001",140,"P002",80,"P003",72,"P004",30,"P005",110,"P006",24,"P007",14,"P008",12,"P009",115,"P010",360)</f>
        <v>80</v>
      </c>
      <c r="T689" s="1" cm="1">
        <f t="array" ref="T689">(_xlfn.SWITCH(Table1[[#This Row],[Product ID]],"P001",140,"P002",80,"P003",72,"P004",30,"P005",110,"P006",24,"P007",14,"P008",12,"P009",115,"P010",360))*Table1[[#This Row],[Quantity]]</f>
        <v>160</v>
      </c>
      <c r="U689" s="1" cm="1">
        <f t="array" ref="U689">_xlfn.SWITCH(Table1[[#This Row],[Product ID]],"P001",15,"P002",0,"P003",8,"P004",8,"P005",0,"P006",7,"P007",7,"P008",6,"P009",45,"P010",60)</f>
        <v>0</v>
      </c>
      <c r="V689" s="1">
        <f>Table1[[#This Row],[Shipping per Unit]]*Table1[[#This Row],[Quantity]]</f>
        <v>0</v>
      </c>
      <c r="W689" s="2">
        <f>IF(Table1[[#This Row],[Total Shipping]]&gt;0.1,0.2,0)</f>
        <v>0</v>
      </c>
      <c r="X689" s="4">
        <f>Table1[[#This Row],[Total Shipping]]*Table1[[#This Row],[VAT on Shipping]]</f>
        <v>0</v>
      </c>
      <c r="Y689" s="1">
        <f>Table1[[#This Row],[Revenue]]-Table1[[#This Row],[COGS]]</f>
        <v>131</v>
      </c>
      <c r="Z689" s="3">
        <f>(Table1[[#This Row],[Profit]]/Table1[[#This Row],[Revenue]])</f>
        <v>0.45017182130584193</v>
      </c>
      <c r="AA689" s="1">
        <f>Table1[[#This Row],[Profit]]-Table1[[#This Row],[Total Shipping]]</f>
        <v>131</v>
      </c>
      <c r="AB689" s="3">
        <f>Table1[[#This Row],[Operating Profit]]/Table1[[#This Row],[Revenue]]</f>
        <v>0.45017182130584193</v>
      </c>
    </row>
    <row r="690" spans="1:28" x14ac:dyDescent="0.25">
      <c r="A690" t="s">
        <v>318</v>
      </c>
      <c r="B690">
        <v>537</v>
      </c>
      <c r="C690" t="s">
        <v>29</v>
      </c>
      <c r="D690" t="s">
        <v>36</v>
      </c>
      <c r="E690" t="s">
        <v>49</v>
      </c>
      <c r="F690" t="s">
        <v>79</v>
      </c>
      <c r="G690" t="str" cm="1">
        <f t="array" ref="G690">_xlfn.SWITCH(F690,"Acme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90" t="s">
        <v>51</v>
      </c>
      <c r="I690" t="s">
        <v>46</v>
      </c>
      <c r="J690" t="str" cm="1">
        <f t="array" ref="J690">_xlfn.SWITCH(I690,"P001","Laptop","P002","Server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690" s="1" cm="1">
        <f t="array" ref="K690">_xlfn.SWITCH(Table1[[#This Row],[Product ID]],"P001",220,"P002",150,"P003",130,"P004",70,"P005",200,"P006",40,"P007",25,"P008",20,"P009",190,"P010",530)</f>
        <v>530</v>
      </c>
      <c r="L690">
        <v>7</v>
      </c>
      <c r="M690" s="1">
        <f>Table1[[#This Row],[Unit Price]]*Table1[[#This Row],[Quantity]]</f>
        <v>3710</v>
      </c>
      <c r="N690" s="2">
        <v>0.03</v>
      </c>
      <c r="O690" s="1">
        <f>Table1[[#This Row],[Gross Value]]*(1-Table1[[#This Row],[Discount]])</f>
        <v>3598.7</v>
      </c>
      <c r="P690" s="2">
        <v>0.2</v>
      </c>
      <c r="Q690" s="1">
        <f>Table1[[#This Row],[Revenue]]*Table1[[#This Row],[VAT Rate]]</f>
        <v>719.74</v>
      </c>
      <c r="R690" s="1">
        <f>Table1[[#This Row],[Revenue]]+Table1[[#This Row],[VAT Charged]]</f>
        <v>4318.4399999999996</v>
      </c>
      <c r="S690" s="1" cm="1">
        <f t="array" ref="S690">_xlfn.SWITCH(Table1[[#This Row],[Product ID]],"P001",140,"P002",80,"P003",72,"P004",30,"P005",110,"P006",24,"P007",14,"P008",12,"P009",115,"P010",360)</f>
        <v>360</v>
      </c>
      <c r="T690" s="1" cm="1">
        <f t="array" ref="T690">(_xlfn.SWITCH(Table1[[#This Row],[Product ID]],"P001",140,"P002",80,"P003",72,"P004",30,"P005",110,"P006",24,"P007",14,"P008",12,"P009",115,"P010",360))*Table1[[#This Row],[Quantity]]</f>
        <v>2520</v>
      </c>
      <c r="U690" s="1" cm="1">
        <f t="array" ref="U690">_xlfn.SWITCH(Table1[[#This Row],[Product ID]],"P001",15,"P002",0,"P003",8,"P004",8,"P005",0,"P006",7,"P007",7,"P008",6,"P009",45,"P010",60)</f>
        <v>60</v>
      </c>
      <c r="V690" s="1">
        <f>Table1[[#This Row],[Shipping per Unit]]*Table1[[#This Row],[Quantity]]</f>
        <v>420</v>
      </c>
      <c r="W690" s="2">
        <f>IF(Table1[[#This Row],[Total Shipping]]&gt;0.1,0.2,0)</f>
        <v>0.2</v>
      </c>
      <c r="X690" s="4">
        <f>Table1[[#This Row],[Total Shipping]]*Table1[[#This Row],[VAT on Shipping]]</f>
        <v>84</v>
      </c>
      <c r="Y690" s="1">
        <f>Table1[[#This Row],[Revenue]]-Table1[[#This Row],[COGS]]</f>
        <v>1078.6999999999998</v>
      </c>
      <c r="Z690" s="3">
        <f>(Table1[[#This Row],[Profit]]/Table1[[#This Row],[Revenue]])</f>
        <v>0.29974713090838356</v>
      </c>
      <c r="AA690" s="1">
        <f>Table1[[#This Row],[Profit]]-Table1[[#This Row],[Total Shipping]]</f>
        <v>658.69999999999982</v>
      </c>
      <c r="AB690" s="3">
        <f>Table1[[#This Row],[Operating Profit]]/Table1[[#This Row],[Revenue]]</f>
        <v>0.18303831939311413</v>
      </c>
    </row>
    <row r="691" spans="1:28" x14ac:dyDescent="0.25">
      <c r="A691" t="s">
        <v>319</v>
      </c>
      <c r="B691">
        <v>505</v>
      </c>
      <c r="C691" t="s">
        <v>29</v>
      </c>
      <c r="D691" t="s">
        <v>57</v>
      </c>
      <c r="E691" t="s">
        <v>49</v>
      </c>
      <c r="F691" t="s">
        <v>90</v>
      </c>
      <c r="G691" t="str" cm="1">
        <f t="array" ref="G691">_xlfn.SWITCH(F691,"Acme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691" t="s">
        <v>45</v>
      </c>
      <c r="I691" t="s">
        <v>68</v>
      </c>
      <c r="J691" t="str" cm="1">
        <f t="array" ref="J691">_xlfn.SWITCH(I691,"P001","Laptop","P002","Server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691" s="1" cm="1">
        <f t="array" ref="K691">_xlfn.SWITCH(Table1[[#This Row],[Product ID]],"P001",220,"P002",150,"P003",130,"P004",70,"P005",200,"P006",40,"P007",25,"P008",20,"P009",190,"P010",530)</f>
        <v>220</v>
      </c>
      <c r="L691">
        <v>18</v>
      </c>
      <c r="M691" s="1">
        <f>Table1[[#This Row],[Unit Price]]*Table1[[#This Row],[Quantity]]</f>
        <v>3960</v>
      </c>
      <c r="N691" s="2">
        <v>0.03</v>
      </c>
      <c r="O691" s="1">
        <f>Table1[[#This Row],[Gross Value]]*(1-Table1[[#This Row],[Discount]])</f>
        <v>3841.2</v>
      </c>
      <c r="P691" s="2">
        <v>0.2</v>
      </c>
      <c r="Q691" s="1">
        <f>Table1[[#This Row],[Revenue]]*Table1[[#This Row],[VAT Rate]]</f>
        <v>768.24</v>
      </c>
      <c r="R691" s="1">
        <f>Table1[[#This Row],[Revenue]]+Table1[[#This Row],[VAT Charged]]</f>
        <v>4609.4399999999996</v>
      </c>
      <c r="S691" s="1" cm="1">
        <f t="array" ref="S691">_xlfn.SWITCH(Table1[[#This Row],[Product ID]],"P001",140,"P002",80,"P003",72,"P004",30,"P005",110,"P006",24,"P007",14,"P008",12,"P009",115,"P010",360)</f>
        <v>140</v>
      </c>
      <c r="T691" s="1" cm="1">
        <f t="array" ref="T691">(_xlfn.SWITCH(Table1[[#This Row],[Product ID]],"P001",140,"P002",80,"P003",72,"P004",30,"P005",110,"P006",24,"P007",14,"P008",12,"P009",115,"P010",360))*Table1[[#This Row],[Quantity]]</f>
        <v>2520</v>
      </c>
      <c r="U691" s="1" cm="1">
        <f t="array" ref="U691">_xlfn.SWITCH(Table1[[#This Row],[Product ID]],"P001",15,"P002",0,"P003",8,"P004",8,"P005",0,"P006",7,"P007",7,"P008",6,"P009",45,"P010",60)</f>
        <v>15</v>
      </c>
      <c r="V691" s="1">
        <f>Table1[[#This Row],[Shipping per Unit]]*Table1[[#This Row],[Quantity]]</f>
        <v>270</v>
      </c>
      <c r="W691" s="2">
        <f>IF(Table1[[#This Row],[Total Shipping]]&gt;0.1,0.2,0)</f>
        <v>0.2</v>
      </c>
      <c r="X691" s="4">
        <f>Table1[[#This Row],[Total Shipping]]*Table1[[#This Row],[VAT on Shipping]]</f>
        <v>54</v>
      </c>
      <c r="Y691" s="1">
        <f>Table1[[#This Row],[Revenue]]-Table1[[#This Row],[COGS]]</f>
        <v>1321.1999999999998</v>
      </c>
      <c r="Z691" s="3">
        <f>(Table1[[#This Row],[Profit]]/Table1[[#This Row],[Revenue]])</f>
        <v>0.3439550140581068</v>
      </c>
      <c r="AA691" s="1">
        <f>Table1[[#This Row],[Profit]]-Table1[[#This Row],[Total Shipping]]</f>
        <v>1051.1999999999998</v>
      </c>
      <c r="AB691" s="3">
        <f>Table1[[#This Row],[Operating Profit]]/Table1[[#This Row],[Revenue]]</f>
        <v>0.27366447985004683</v>
      </c>
    </row>
    <row r="692" spans="1:28" x14ac:dyDescent="0.25">
      <c r="A692" t="s">
        <v>319</v>
      </c>
      <c r="B692">
        <v>633</v>
      </c>
      <c r="C692" t="s">
        <v>62</v>
      </c>
      <c r="D692" t="s">
        <v>67</v>
      </c>
      <c r="E692" t="s">
        <v>40</v>
      </c>
      <c r="F692" t="s">
        <v>103</v>
      </c>
      <c r="G692" t="str" cm="1">
        <f t="array" ref="G692">_xlfn.SWITCH(F692,"Acme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692" t="s">
        <v>58</v>
      </c>
      <c r="I692" t="s">
        <v>91</v>
      </c>
      <c r="J692" t="str" cm="1">
        <f t="array" ref="J692">_xlfn.SWITCH(I692,"P001","Laptop","P002","Server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692" s="1" cm="1">
        <f t="array" ref="K692">_xlfn.SWITCH(Table1[[#This Row],[Product ID]],"P001",220,"P002",150,"P003",130,"P004",70,"P005",200,"P006",40,"P007",25,"P008",20,"P009",190,"P010",530)</f>
        <v>190</v>
      </c>
      <c r="L692">
        <v>5</v>
      </c>
      <c r="M692" s="1">
        <f>Table1[[#This Row],[Unit Price]]*Table1[[#This Row],[Quantity]]</f>
        <v>950</v>
      </c>
      <c r="N692" s="2">
        <v>0.03</v>
      </c>
      <c r="O692" s="1">
        <f>Table1[[#This Row],[Gross Value]]*(1-Table1[[#This Row],[Discount]])</f>
        <v>921.5</v>
      </c>
      <c r="P692" s="2">
        <v>0.2</v>
      </c>
      <c r="Q692" s="1">
        <f>Table1[[#This Row],[Revenue]]*Table1[[#This Row],[VAT Rate]]</f>
        <v>184.3</v>
      </c>
      <c r="R692" s="1">
        <f>Table1[[#This Row],[Revenue]]+Table1[[#This Row],[VAT Charged]]</f>
        <v>1105.8</v>
      </c>
      <c r="S692" s="1" cm="1">
        <f t="array" ref="S692">_xlfn.SWITCH(Table1[[#This Row],[Product ID]],"P001",140,"P002",80,"P003",72,"P004",30,"P005",110,"P006",24,"P007",14,"P008",12,"P009",115,"P010",360)</f>
        <v>115</v>
      </c>
      <c r="T692" s="1" cm="1">
        <f t="array" ref="T692">(_xlfn.SWITCH(Table1[[#This Row],[Product ID]],"P001",140,"P002",80,"P003",72,"P004",30,"P005",110,"P006",24,"P007",14,"P008",12,"P009",115,"P010",360))*Table1[[#This Row],[Quantity]]</f>
        <v>575</v>
      </c>
      <c r="U692" s="1" cm="1">
        <f t="array" ref="U692">_xlfn.SWITCH(Table1[[#This Row],[Product ID]],"P001",15,"P002",0,"P003",8,"P004",8,"P005",0,"P006",7,"P007",7,"P008",6,"P009",45,"P010",60)</f>
        <v>45</v>
      </c>
      <c r="V692" s="1">
        <f>Table1[[#This Row],[Shipping per Unit]]*Table1[[#This Row],[Quantity]]</f>
        <v>225</v>
      </c>
      <c r="W692" s="2">
        <f>IF(Table1[[#This Row],[Total Shipping]]&gt;0.1,0.2,0)</f>
        <v>0.2</v>
      </c>
      <c r="X692" s="4">
        <f>Table1[[#This Row],[Total Shipping]]*Table1[[#This Row],[VAT on Shipping]]</f>
        <v>45</v>
      </c>
      <c r="Y692" s="1">
        <f>Table1[[#This Row],[Revenue]]-Table1[[#This Row],[COGS]]</f>
        <v>346.5</v>
      </c>
      <c r="Z692" s="3">
        <f>(Table1[[#This Row],[Profit]]/Table1[[#This Row],[Revenue]])</f>
        <v>0.37601736299511668</v>
      </c>
      <c r="AA692" s="1">
        <f>Table1[[#This Row],[Profit]]-Table1[[#This Row],[Total Shipping]]</f>
        <v>121.5</v>
      </c>
      <c r="AB692" s="3">
        <f>Table1[[#This Row],[Operating Profit]]/Table1[[#This Row],[Revenue]]</f>
        <v>0.13185024416711882</v>
      </c>
    </row>
    <row r="693" spans="1:28" x14ac:dyDescent="0.25">
      <c r="A693" t="s">
        <v>320</v>
      </c>
      <c r="B693">
        <v>416</v>
      </c>
      <c r="C693" t="s">
        <v>71</v>
      </c>
      <c r="D693" t="s">
        <v>72</v>
      </c>
      <c r="E693" t="s">
        <v>31</v>
      </c>
      <c r="F693" t="s">
        <v>76</v>
      </c>
      <c r="G693" t="str" cm="1">
        <f t="array" ref="G693">_xlfn.SWITCH(F693,"Acme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693" t="s">
        <v>45</v>
      </c>
      <c r="I693" t="s">
        <v>42</v>
      </c>
      <c r="J693" t="str" cm="1">
        <f t="array" ref="J693">_xlfn.SWITCH(I693,"P001","Laptop","P002","Server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93" s="1" cm="1">
        <f t="array" ref="K693">_xlfn.SWITCH(Table1[[#This Row],[Product ID]],"P001",220,"P002",150,"P003",130,"P004",70,"P005",200,"P006",40,"P007",25,"P008",20,"P009",190,"P010",530)</f>
        <v>40</v>
      </c>
      <c r="L693">
        <v>13</v>
      </c>
      <c r="M693" s="1">
        <f>Table1[[#This Row],[Unit Price]]*Table1[[#This Row],[Quantity]]</f>
        <v>520</v>
      </c>
      <c r="N693" s="2">
        <v>0.03</v>
      </c>
      <c r="O693" s="1">
        <f>Table1[[#This Row],[Gross Value]]*(1-Table1[[#This Row],[Discount]])</f>
        <v>504.4</v>
      </c>
      <c r="P693" s="2">
        <v>0.2</v>
      </c>
      <c r="Q693" s="1">
        <f>Table1[[#This Row],[Revenue]]*Table1[[#This Row],[VAT Rate]]</f>
        <v>100.88</v>
      </c>
      <c r="R693" s="1">
        <f>Table1[[#This Row],[Revenue]]+Table1[[#This Row],[VAT Charged]]</f>
        <v>605.28</v>
      </c>
      <c r="S693" s="1" cm="1">
        <f t="array" ref="S693">_xlfn.SWITCH(Table1[[#This Row],[Product ID]],"P001",140,"P002",80,"P003",72,"P004",30,"P005",110,"P006",24,"P007",14,"P008",12,"P009",115,"P010",360)</f>
        <v>24</v>
      </c>
      <c r="T693" s="1" cm="1">
        <f t="array" ref="T693">(_xlfn.SWITCH(Table1[[#This Row],[Product ID]],"P001",140,"P002",80,"P003",72,"P004",30,"P005",110,"P006",24,"P007",14,"P008",12,"P009",115,"P010",360))*Table1[[#This Row],[Quantity]]</f>
        <v>312</v>
      </c>
      <c r="U693" s="1" cm="1">
        <f t="array" ref="U693">_xlfn.SWITCH(Table1[[#This Row],[Product ID]],"P001",15,"P002",0,"P003",8,"P004",8,"P005",0,"P006",7,"P007",7,"P008",6,"P009",45,"P010",60)</f>
        <v>7</v>
      </c>
      <c r="V693" s="1">
        <f>Table1[[#This Row],[Shipping per Unit]]*Table1[[#This Row],[Quantity]]</f>
        <v>91</v>
      </c>
      <c r="W693" s="2">
        <f>IF(Table1[[#This Row],[Total Shipping]]&gt;0.1,0.2,0)</f>
        <v>0.2</v>
      </c>
      <c r="X693" s="4">
        <f>Table1[[#This Row],[Total Shipping]]*Table1[[#This Row],[VAT on Shipping]]</f>
        <v>18.2</v>
      </c>
      <c r="Y693" s="1">
        <f>Table1[[#This Row],[Revenue]]-Table1[[#This Row],[COGS]]</f>
        <v>192.39999999999998</v>
      </c>
      <c r="Z693" s="3">
        <f>(Table1[[#This Row],[Profit]]/Table1[[#This Row],[Revenue]])</f>
        <v>0.38144329896907214</v>
      </c>
      <c r="AA693" s="1">
        <f>Table1[[#This Row],[Profit]]-Table1[[#This Row],[Total Shipping]]</f>
        <v>101.39999999999998</v>
      </c>
      <c r="AB693" s="3">
        <f>Table1[[#This Row],[Operating Profit]]/Table1[[#This Row],[Revenue]]</f>
        <v>0.2010309278350515</v>
      </c>
    </row>
    <row r="694" spans="1:28" x14ac:dyDescent="0.25">
      <c r="A694" t="s">
        <v>320</v>
      </c>
      <c r="B694">
        <v>736</v>
      </c>
      <c r="C694" t="s">
        <v>83</v>
      </c>
      <c r="D694" t="s">
        <v>95</v>
      </c>
      <c r="E694" t="s">
        <v>31</v>
      </c>
      <c r="F694" t="s">
        <v>90</v>
      </c>
      <c r="G694" t="str" cm="1">
        <f t="array" ref="G694">_xlfn.SWITCH(F694,"Acme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694" t="s">
        <v>33</v>
      </c>
      <c r="I694" t="s">
        <v>52</v>
      </c>
      <c r="J694" t="str" cm="1">
        <f t="array" ref="J694">_xlfn.SWITCH(I694,"P001","Laptop","P002","Server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694" s="1" cm="1">
        <f t="array" ref="K694">_xlfn.SWITCH(Table1[[#This Row],[Product ID]],"P001",220,"P002",150,"P003",130,"P004",70,"P005",200,"P006",40,"P007",25,"P008",20,"P009",190,"P010",530)</f>
        <v>130</v>
      </c>
      <c r="L694">
        <v>9</v>
      </c>
      <c r="M694" s="1">
        <f>Table1[[#This Row],[Unit Price]]*Table1[[#This Row],[Quantity]]</f>
        <v>1170</v>
      </c>
      <c r="N694" s="2">
        <v>0.09</v>
      </c>
      <c r="O694" s="1">
        <f>Table1[[#This Row],[Gross Value]]*(1-Table1[[#This Row],[Discount]])</f>
        <v>1064.7</v>
      </c>
      <c r="P694" s="2">
        <v>0.2</v>
      </c>
      <c r="Q694" s="1">
        <f>Table1[[#This Row],[Revenue]]*Table1[[#This Row],[VAT Rate]]</f>
        <v>212.94000000000003</v>
      </c>
      <c r="R694" s="1">
        <f>Table1[[#This Row],[Revenue]]+Table1[[#This Row],[VAT Charged]]</f>
        <v>1277.6400000000001</v>
      </c>
      <c r="S694" s="1" cm="1">
        <f t="array" ref="S694">_xlfn.SWITCH(Table1[[#This Row],[Product ID]],"P001",140,"P002",80,"P003",72,"P004",30,"P005",110,"P006",24,"P007",14,"P008",12,"P009",115,"P010",360)</f>
        <v>72</v>
      </c>
      <c r="T694" s="1" cm="1">
        <f t="array" ref="T694">(_xlfn.SWITCH(Table1[[#This Row],[Product ID]],"P001",140,"P002",80,"P003",72,"P004",30,"P005",110,"P006",24,"P007",14,"P008",12,"P009",115,"P010",360))*Table1[[#This Row],[Quantity]]</f>
        <v>648</v>
      </c>
      <c r="U694" s="1" cm="1">
        <f t="array" ref="U694">_xlfn.SWITCH(Table1[[#This Row],[Product ID]],"P001",15,"P002",0,"P003",8,"P004",8,"P005",0,"P006",7,"P007",7,"P008",6,"P009",45,"P010",60)</f>
        <v>8</v>
      </c>
      <c r="V694" s="1">
        <f>Table1[[#This Row],[Shipping per Unit]]*Table1[[#This Row],[Quantity]]</f>
        <v>72</v>
      </c>
      <c r="W694" s="2">
        <f>IF(Table1[[#This Row],[Total Shipping]]&gt;0.1,0.2,0)</f>
        <v>0.2</v>
      </c>
      <c r="X694" s="4">
        <f>Table1[[#This Row],[Total Shipping]]*Table1[[#This Row],[VAT on Shipping]]</f>
        <v>14.4</v>
      </c>
      <c r="Y694" s="1">
        <f>Table1[[#This Row],[Revenue]]-Table1[[#This Row],[COGS]]</f>
        <v>416.70000000000005</v>
      </c>
      <c r="Z694" s="3">
        <f>(Table1[[#This Row],[Profit]]/Table1[[#This Row],[Revenue]])</f>
        <v>0.39137785291631449</v>
      </c>
      <c r="AA694" s="1">
        <f>Table1[[#This Row],[Profit]]-Table1[[#This Row],[Total Shipping]]</f>
        <v>344.70000000000005</v>
      </c>
      <c r="AB694" s="3">
        <f>Table1[[#This Row],[Operating Profit]]/Table1[[#This Row],[Revenue]]</f>
        <v>0.32375316990701608</v>
      </c>
    </row>
    <row r="695" spans="1:28" x14ac:dyDescent="0.25">
      <c r="A695" t="s">
        <v>321</v>
      </c>
      <c r="B695">
        <v>147</v>
      </c>
      <c r="C695" t="s">
        <v>56</v>
      </c>
      <c r="D695" t="s">
        <v>30</v>
      </c>
      <c r="E695" t="s">
        <v>31</v>
      </c>
      <c r="F695" t="s">
        <v>74</v>
      </c>
      <c r="G695" t="str" cm="1">
        <f t="array" ref="G695">_xlfn.SWITCH(F695,"Acme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695" t="s">
        <v>33</v>
      </c>
      <c r="I695" t="s">
        <v>55</v>
      </c>
      <c r="J695" t="str" cm="1">
        <f t="array" ref="J695">_xlfn.SWITCH(I695,"P001","Laptop","P002","Server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695" s="1" cm="1">
        <f t="array" ref="K695">_xlfn.SWITCH(Table1[[#This Row],[Product ID]],"P001",220,"P002",150,"P003",130,"P004",70,"P005",200,"P006",40,"P007",25,"P008",20,"P009",190,"P010",530)</f>
        <v>70</v>
      </c>
      <c r="L695">
        <v>7</v>
      </c>
      <c r="M695" s="1">
        <f>Table1[[#This Row],[Unit Price]]*Table1[[#This Row],[Quantity]]</f>
        <v>490</v>
      </c>
      <c r="N695" s="2">
        <v>0.09</v>
      </c>
      <c r="O695" s="1">
        <f>Table1[[#This Row],[Gross Value]]*(1-Table1[[#This Row],[Discount]])</f>
        <v>445.90000000000003</v>
      </c>
      <c r="P695" s="2">
        <v>0.2</v>
      </c>
      <c r="Q695" s="1">
        <f>Table1[[#This Row],[Revenue]]*Table1[[#This Row],[VAT Rate]]</f>
        <v>89.18</v>
      </c>
      <c r="R695" s="1">
        <f>Table1[[#This Row],[Revenue]]+Table1[[#This Row],[VAT Charged]]</f>
        <v>535.08000000000004</v>
      </c>
      <c r="S695" s="1" cm="1">
        <f t="array" ref="S695">_xlfn.SWITCH(Table1[[#This Row],[Product ID]],"P001",140,"P002",80,"P003",72,"P004",30,"P005",110,"P006",24,"P007",14,"P008",12,"P009",115,"P010",360)</f>
        <v>30</v>
      </c>
      <c r="T695" s="1" cm="1">
        <f t="array" ref="T695">(_xlfn.SWITCH(Table1[[#This Row],[Product ID]],"P001",140,"P002",80,"P003",72,"P004",30,"P005",110,"P006",24,"P007",14,"P008",12,"P009",115,"P010",360))*Table1[[#This Row],[Quantity]]</f>
        <v>210</v>
      </c>
      <c r="U695" s="1" cm="1">
        <f t="array" ref="U695">_xlfn.SWITCH(Table1[[#This Row],[Product ID]],"P001",15,"P002",0,"P003",8,"P004",8,"P005",0,"P006",7,"P007",7,"P008",6,"P009",45,"P010",60)</f>
        <v>8</v>
      </c>
      <c r="V695" s="1">
        <f>Table1[[#This Row],[Shipping per Unit]]*Table1[[#This Row],[Quantity]]</f>
        <v>56</v>
      </c>
      <c r="W695" s="2">
        <f>IF(Table1[[#This Row],[Total Shipping]]&gt;0.1,0.2,0)</f>
        <v>0.2</v>
      </c>
      <c r="X695" s="4">
        <f>Table1[[#This Row],[Total Shipping]]*Table1[[#This Row],[VAT on Shipping]]</f>
        <v>11.200000000000001</v>
      </c>
      <c r="Y695" s="1">
        <f>Table1[[#This Row],[Revenue]]-Table1[[#This Row],[COGS]]</f>
        <v>235.90000000000003</v>
      </c>
      <c r="Z695" s="3">
        <f>(Table1[[#This Row],[Profit]]/Table1[[#This Row],[Revenue]])</f>
        <v>0.52904238618524335</v>
      </c>
      <c r="AA695" s="1">
        <f>Table1[[#This Row],[Profit]]-Table1[[#This Row],[Total Shipping]]</f>
        <v>179.90000000000003</v>
      </c>
      <c r="AB695" s="3">
        <f>Table1[[#This Row],[Operating Profit]]/Table1[[#This Row],[Revenue]]</f>
        <v>0.40345368916797492</v>
      </c>
    </row>
    <row r="696" spans="1:28" x14ac:dyDescent="0.25">
      <c r="A696" t="s">
        <v>321</v>
      </c>
      <c r="B696">
        <v>203</v>
      </c>
      <c r="C696" t="s">
        <v>71</v>
      </c>
      <c r="D696" t="s">
        <v>95</v>
      </c>
      <c r="E696" t="s">
        <v>49</v>
      </c>
      <c r="F696" t="s">
        <v>79</v>
      </c>
      <c r="G696" t="str" cm="1">
        <f t="array" ref="G696">_xlfn.SWITCH(F696,"Acme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696" t="s">
        <v>104</v>
      </c>
      <c r="I696" t="s">
        <v>42</v>
      </c>
      <c r="J696" t="str" cm="1">
        <f t="array" ref="J696">_xlfn.SWITCH(I696,"P001","Laptop","P002","Server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696" s="1" cm="1">
        <f t="array" ref="K696">_xlfn.SWITCH(Table1[[#This Row],[Product ID]],"P001",220,"P002",150,"P003",130,"P004",70,"P005",200,"P006",40,"P007",25,"P008",20,"P009",190,"P010",530)</f>
        <v>40</v>
      </c>
      <c r="L696">
        <v>20</v>
      </c>
      <c r="M696" s="1">
        <f>Table1[[#This Row],[Unit Price]]*Table1[[#This Row],[Quantity]]</f>
        <v>800</v>
      </c>
      <c r="N696" s="2">
        <v>7.0000000000000007E-2</v>
      </c>
      <c r="O696" s="1">
        <f>Table1[[#This Row],[Gross Value]]*(1-Table1[[#This Row],[Discount]])</f>
        <v>744</v>
      </c>
      <c r="P696" s="2">
        <v>0.2</v>
      </c>
      <c r="Q696" s="1">
        <f>Table1[[#This Row],[Revenue]]*Table1[[#This Row],[VAT Rate]]</f>
        <v>148.80000000000001</v>
      </c>
      <c r="R696" s="1">
        <f>Table1[[#This Row],[Revenue]]+Table1[[#This Row],[VAT Charged]]</f>
        <v>892.8</v>
      </c>
      <c r="S696" s="1" cm="1">
        <f t="array" ref="S696">_xlfn.SWITCH(Table1[[#This Row],[Product ID]],"P001",140,"P002",80,"P003",72,"P004",30,"P005",110,"P006",24,"P007",14,"P008",12,"P009",115,"P010",360)</f>
        <v>24</v>
      </c>
      <c r="T696" s="1" cm="1">
        <f t="array" ref="T696">(_xlfn.SWITCH(Table1[[#This Row],[Product ID]],"P001",140,"P002",80,"P003",72,"P004",30,"P005",110,"P006",24,"P007",14,"P008",12,"P009",115,"P010",360))*Table1[[#This Row],[Quantity]]</f>
        <v>480</v>
      </c>
      <c r="U696" s="1" cm="1">
        <f t="array" ref="U696">_xlfn.SWITCH(Table1[[#This Row],[Product ID]],"P001",15,"P002",0,"P003",8,"P004",8,"P005",0,"P006",7,"P007",7,"P008",6,"P009",45,"P010",60)</f>
        <v>7</v>
      </c>
      <c r="V696" s="1">
        <f>Table1[[#This Row],[Shipping per Unit]]*Table1[[#This Row],[Quantity]]</f>
        <v>140</v>
      </c>
      <c r="W696" s="2">
        <f>IF(Table1[[#This Row],[Total Shipping]]&gt;0.1,0.2,0)</f>
        <v>0.2</v>
      </c>
      <c r="X696" s="4">
        <f>Table1[[#This Row],[Total Shipping]]*Table1[[#This Row],[VAT on Shipping]]</f>
        <v>28</v>
      </c>
      <c r="Y696" s="1">
        <f>Table1[[#This Row],[Revenue]]-Table1[[#This Row],[COGS]]</f>
        <v>264</v>
      </c>
      <c r="Z696" s="3">
        <f>(Table1[[#This Row],[Profit]]/Table1[[#This Row],[Revenue]])</f>
        <v>0.35483870967741937</v>
      </c>
      <c r="AA696" s="1">
        <f>Table1[[#This Row],[Profit]]-Table1[[#This Row],[Total Shipping]]</f>
        <v>124</v>
      </c>
      <c r="AB696" s="3">
        <f>Table1[[#This Row],[Operating Profit]]/Table1[[#This Row],[Revenue]]</f>
        <v>0.16666666666666666</v>
      </c>
    </row>
    <row r="697" spans="1:28" x14ac:dyDescent="0.25">
      <c r="A697" t="s">
        <v>321</v>
      </c>
      <c r="B697">
        <v>849</v>
      </c>
      <c r="C697" t="s">
        <v>62</v>
      </c>
      <c r="D697" t="s">
        <v>36</v>
      </c>
      <c r="E697" t="s">
        <v>31</v>
      </c>
      <c r="F697" t="s">
        <v>87</v>
      </c>
      <c r="G697" t="str" cm="1">
        <f t="array" ref="G697">_xlfn.SWITCH(F697,"Acme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697" t="s">
        <v>69</v>
      </c>
      <c r="I697" t="s">
        <v>75</v>
      </c>
      <c r="J697" t="str" cm="1">
        <f t="array" ref="J697">_xlfn.SWITCH(I697,"P001","Laptop","P002","Server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697" s="1" cm="1">
        <f t="array" ref="K697">_xlfn.SWITCH(Table1[[#This Row],[Product ID]],"P001",220,"P002",150,"P003",130,"P004",70,"P005",200,"P006",40,"P007",25,"P008",20,"P009",190,"P010",530)</f>
        <v>200</v>
      </c>
      <c r="L697">
        <v>15</v>
      </c>
      <c r="M697" s="1">
        <f>Table1[[#This Row],[Unit Price]]*Table1[[#This Row],[Quantity]]</f>
        <v>3000</v>
      </c>
      <c r="N697" s="2">
        <v>0.01</v>
      </c>
      <c r="O697" s="1">
        <f>Table1[[#This Row],[Gross Value]]*(1-Table1[[#This Row],[Discount]])</f>
        <v>2970</v>
      </c>
      <c r="P697" s="2">
        <v>0.2</v>
      </c>
      <c r="Q697" s="1">
        <f>Table1[[#This Row],[Revenue]]*Table1[[#This Row],[VAT Rate]]</f>
        <v>594</v>
      </c>
      <c r="R697" s="1">
        <f>Table1[[#This Row],[Revenue]]+Table1[[#This Row],[VAT Charged]]</f>
        <v>3564</v>
      </c>
      <c r="S697" s="1" cm="1">
        <f t="array" ref="S697">_xlfn.SWITCH(Table1[[#This Row],[Product ID]],"P001",140,"P002",80,"P003",72,"P004",30,"P005",110,"P006",24,"P007",14,"P008",12,"P009",115,"P010",360)</f>
        <v>110</v>
      </c>
      <c r="T697" s="1" cm="1">
        <f t="array" ref="T697">(_xlfn.SWITCH(Table1[[#This Row],[Product ID]],"P001",140,"P002",80,"P003",72,"P004",30,"P005",110,"P006",24,"P007",14,"P008",12,"P009",115,"P010",360))*Table1[[#This Row],[Quantity]]</f>
        <v>1650</v>
      </c>
      <c r="U697" s="1" cm="1">
        <f t="array" ref="U697">_xlfn.SWITCH(Table1[[#This Row],[Product ID]],"P001",15,"P002",0,"P003",8,"P004",8,"P005",0,"P006",7,"P007",7,"P008",6,"P009",45,"P010",60)</f>
        <v>0</v>
      </c>
      <c r="V697" s="1">
        <f>Table1[[#This Row],[Shipping per Unit]]*Table1[[#This Row],[Quantity]]</f>
        <v>0</v>
      </c>
      <c r="W697" s="2">
        <f>IF(Table1[[#This Row],[Total Shipping]]&gt;0.1,0.2,0)</f>
        <v>0</v>
      </c>
      <c r="X697" s="4">
        <f>Table1[[#This Row],[Total Shipping]]*Table1[[#This Row],[VAT on Shipping]]</f>
        <v>0</v>
      </c>
      <c r="Y697" s="1">
        <f>Table1[[#This Row],[Revenue]]-Table1[[#This Row],[COGS]]</f>
        <v>1320</v>
      </c>
      <c r="Z697" s="3">
        <f>(Table1[[#This Row],[Profit]]/Table1[[#This Row],[Revenue]])</f>
        <v>0.44444444444444442</v>
      </c>
      <c r="AA697" s="1">
        <f>Table1[[#This Row],[Profit]]-Table1[[#This Row],[Total Shipping]]</f>
        <v>1320</v>
      </c>
      <c r="AB697" s="3">
        <f>Table1[[#This Row],[Operating Profit]]/Table1[[#This Row],[Revenue]]</f>
        <v>0.44444444444444442</v>
      </c>
    </row>
    <row r="698" spans="1:28" x14ac:dyDescent="0.25">
      <c r="A698" t="s">
        <v>322</v>
      </c>
      <c r="B698">
        <v>392</v>
      </c>
      <c r="C698" t="s">
        <v>71</v>
      </c>
      <c r="D698" t="s">
        <v>30</v>
      </c>
      <c r="E698" t="s">
        <v>49</v>
      </c>
      <c r="F698" t="s">
        <v>37</v>
      </c>
      <c r="G698" t="str" cm="1">
        <f t="array" ref="G698">_xlfn.SWITCH(F698,"Acme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698" t="s">
        <v>69</v>
      </c>
      <c r="I698" t="s">
        <v>68</v>
      </c>
      <c r="J698" t="str" cm="1">
        <f t="array" ref="J698">_xlfn.SWITCH(I698,"P001","Laptop","P002","Server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698" s="1" cm="1">
        <f t="array" ref="K698">_xlfn.SWITCH(Table1[[#This Row],[Product ID]],"P001",220,"P002",150,"P003",130,"P004",70,"P005",200,"P006",40,"P007",25,"P008",20,"P009",190,"P010",530)</f>
        <v>220</v>
      </c>
      <c r="L698">
        <v>19</v>
      </c>
      <c r="M698" s="1">
        <f>Table1[[#This Row],[Unit Price]]*Table1[[#This Row],[Quantity]]</f>
        <v>4180</v>
      </c>
      <c r="N698" s="2">
        <v>0.05</v>
      </c>
      <c r="O698" s="1">
        <f>Table1[[#This Row],[Gross Value]]*(1-Table1[[#This Row],[Discount]])</f>
        <v>3971</v>
      </c>
      <c r="P698" s="2">
        <v>0.2</v>
      </c>
      <c r="Q698" s="1">
        <f>Table1[[#This Row],[Revenue]]*Table1[[#This Row],[VAT Rate]]</f>
        <v>794.2</v>
      </c>
      <c r="R698" s="1">
        <f>Table1[[#This Row],[Revenue]]+Table1[[#This Row],[VAT Charged]]</f>
        <v>4765.2</v>
      </c>
      <c r="S698" s="1" cm="1">
        <f t="array" ref="S698">_xlfn.SWITCH(Table1[[#This Row],[Product ID]],"P001",140,"P002",80,"P003",72,"P004",30,"P005",110,"P006",24,"P007",14,"P008",12,"P009",115,"P010",360)</f>
        <v>140</v>
      </c>
      <c r="T698" s="1" cm="1">
        <f t="array" ref="T698">(_xlfn.SWITCH(Table1[[#This Row],[Product ID]],"P001",140,"P002",80,"P003",72,"P004",30,"P005",110,"P006",24,"P007",14,"P008",12,"P009",115,"P010",360))*Table1[[#This Row],[Quantity]]</f>
        <v>2660</v>
      </c>
      <c r="U698" s="1" cm="1">
        <f t="array" ref="U698">_xlfn.SWITCH(Table1[[#This Row],[Product ID]],"P001",15,"P002",0,"P003",8,"P004",8,"P005",0,"P006",7,"P007",7,"P008",6,"P009",45,"P010",60)</f>
        <v>15</v>
      </c>
      <c r="V698" s="1">
        <f>Table1[[#This Row],[Shipping per Unit]]*Table1[[#This Row],[Quantity]]</f>
        <v>285</v>
      </c>
      <c r="W698" s="2">
        <f>IF(Table1[[#This Row],[Total Shipping]]&gt;0.1,0.2,0)</f>
        <v>0.2</v>
      </c>
      <c r="X698" s="4">
        <f>Table1[[#This Row],[Total Shipping]]*Table1[[#This Row],[VAT on Shipping]]</f>
        <v>57</v>
      </c>
      <c r="Y698" s="1">
        <f>Table1[[#This Row],[Revenue]]-Table1[[#This Row],[COGS]]</f>
        <v>1311</v>
      </c>
      <c r="Z698" s="3">
        <f>(Table1[[#This Row],[Profit]]/Table1[[#This Row],[Revenue]])</f>
        <v>0.33014354066985646</v>
      </c>
      <c r="AA698" s="1">
        <f>Table1[[#This Row],[Profit]]-Table1[[#This Row],[Total Shipping]]</f>
        <v>1026</v>
      </c>
      <c r="AB698" s="3">
        <f>Table1[[#This Row],[Operating Profit]]/Table1[[#This Row],[Revenue]]</f>
        <v>0.25837320574162681</v>
      </c>
    </row>
    <row r="699" spans="1:28" x14ac:dyDescent="0.25">
      <c r="A699" t="s">
        <v>322</v>
      </c>
      <c r="B699">
        <v>880</v>
      </c>
      <c r="C699" t="s">
        <v>38</v>
      </c>
      <c r="D699" t="s">
        <v>39</v>
      </c>
      <c r="E699" t="s">
        <v>31</v>
      </c>
      <c r="F699" t="s">
        <v>32</v>
      </c>
      <c r="G699" t="str" cm="1">
        <f t="array" ref="G699">_xlfn.SWITCH(F699,"Acme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699" t="s">
        <v>33</v>
      </c>
      <c r="I699" t="s">
        <v>34</v>
      </c>
      <c r="J699" t="str" cm="1">
        <f t="array" ref="J699">_xlfn.SWITCH(I699,"P001","Laptop","P002","Server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699" s="1" cm="1">
        <f t="array" ref="K699">_xlfn.SWITCH(Table1[[#This Row],[Product ID]],"P001",220,"P002",150,"P003",130,"P004",70,"P005",200,"P006",40,"P007",25,"P008",20,"P009",190,"P010",530)</f>
        <v>20</v>
      </c>
      <c r="L699">
        <v>9</v>
      </c>
      <c r="M699" s="1">
        <f>Table1[[#This Row],[Unit Price]]*Table1[[#This Row],[Quantity]]</f>
        <v>180</v>
      </c>
      <c r="N699" s="2">
        <v>0.01</v>
      </c>
      <c r="O699" s="1">
        <f>Table1[[#This Row],[Gross Value]]*(1-Table1[[#This Row],[Discount]])</f>
        <v>178.2</v>
      </c>
      <c r="P699" s="2">
        <v>0.2</v>
      </c>
      <c r="Q699" s="1">
        <f>Table1[[#This Row],[Revenue]]*Table1[[#This Row],[VAT Rate]]</f>
        <v>35.64</v>
      </c>
      <c r="R699" s="1">
        <f>Table1[[#This Row],[Revenue]]+Table1[[#This Row],[VAT Charged]]</f>
        <v>213.83999999999997</v>
      </c>
      <c r="S699" s="1" cm="1">
        <f t="array" ref="S699">_xlfn.SWITCH(Table1[[#This Row],[Product ID]],"P001",140,"P002",80,"P003",72,"P004",30,"P005",110,"P006",24,"P007",14,"P008",12,"P009",115,"P010",360)</f>
        <v>12</v>
      </c>
      <c r="T699" s="1" cm="1">
        <f t="array" ref="T699">(_xlfn.SWITCH(Table1[[#This Row],[Product ID]],"P001",140,"P002",80,"P003",72,"P004",30,"P005",110,"P006",24,"P007",14,"P008",12,"P009",115,"P010",360))*Table1[[#This Row],[Quantity]]</f>
        <v>108</v>
      </c>
      <c r="U699" s="1" cm="1">
        <f t="array" ref="U699">_xlfn.SWITCH(Table1[[#This Row],[Product ID]],"P001",15,"P002",0,"P003",8,"P004",8,"P005",0,"P006",7,"P007",7,"P008",6,"P009",45,"P010",60)</f>
        <v>6</v>
      </c>
      <c r="V699" s="1">
        <f>Table1[[#This Row],[Shipping per Unit]]*Table1[[#This Row],[Quantity]]</f>
        <v>54</v>
      </c>
      <c r="W699" s="2">
        <f>IF(Table1[[#This Row],[Total Shipping]]&gt;0.1,0.2,0)</f>
        <v>0.2</v>
      </c>
      <c r="X699" s="4">
        <f>Table1[[#This Row],[Total Shipping]]*Table1[[#This Row],[VAT on Shipping]]</f>
        <v>10.8</v>
      </c>
      <c r="Y699" s="1">
        <f>Table1[[#This Row],[Revenue]]-Table1[[#This Row],[COGS]]</f>
        <v>70.199999999999989</v>
      </c>
      <c r="Z699" s="3">
        <f>(Table1[[#This Row],[Profit]]/Table1[[#This Row],[Revenue]])</f>
        <v>0.39393939393939392</v>
      </c>
      <c r="AA699" s="1">
        <f>Table1[[#This Row],[Profit]]-Table1[[#This Row],[Total Shipping]]</f>
        <v>16.199999999999989</v>
      </c>
      <c r="AB699" s="3">
        <f>Table1[[#This Row],[Operating Profit]]/Table1[[#This Row],[Revenue]]</f>
        <v>9.0909090909090856E-2</v>
      </c>
    </row>
    <row r="700" spans="1:28" x14ac:dyDescent="0.25">
      <c r="A700" t="s">
        <v>322</v>
      </c>
      <c r="B700">
        <v>961</v>
      </c>
      <c r="C700" t="s">
        <v>29</v>
      </c>
      <c r="D700" t="s">
        <v>48</v>
      </c>
      <c r="E700" t="s">
        <v>49</v>
      </c>
      <c r="F700" t="s">
        <v>66</v>
      </c>
      <c r="G700" t="str" cm="1">
        <f t="array" ref="G700">_xlfn.SWITCH(F700,"Acme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700" t="s">
        <v>45</v>
      </c>
      <c r="I700" t="s">
        <v>91</v>
      </c>
      <c r="J700" t="str" cm="1">
        <f t="array" ref="J700">_xlfn.SWITCH(I700,"P001","Laptop","P002","Server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700" s="1" cm="1">
        <f t="array" ref="K700">_xlfn.SWITCH(Table1[[#This Row],[Product ID]],"P001",220,"P002",150,"P003",130,"P004",70,"P005",200,"P006",40,"P007",25,"P008",20,"P009",190,"P010",530)</f>
        <v>190</v>
      </c>
      <c r="L700">
        <v>4</v>
      </c>
      <c r="M700" s="1">
        <f>Table1[[#This Row],[Unit Price]]*Table1[[#This Row],[Quantity]]</f>
        <v>760</v>
      </c>
      <c r="N700" s="2">
        <v>7.0000000000000007E-2</v>
      </c>
      <c r="O700" s="1">
        <f>Table1[[#This Row],[Gross Value]]*(1-Table1[[#This Row],[Discount]])</f>
        <v>706.8</v>
      </c>
      <c r="P700" s="2">
        <v>0.2</v>
      </c>
      <c r="Q700" s="1">
        <f>Table1[[#This Row],[Revenue]]*Table1[[#This Row],[VAT Rate]]</f>
        <v>141.35999999999999</v>
      </c>
      <c r="R700" s="1">
        <f>Table1[[#This Row],[Revenue]]+Table1[[#This Row],[VAT Charged]]</f>
        <v>848.16</v>
      </c>
      <c r="S700" s="1" cm="1">
        <f t="array" ref="S700">_xlfn.SWITCH(Table1[[#This Row],[Product ID]],"P001",140,"P002",80,"P003",72,"P004",30,"P005",110,"P006",24,"P007",14,"P008",12,"P009",115,"P010",360)</f>
        <v>115</v>
      </c>
      <c r="T700" s="1" cm="1">
        <f t="array" ref="T700">(_xlfn.SWITCH(Table1[[#This Row],[Product ID]],"P001",140,"P002",80,"P003",72,"P004",30,"P005",110,"P006",24,"P007",14,"P008",12,"P009",115,"P010",360))*Table1[[#This Row],[Quantity]]</f>
        <v>460</v>
      </c>
      <c r="U700" s="1" cm="1">
        <f t="array" ref="U700">_xlfn.SWITCH(Table1[[#This Row],[Product ID]],"P001",15,"P002",0,"P003",8,"P004",8,"P005",0,"P006",7,"P007",7,"P008",6,"P009",45,"P010",60)</f>
        <v>45</v>
      </c>
      <c r="V700" s="1">
        <f>Table1[[#This Row],[Shipping per Unit]]*Table1[[#This Row],[Quantity]]</f>
        <v>180</v>
      </c>
      <c r="W700" s="2">
        <f>IF(Table1[[#This Row],[Total Shipping]]&gt;0.1,0.2,0)</f>
        <v>0.2</v>
      </c>
      <c r="X700" s="4">
        <f>Table1[[#This Row],[Total Shipping]]*Table1[[#This Row],[VAT on Shipping]]</f>
        <v>36</v>
      </c>
      <c r="Y700" s="1">
        <f>Table1[[#This Row],[Revenue]]-Table1[[#This Row],[COGS]]</f>
        <v>246.79999999999995</v>
      </c>
      <c r="Z700" s="3">
        <f>(Table1[[#This Row],[Profit]]/Table1[[#This Row],[Revenue]])</f>
        <v>0.34917940011318616</v>
      </c>
      <c r="AA700" s="1">
        <f>Table1[[#This Row],[Profit]]-Table1[[#This Row],[Total Shipping]]</f>
        <v>66.799999999999955</v>
      </c>
      <c r="AB700" s="3">
        <f>Table1[[#This Row],[Operating Profit]]/Table1[[#This Row],[Revenue]]</f>
        <v>9.451046972269378E-2</v>
      </c>
    </row>
    <row r="701" spans="1:28" x14ac:dyDescent="0.25">
      <c r="A701" t="s">
        <v>323</v>
      </c>
      <c r="B701">
        <v>101</v>
      </c>
      <c r="C701" t="s">
        <v>62</v>
      </c>
      <c r="D701" t="s">
        <v>63</v>
      </c>
      <c r="E701" t="s">
        <v>49</v>
      </c>
      <c r="F701" t="s">
        <v>126</v>
      </c>
      <c r="G701" t="str" cm="1">
        <f t="array" ref="G701">_xlfn.SWITCH(F701,"Acme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701" t="s">
        <v>104</v>
      </c>
      <c r="I701" t="s">
        <v>55</v>
      </c>
      <c r="J701" t="str" cm="1">
        <f t="array" ref="J701">_xlfn.SWITCH(I701,"P001","Laptop","P002","Server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01" s="1" cm="1">
        <f t="array" ref="K701">_xlfn.SWITCH(Table1[[#This Row],[Product ID]],"P001",220,"P002",150,"P003",130,"P004",70,"P005",200,"P006",40,"P007",25,"P008",20,"P009",190,"P010",530)</f>
        <v>70</v>
      </c>
      <c r="L701">
        <v>8</v>
      </c>
      <c r="M701" s="1">
        <f>Table1[[#This Row],[Unit Price]]*Table1[[#This Row],[Quantity]]</f>
        <v>560</v>
      </c>
      <c r="N701" s="2">
        <v>0.05</v>
      </c>
      <c r="O701" s="1">
        <f>Table1[[#This Row],[Gross Value]]*(1-Table1[[#This Row],[Discount]])</f>
        <v>532</v>
      </c>
      <c r="P701" s="2">
        <v>0.2</v>
      </c>
      <c r="Q701" s="1">
        <f>Table1[[#This Row],[Revenue]]*Table1[[#This Row],[VAT Rate]]</f>
        <v>106.4</v>
      </c>
      <c r="R701" s="1">
        <f>Table1[[#This Row],[Revenue]]+Table1[[#This Row],[VAT Charged]]</f>
        <v>638.4</v>
      </c>
      <c r="S701" s="1" cm="1">
        <f t="array" ref="S701">_xlfn.SWITCH(Table1[[#This Row],[Product ID]],"P001",140,"P002",80,"P003",72,"P004",30,"P005",110,"P006",24,"P007",14,"P008",12,"P009",115,"P010",360)</f>
        <v>30</v>
      </c>
      <c r="T701" s="1" cm="1">
        <f t="array" ref="T701">(_xlfn.SWITCH(Table1[[#This Row],[Product ID]],"P001",140,"P002",80,"P003",72,"P004",30,"P005",110,"P006",24,"P007",14,"P008",12,"P009",115,"P010",360))*Table1[[#This Row],[Quantity]]</f>
        <v>240</v>
      </c>
      <c r="U701" s="1" cm="1">
        <f t="array" ref="U701">_xlfn.SWITCH(Table1[[#This Row],[Product ID]],"P001",15,"P002",0,"P003",8,"P004",8,"P005",0,"P006",7,"P007",7,"P008",6,"P009",45,"P010",60)</f>
        <v>8</v>
      </c>
      <c r="V701" s="1">
        <f>Table1[[#This Row],[Shipping per Unit]]*Table1[[#This Row],[Quantity]]</f>
        <v>64</v>
      </c>
      <c r="W701" s="2">
        <f>IF(Table1[[#This Row],[Total Shipping]]&gt;0.1,0.2,0)</f>
        <v>0.2</v>
      </c>
      <c r="X701" s="4">
        <f>Table1[[#This Row],[Total Shipping]]*Table1[[#This Row],[VAT on Shipping]]</f>
        <v>12.8</v>
      </c>
      <c r="Y701" s="1">
        <f>Table1[[#This Row],[Revenue]]-Table1[[#This Row],[COGS]]</f>
        <v>292</v>
      </c>
      <c r="Z701" s="3">
        <f>(Table1[[#This Row],[Profit]]/Table1[[#This Row],[Revenue]])</f>
        <v>0.54887218045112784</v>
      </c>
      <c r="AA701" s="1">
        <f>Table1[[#This Row],[Profit]]-Table1[[#This Row],[Total Shipping]]</f>
        <v>228</v>
      </c>
      <c r="AB701" s="3">
        <f>Table1[[#This Row],[Operating Profit]]/Table1[[#This Row],[Revenue]]</f>
        <v>0.42857142857142855</v>
      </c>
    </row>
    <row r="702" spans="1:28" x14ac:dyDescent="0.25">
      <c r="A702" t="s">
        <v>323</v>
      </c>
      <c r="B702">
        <v>484</v>
      </c>
      <c r="C702" t="s">
        <v>83</v>
      </c>
      <c r="D702" t="s">
        <v>63</v>
      </c>
      <c r="E702" t="s">
        <v>40</v>
      </c>
      <c r="F702" t="s">
        <v>59</v>
      </c>
      <c r="G702" t="str" cm="1">
        <f t="array" ref="G702">_xlfn.SWITCH(F702,"Acme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02" t="s">
        <v>58</v>
      </c>
      <c r="I702" t="s">
        <v>52</v>
      </c>
      <c r="J702" t="str" cm="1">
        <f t="array" ref="J702">_xlfn.SWITCH(I702,"P001","Laptop","P002","Server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702" s="1" cm="1">
        <f t="array" ref="K702">_xlfn.SWITCH(Table1[[#This Row],[Product ID]],"P001",220,"P002",150,"P003",130,"P004",70,"P005",200,"P006",40,"P007",25,"P008",20,"P009",190,"P010",530)</f>
        <v>130</v>
      </c>
      <c r="L702">
        <v>1</v>
      </c>
      <c r="M702" s="1">
        <f>Table1[[#This Row],[Unit Price]]*Table1[[#This Row],[Quantity]]</f>
        <v>130</v>
      </c>
      <c r="N702" s="2">
        <v>0.06</v>
      </c>
      <c r="O702" s="1">
        <f>Table1[[#This Row],[Gross Value]]*(1-Table1[[#This Row],[Discount]])</f>
        <v>122.19999999999999</v>
      </c>
      <c r="P702" s="2">
        <v>0.2</v>
      </c>
      <c r="Q702" s="1">
        <f>Table1[[#This Row],[Revenue]]*Table1[[#This Row],[VAT Rate]]</f>
        <v>24.439999999999998</v>
      </c>
      <c r="R702" s="1">
        <f>Table1[[#This Row],[Revenue]]+Table1[[#This Row],[VAT Charged]]</f>
        <v>146.63999999999999</v>
      </c>
      <c r="S702" s="1" cm="1">
        <f t="array" ref="S702">_xlfn.SWITCH(Table1[[#This Row],[Product ID]],"P001",140,"P002",80,"P003",72,"P004",30,"P005",110,"P006",24,"P007",14,"P008",12,"P009",115,"P010",360)</f>
        <v>72</v>
      </c>
      <c r="T702" s="1" cm="1">
        <f t="array" ref="T702">(_xlfn.SWITCH(Table1[[#This Row],[Product ID]],"P001",140,"P002",80,"P003",72,"P004",30,"P005",110,"P006",24,"P007",14,"P008",12,"P009",115,"P010",360))*Table1[[#This Row],[Quantity]]</f>
        <v>72</v>
      </c>
      <c r="U702" s="1" cm="1">
        <f t="array" ref="U702">_xlfn.SWITCH(Table1[[#This Row],[Product ID]],"P001",15,"P002",0,"P003",8,"P004",8,"P005",0,"P006",7,"P007",7,"P008",6,"P009",45,"P010",60)</f>
        <v>8</v>
      </c>
      <c r="V702" s="1">
        <f>Table1[[#This Row],[Shipping per Unit]]*Table1[[#This Row],[Quantity]]</f>
        <v>8</v>
      </c>
      <c r="W702" s="2">
        <f>IF(Table1[[#This Row],[Total Shipping]]&gt;0.1,0.2,0)</f>
        <v>0.2</v>
      </c>
      <c r="X702" s="4">
        <f>Table1[[#This Row],[Total Shipping]]*Table1[[#This Row],[VAT on Shipping]]</f>
        <v>1.6</v>
      </c>
      <c r="Y702" s="1">
        <f>Table1[[#This Row],[Revenue]]-Table1[[#This Row],[COGS]]</f>
        <v>50.199999999999989</v>
      </c>
      <c r="Z702" s="3">
        <f>(Table1[[#This Row],[Profit]]/Table1[[#This Row],[Revenue]])</f>
        <v>0.41080196399345331</v>
      </c>
      <c r="AA702" s="1">
        <f>Table1[[#This Row],[Profit]]-Table1[[#This Row],[Total Shipping]]</f>
        <v>42.199999999999989</v>
      </c>
      <c r="AB702" s="3">
        <f>Table1[[#This Row],[Operating Profit]]/Table1[[#This Row],[Revenue]]</f>
        <v>0.34533551554828146</v>
      </c>
    </row>
    <row r="703" spans="1:28" x14ac:dyDescent="0.25">
      <c r="A703" t="s">
        <v>323</v>
      </c>
      <c r="B703">
        <v>574</v>
      </c>
      <c r="C703" t="s">
        <v>29</v>
      </c>
      <c r="D703" t="s">
        <v>30</v>
      </c>
      <c r="E703" t="s">
        <v>40</v>
      </c>
      <c r="F703" t="s">
        <v>50</v>
      </c>
      <c r="G703" t="str" cm="1">
        <f t="array" ref="G703">_xlfn.SWITCH(F703,"Acme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703" t="s">
        <v>33</v>
      </c>
      <c r="I703" t="s">
        <v>42</v>
      </c>
      <c r="J703" t="str" cm="1">
        <f t="array" ref="J703">_xlfn.SWITCH(I703,"P001","Laptop","P002","Server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03" s="1" cm="1">
        <f t="array" ref="K703">_xlfn.SWITCH(Table1[[#This Row],[Product ID]],"P001",220,"P002",150,"P003",130,"P004",70,"P005",200,"P006",40,"P007",25,"P008",20,"P009",190,"P010",530)</f>
        <v>40</v>
      </c>
      <c r="L703">
        <v>8</v>
      </c>
      <c r="M703" s="1">
        <f>Table1[[#This Row],[Unit Price]]*Table1[[#This Row],[Quantity]]</f>
        <v>320</v>
      </c>
      <c r="N703" s="2">
        <v>0.08</v>
      </c>
      <c r="O703" s="1">
        <f>Table1[[#This Row],[Gross Value]]*(1-Table1[[#This Row],[Discount]])</f>
        <v>294.40000000000003</v>
      </c>
      <c r="P703" s="2">
        <v>0.2</v>
      </c>
      <c r="Q703" s="1">
        <f>Table1[[#This Row],[Revenue]]*Table1[[#This Row],[VAT Rate]]</f>
        <v>58.88000000000001</v>
      </c>
      <c r="R703" s="1">
        <f>Table1[[#This Row],[Revenue]]+Table1[[#This Row],[VAT Charged]]</f>
        <v>353.28000000000003</v>
      </c>
      <c r="S703" s="1" cm="1">
        <f t="array" ref="S703">_xlfn.SWITCH(Table1[[#This Row],[Product ID]],"P001",140,"P002",80,"P003",72,"P004",30,"P005",110,"P006",24,"P007",14,"P008",12,"P009",115,"P010",360)</f>
        <v>24</v>
      </c>
      <c r="T703" s="1" cm="1">
        <f t="array" ref="T703">(_xlfn.SWITCH(Table1[[#This Row],[Product ID]],"P001",140,"P002",80,"P003",72,"P004",30,"P005",110,"P006",24,"P007",14,"P008",12,"P009",115,"P010",360))*Table1[[#This Row],[Quantity]]</f>
        <v>192</v>
      </c>
      <c r="U703" s="1" cm="1">
        <f t="array" ref="U703">_xlfn.SWITCH(Table1[[#This Row],[Product ID]],"P001",15,"P002",0,"P003",8,"P004",8,"P005",0,"P006",7,"P007",7,"P008",6,"P009",45,"P010",60)</f>
        <v>7</v>
      </c>
      <c r="V703" s="1">
        <f>Table1[[#This Row],[Shipping per Unit]]*Table1[[#This Row],[Quantity]]</f>
        <v>56</v>
      </c>
      <c r="W703" s="2">
        <f>IF(Table1[[#This Row],[Total Shipping]]&gt;0.1,0.2,0)</f>
        <v>0.2</v>
      </c>
      <c r="X703" s="4">
        <f>Table1[[#This Row],[Total Shipping]]*Table1[[#This Row],[VAT on Shipping]]</f>
        <v>11.200000000000001</v>
      </c>
      <c r="Y703" s="1">
        <f>Table1[[#This Row],[Revenue]]-Table1[[#This Row],[COGS]]</f>
        <v>102.40000000000003</v>
      </c>
      <c r="Z703" s="3">
        <f>(Table1[[#This Row],[Profit]]/Table1[[#This Row],[Revenue]])</f>
        <v>0.34782608695652184</v>
      </c>
      <c r="AA703" s="1">
        <f>Table1[[#This Row],[Profit]]-Table1[[#This Row],[Total Shipping]]</f>
        <v>46.400000000000034</v>
      </c>
      <c r="AB703" s="3">
        <f>Table1[[#This Row],[Operating Profit]]/Table1[[#This Row],[Revenue]]</f>
        <v>0.157608695652174</v>
      </c>
    </row>
    <row r="704" spans="1:28" x14ac:dyDescent="0.25">
      <c r="A704" t="s">
        <v>323</v>
      </c>
      <c r="B704">
        <v>753</v>
      </c>
      <c r="C704" t="s">
        <v>38</v>
      </c>
      <c r="D704" t="s">
        <v>36</v>
      </c>
      <c r="E704" t="s">
        <v>40</v>
      </c>
      <c r="F704" t="s">
        <v>86</v>
      </c>
      <c r="G704" t="str" cm="1">
        <f t="array" ref="G704">_xlfn.SWITCH(F704,"Acme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704" t="s">
        <v>45</v>
      </c>
      <c r="I704" t="s">
        <v>52</v>
      </c>
      <c r="J704" t="str" cm="1">
        <f t="array" ref="J704">_xlfn.SWITCH(I704,"P001","Laptop","P002","Server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704" s="1" cm="1">
        <f t="array" ref="K704">_xlfn.SWITCH(Table1[[#This Row],[Product ID]],"P001",220,"P002",150,"P003",130,"P004",70,"P005",200,"P006",40,"P007",25,"P008",20,"P009",190,"P010",530)</f>
        <v>130</v>
      </c>
      <c r="L704">
        <v>13</v>
      </c>
      <c r="M704" s="1">
        <f>Table1[[#This Row],[Unit Price]]*Table1[[#This Row],[Quantity]]</f>
        <v>1690</v>
      </c>
      <c r="N704" s="2">
        <v>0.03</v>
      </c>
      <c r="O704" s="1">
        <f>Table1[[#This Row],[Gross Value]]*(1-Table1[[#This Row],[Discount]])</f>
        <v>1639.3</v>
      </c>
      <c r="P704" s="2">
        <v>0.2</v>
      </c>
      <c r="Q704" s="1">
        <f>Table1[[#This Row],[Revenue]]*Table1[[#This Row],[VAT Rate]]</f>
        <v>327.86</v>
      </c>
      <c r="R704" s="1">
        <f>Table1[[#This Row],[Revenue]]+Table1[[#This Row],[VAT Charged]]</f>
        <v>1967.1599999999999</v>
      </c>
      <c r="S704" s="1" cm="1">
        <f t="array" ref="S704">_xlfn.SWITCH(Table1[[#This Row],[Product ID]],"P001",140,"P002",80,"P003",72,"P004",30,"P005",110,"P006",24,"P007",14,"P008",12,"P009",115,"P010",360)</f>
        <v>72</v>
      </c>
      <c r="T704" s="1" cm="1">
        <f t="array" ref="T704">(_xlfn.SWITCH(Table1[[#This Row],[Product ID]],"P001",140,"P002",80,"P003",72,"P004",30,"P005",110,"P006",24,"P007",14,"P008",12,"P009",115,"P010",360))*Table1[[#This Row],[Quantity]]</f>
        <v>936</v>
      </c>
      <c r="U704" s="1" cm="1">
        <f t="array" ref="U704">_xlfn.SWITCH(Table1[[#This Row],[Product ID]],"P001",15,"P002",0,"P003",8,"P004",8,"P005",0,"P006",7,"P007",7,"P008",6,"P009",45,"P010",60)</f>
        <v>8</v>
      </c>
      <c r="V704" s="1">
        <f>Table1[[#This Row],[Shipping per Unit]]*Table1[[#This Row],[Quantity]]</f>
        <v>104</v>
      </c>
      <c r="W704" s="2">
        <f>IF(Table1[[#This Row],[Total Shipping]]&gt;0.1,0.2,0)</f>
        <v>0.2</v>
      </c>
      <c r="X704" s="4">
        <f>Table1[[#This Row],[Total Shipping]]*Table1[[#This Row],[VAT on Shipping]]</f>
        <v>20.8</v>
      </c>
      <c r="Y704" s="1">
        <f>Table1[[#This Row],[Revenue]]-Table1[[#This Row],[COGS]]</f>
        <v>703.3</v>
      </c>
      <c r="Z704" s="3">
        <f>(Table1[[#This Row],[Profit]]/Table1[[#This Row],[Revenue]])</f>
        <v>0.4290245836637589</v>
      </c>
      <c r="AA704" s="1">
        <f>Table1[[#This Row],[Profit]]-Table1[[#This Row],[Total Shipping]]</f>
        <v>599.29999999999995</v>
      </c>
      <c r="AB704" s="3">
        <f>Table1[[#This Row],[Operating Profit]]/Table1[[#This Row],[Revenue]]</f>
        <v>0.36558287073750989</v>
      </c>
    </row>
    <row r="705" spans="1:28" x14ac:dyDescent="0.25">
      <c r="A705" t="s">
        <v>324</v>
      </c>
      <c r="B705">
        <v>39</v>
      </c>
      <c r="C705" t="s">
        <v>38</v>
      </c>
      <c r="D705" t="s">
        <v>63</v>
      </c>
      <c r="E705" t="s">
        <v>31</v>
      </c>
      <c r="F705" t="s">
        <v>92</v>
      </c>
      <c r="G705" t="str" cm="1">
        <f t="array" ref="G705">_xlfn.SWITCH(F705,"Acme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705" t="s">
        <v>51</v>
      </c>
      <c r="I705" t="s">
        <v>55</v>
      </c>
      <c r="J705" t="str" cm="1">
        <f t="array" ref="J705">_xlfn.SWITCH(I705,"P001","Laptop","P002","Server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05" s="1" cm="1">
        <f t="array" ref="K705">_xlfn.SWITCH(Table1[[#This Row],[Product ID]],"P001",220,"P002",150,"P003",130,"P004",70,"P005",200,"P006",40,"P007",25,"P008",20,"P009",190,"P010",530)</f>
        <v>70</v>
      </c>
      <c r="L705">
        <v>11</v>
      </c>
      <c r="M705" s="1">
        <f>Table1[[#This Row],[Unit Price]]*Table1[[#This Row],[Quantity]]</f>
        <v>770</v>
      </c>
      <c r="N705" s="2">
        <v>0.05</v>
      </c>
      <c r="O705" s="1">
        <f>Table1[[#This Row],[Gross Value]]*(1-Table1[[#This Row],[Discount]])</f>
        <v>731.5</v>
      </c>
      <c r="P705" s="2">
        <v>0.2</v>
      </c>
      <c r="Q705" s="1">
        <f>Table1[[#This Row],[Revenue]]*Table1[[#This Row],[VAT Rate]]</f>
        <v>146.30000000000001</v>
      </c>
      <c r="R705" s="1">
        <f>Table1[[#This Row],[Revenue]]+Table1[[#This Row],[VAT Charged]]</f>
        <v>877.8</v>
      </c>
      <c r="S705" s="1" cm="1">
        <f t="array" ref="S705">_xlfn.SWITCH(Table1[[#This Row],[Product ID]],"P001",140,"P002",80,"P003",72,"P004",30,"P005",110,"P006",24,"P007",14,"P008",12,"P009",115,"P010",360)</f>
        <v>30</v>
      </c>
      <c r="T705" s="1" cm="1">
        <f t="array" ref="T705">(_xlfn.SWITCH(Table1[[#This Row],[Product ID]],"P001",140,"P002",80,"P003",72,"P004",30,"P005",110,"P006",24,"P007",14,"P008",12,"P009",115,"P010",360))*Table1[[#This Row],[Quantity]]</f>
        <v>330</v>
      </c>
      <c r="U705" s="1" cm="1">
        <f t="array" ref="U705">_xlfn.SWITCH(Table1[[#This Row],[Product ID]],"P001",15,"P002",0,"P003",8,"P004",8,"P005",0,"P006",7,"P007",7,"P008",6,"P009",45,"P010",60)</f>
        <v>8</v>
      </c>
      <c r="V705" s="1">
        <f>Table1[[#This Row],[Shipping per Unit]]*Table1[[#This Row],[Quantity]]</f>
        <v>88</v>
      </c>
      <c r="W705" s="2">
        <f>IF(Table1[[#This Row],[Total Shipping]]&gt;0.1,0.2,0)</f>
        <v>0.2</v>
      </c>
      <c r="X705" s="4">
        <f>Table1[[#This Row],[Total Shipping]]*Table1[[#This Row],[VAT on Shipping]]</f>
        <v>17.600000000000001</v>
      </c>
      <c r="Y705" s="1">
        <f>Table1[[#This Row],[Revenue]]-Table1[[#This Row],[COGS]]</f>
        <v>401.5</v>
      </c>
      <c r="Z705" s="3">
        <f>(Table1[[#This Row],[Profit]]/Table1[[#This Row],[Revenue]])</f>
        <v>0.54887218045112784</v>
      </c>
      <c r="AA705" s="1">
        <f>Table1[[#This Row],[Profit]]-Table1[[#This Row],[Total Shipping]]</f>
        <v>313.5</v>
      </c>
      <c r="AB705" s="3">
        <f>Table1[[#This Row],[Operating Profit]]/Table1[[#This Row],[Revenue]]</f>
        <v>0.42857142857142855</v>
      </c>
    </row>
    <row r="706" spans="1:28" x14ac:dyDescent="0.25">
      <c r="A706" t="s">
        <v>324</v>
      </c>
      <c r="B706">
        <v>766</v>
      </c>
      <c r="C706" t="s">
        <v>65</v>
      </c>
      <c r="D706" t="s">
        <v>36</v>
      </c>
      <c r="E706" t="s">
        <v>40</v>
      </c>
      <c r="F706" t="s">
        <v>126</v>
      </c>
      <c r="G706" t="str" cm="1">
        <f t="array" ref="G706">_xlfn.SWITCH(F706,"Acme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706" t="s">
        <v>33</v>
      </c>
      <c r="I706" t="s">
        <v>42</v>
      </c>
      <c r="J706" t="str" cm="1">
        <f t="array" ref="J706">_xlfn.SWITCH(I706,"P001","Laptop","P002","Server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06" s="1" cm="1">
        <f t="array" ref="K706">_xlfn.SWITCH(Table1[[#This Row],[Product ID]],"P001",220,"P002",150,"P003",130,"P004",70,"P005",200,"P006",40,"P007",25,"P008",20,"P009",190,"P010",530)</f>
        <v>40</v>
      </c>
      <c r="L706">
        <v>3</v>
      </c>
      <c r="M706" s="1">
        <f>Table1[[#This Row],[Unit Price]]*Table1[[#This Row],[Quantity]]</f>
        <v>120</v>
      </c>
      <c r="N706" s="2">
        <v>0.04</v>
      </c>
      <c r="O706" s="1">
        <f>Table1[[#This Row],[Gross Value]]*(1-Table1[[#This Row],[Discount]])</f>
        <v>115.19999999999999</v>
      </c>
      <c r="P706" s="2">
        <v>0.2</v>
      </c>
      <c r="Q706" s="1">
        <f>Table1[[#This Row],[Revenue]]*Table1[[#This Row],[VAT Rate]]</f>
        <v>23.04</v>
      </c>
      <c r="R706" s="1">
        <f>Table1[[#This Row],[Revenue]]+Table1[[#This Row],[VAT Charged]]</f>
        <v>138.23999999999998</v>
      </c>
      <c r="S706" s="1" cm="1">
        <f t="array" ref="S706">_xlfn.SWITCH(Table1[[#This Row],[Product ID]],"P001",140,"P002",80,"P003",72,"P004",30,"P005",110,"P006",24,"P007",14,"P008",12,"P009",115,"P010",360)</f>
        <v>24</v>
      </c>
      <c r="T706" s="1" cm="1">
        <f t="array" ref="T706">(_xlfn.SWITCH(Table1[[#This Row],[Product ID]],"P001",140,"P002",80,"P003",72,"P004",30,"P005",110,"P006",24,"P007",14,"P008",12,"P009",115,"P010",360))*Table1[[#This Row],[Quantity]]</f>
        <v>72</v>
      </c>
      <c r="U706" s="1" cm="1">
        <f t="array" ref="U706">_xlfn.SWITCH(Table1[[#This Row],[Product ID]],"P001",15,"P002",0,"P003",8,"P004",8,"P005",0,"P006",7,"P007",7,"P008",6,"P009",45,"P010",60)</f>
        <v>7</v>
      </c>
      <c r="V706" s="1">
        <f>Table1[[#This Row],[Shipping per Unit]]*Table1[[#This Row],[Quantity]]</f>
        <v>21</v>
      </c>
      <c r="W706" s="2">
        <f>IF(Table1[[#This Row],[Total Shipping]]&gt;0.1,0.2,0)</f>
        <v>0.2</v>
      </c>
      <c r="X706" s="4">
        <f>Table1[[#This Row],[Total Shipping]]*Table1[[#This Row],[VAT on Shipping]]</f>
        <v>4.2</v>
      </c>
      <c r="Y706" s="1">
        <f>Table1[[#This Row],[Revenue]]-Table1[[#This Row],[COGS]]</f>
        <v>43.199999999999989</v>
      </c>
      <c r="Z706" s="3">
        <f>(Table1[[#This Row],[Profit]]/Table1[[#This Row],[Revenue]])</f>
        <v>0.37499999999999994</v>
      </c>
      <c r="AA706" s="1">
        <f>Table1[[#This Row],[Profit]]-Table1[[#This Row],[Total Shipping]]</f>
        <v>22.199999999999989</v>
      </c>
      <c r="AB706" s="3">
        <f>Table1[[#This Row],[Operating Profit]]/Table1[[#This Row],[Revenue]]</f>
        <v>0.19270833333333326</v>
      </c>
    </row>
    <row r="707" spans="1:28" x14ac:dyDescent="0.25">
      <c r="A707" t="s">
        <v>324</v>
      </c>
      <c r="B707">
        <v>890</v>
      </c>
      <c r="C707" t="s">
        <v>38</v>
      </c>
      <c r="D707" t="s">
        <v>39</v>
      </c>
      <c r="E707" t="s">
        <v>31</v>
      </c>
      <c r="F707" t="s">
        <v>86</v>
      </c>
      <c r="G707" t="str" cm="1">
        <f t="array" ref="G707">_xlfn.SWITCH(F707,"Acme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707" t="s">
        <v>58</v>
      </c>
      <c r="I707" t="s">
        <v>34</v>
      </c>
      <c r="J707" t="str" cm="1">
        <f t="array" ref="J707">_xlfn.SWITCH(I707,"P001","Laptop","P002","Server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07" s="1" cm="1">
        <f t="array" ref="K707">_xlfn.SWITCH(Table1[[#This Row],[Product ID]],"P001",220,"P002",150,"P003",130,"P004",70,"P005",200,"P006",40,"P007",25,"P008",20,"P009",190,"P010",530)</f>
        <v>20</v>
      </c>
      <c r="L707">
        <v>13</v>
      </c>
      <c r="M707" s="1">
        <f>Table1[[#This Row],[Unit Price]]*Table1[[#This Row],[Quantity]]</f>
        <v>260</v>
      </c>
      <c r="N707" s="2">
        <v>0.04</v>
      </c>
      <c r="O707" s="1">
        <f>Table1[[#This Row],[Gross Value]]*(1-Table1[[#This Row],[Discount]])</f>
        <v>249.6</v>
      </c>
      <c r="P707" s="2">
        <v>0.2</v>
      </c>
      <c r="Q707" s="1">
        <f>Table1[[#This Row],[Revenue]]*Table1[[#This Row],[VAT Rate]]</f>
        <v>49.92</v>
      </c>
      <c r="R707" s="1">
        <f>Table1[[#This Row],[Revenue]]+Table1[[#This Row],[VAT Charged]]</f>
        <v>299.52</v>
      </c>
      <c r="S707" s="1" cm="1">
        <f t="array" ref="S707">_xlfn.SWITCH(Table1[[#This Row],[Product ID]],"P001",140,"P002",80,"P003",72,"P004",30,"P005",110,"P006",24,"P007",14,"P008",12,"P009",115,"P010",360)</f>
        <v>12</v>
      </c>
      <c r="T707" s="1" cm="1">
        <f t="array" ref="T707">(_xlfn.SWITCH(Table1[[#This Row],[Product ID]],"P001",140,"P002",80,"P003",72,"P004",30,"P005",110,"P006",24,"P007",14,"P008",12,"P009",115,"P010",360))*Table1[[#This Row],[Quantity]]</f>
        <v>156</v>
      </c>
      <c r="U707" s="1" cm="1">
        <f t="array" ref="U707">_xlfn.SWITCH(Table1[[#This Row],[Product ID]],"P001",15,"P002",0,"P003",8,"P004",8,"P005",0,"P006",7,"P007",7,"P008",6,"P009",45,"P010",60)</f>
        <v>6</v>
      </c>
      <c r="V707" s="1">
        <f>Table1[[#This Row],[Shipping per Unit]]*Table1[[#This Row],[Quantity]]</f>
        <v>78</v>
      </c>
      <c r="W707" s="2">
        <f>IF(Table1[[#This Row],[Total Shipping]]&gt;0.1,0.2,0)</f>
        <v>0.2</v>
      </c>
      <c r="X707" s="4">
        <f>Table1[[#This Row],[Total Shipping]]*Table1[[#This Row],[VAT on Shipping]]</f>
        <v>15.600000000000001</v>
      </c>
      <c r="Y707" s="1">
        <f>Table1[[#This Row],[Revenue]]-Table1[[#This Row],[COGS]]</f>
        <v>93.6</v>
      </c>
      <c r="Z707" s="3">
        <f>(Table1[[#This Row],[Profit]]/Table1[[#This Row],[Revenue]])</f>
        <v>0.375</v>
      </c>
      <c r="AA707" s="1">
        <f>Table1[[#This Row],[Profit]]-Table1[[#This Row],[Total Shipping]]</f>
        <v>15.599999999999994</v>
      </c>
      <c r="AB707" s="3">
        <f>Table1[[#This Row],[Operating Profit]]/Table1[[#This Row],[Revenue]]</f>
        <v>6.2499999999999979E-2</v>
      </c>
    </row>
    <row r="708" spans="1:28" x14ac:dyDescent="0.25">
      <c r="A708" t="s">
        <v>324</v>
      </c>
      <c r="B708">
        <v>982</v>
      </c>
      <c r="C708" t="s">
        <v>71</v>
      </c>
      <c r="D708" t="s">
        <v>36</v>
      </c>
      <c r="E708" t="s">
        <v>31</v>
      </c>
      <c r="F708" t="s">
        <v>37</v>
      </c>
      <c r="G708" t="str" cm="1">
        <f t="array" ref="G708">_xlfn.SWITCH(F708,"Acme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708" t="s">
        <v>33</v>
      </c>
      <c r="I708" t="s">
        <v>42</v>
      </c>
      <c r="J708" t="str" cm="1">
        <f t="array" ref="J708">_xlfn.SWITCH(I708,"P001","Laptop","P002","Server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08" s="1" cm="1">
        <f t="array" ref="K708">_xlfn.SWITCH(Table1[[#This Row],[Product ID]],"P001",220,"P002",150,"P003",130,"P004",70,"P005",200,"P006",40,"P007",25,"P008",20,"P009",190,"P010",530)</f>
        <v>40</v>
      </c>
      <c r="L708">
        <v>2</v>
      </c>
      <c r="M708" s="1">
        <f>Table1[[#This Row],[Unit Price]]*Table1[[#This Row],[Quantity]]</f>
        <v>80</v>
      </c>
      <c r="N708" s="2">
        <v>0.05</v>
      </c>
      <c r="O708" s="1">
        <f>Table1[[#This Row],[Gross Value]]*(1-Table1[[#This Row],[Discount]])</f>
        <v>76</v>
      </c>
      <c r="P708" s="2">
        <v>0.2</v>
      </c>
      <c r="Q708" s="1">
        <f>Table1[[#This Row],[Revenue]]*Table1[[#This Row],[VAT Rate]]</f>
        <v>15.200000000000001</v>
      </c>
      <c r="R708" s="1">
        <f>Table1[[#This Row],[Revenue]]+Table1[[#This Row],[VAT Charged]]</f>
        <v>91.2</v>
      </c>
      <c r="S708" s="1" cm="1">
        <f t="array" ref="S708">_xlfn.SWITCH(Table1[[#This Row],[Product ID]],"P001",140,"P002",80,"P003",72,"P004",30,"P005",110,"P006",24,"P007",14,"P008",12,"P009",115,"P010",360)</f>
        <v>24</v>
      </c>
      <c r="T708" s="1" cm="1">
        <f t="array" ref="T708">(_xlfn.SWITCH(Table1[[#This Row],[Product ID]],"P001",140,"P002",80,"P003",72,"P004",30,"P005",110,"P006",24,"P007",14,"P008",12,"P009",115,"P010",360))*Table1[[#This Row],[Quantity]]</f>
        <v>48</v>
      </c>
      <c r="U708" s="1" cm="1">
        <f t="array" ref="U708">_xlfn.SWITCH(Table1[[#This Row],[Product ID]],"P001",15,"P002",0,"P003",8,"P004",8,"P005",0,"P006",7,"P007",7,"P008",6,"P009",45,"P010",60)</f>
        <v>7</v>
      </c>
      <c r="V708" s="1">
        <f>Table1[[#This Row],[Shipping per Unit]]*Table1[[#This Row],[Quantity]]</f>
        <v>14</v>
      </c>
      <c r="W708" s="2">
        <f>IF(Table1[[#This Row],[Total Shipping]]&gt;0.1,0.2,0)</f>
        <v>0.2</v>
      </c>
      <c r="X708" s="4">
        <f>Table1[[#This Row],[Total Shipping]]*Table1[[#This Row],[VAT on Shipping]]</f>
        <v>2.8000000000000003</v>
      </c>
      <c r="Y708" s="1">
        <f>Table1[[#This Row],[Revenue]]-Table1[[#This Row],[COGS]]</f>
        <v>28</v>
      </c>
      <c r="Z708" s="3">
        <f>(Table1[[#This Row],[Profit]]/Table1[[#This Row],[Revenue]])</f>
        <v>0.36842105263157893</v>
      </c>
      <c r="AA708" s="1">
        <f>Table1[[#This Row],[Profit]]-Table1[[#This Row],[Total Shipping]]</f>
        <v>14</v>
      </c>
      <c r="AB708" s="3">
        <f>Table1[[#This Row],[Operating Profit]]/Table1[[#This Row],[Revenue]]</f>
        <v>0.18421052631578946</v>
      </c>
    </row>
    <row r="709" spans="1:28" x14ac:dyDescent="0.25">
      <c r="A709" t="s">
        <v>325</v>
      </c>
      <c r="B709">
        <v>85</v>
      </c>
      <c r="C709" t="s">
        <v>29</v>
      </c>
      <c r="D709" t="s">
        <v>95</v>
      </c>
      <c r="E709" t="s">
        <v>40</v>
      </c>
      <c r="F709" t="s">
        <v>103</v>
      </c>
      <c r="G709" t="str" cm="1">
        <f t="array" ref="G709">_xlfn.SWITCH(F709,"Acme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709" t="s">
        <v>33</v>
      </c>
      <c r="I709" t="s">
        <v>46</v>
      </c>
      <c r="J709" t="str" cm="1">
        <f t="array" ref="J709">_xlfn.SWITCH(I709,"P001","Laptop","P002","Server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709" s="1" cm="1">
        <f t="array" ref="K709">_xlfn.SWITCH(Table1[[#This Row],[Product ID]],"P001",220,"P002",150,"P003",130,"P004",70,"P005",200,"P006",40,"P007",25,"P008",20,"P009",190,"P010",530)</f>
        <v>530</v>
      </c>
      <c r="L709">
        <v>5</v>
      </c>
      <c r="M709" s="1">
        <f>Table1[[#This Row],[Unit Price]]*Table1[[#This Row],[Quantity]]</f>
        <v>2650</v>
      </c>
      <c r="N709" s="2">
        <v>0.09</v>
      </c>
      <c r="O709" s="1">
        <f>Table1[[#This Row],[Gross Value]]*(1-Table1[[#This Row],[Discount]])</f>
        <v>2411.5</v>
      </c>
      <c r="P709" s="2">
        <v>0.2</v>
      </c>
      <c r="Q709" s="1">
        <f>Table1[[#This Row],[Revenue]]*Table1[[#This Row],[VAT Rate]]</f>
        <v>482.3</v>
      </c>
      <c r="R709" s="1">
        <f>Table1[[#This Row],[Revenue]]+Table1[[#This Row],[VAT Charged]]</f>
        <v>2893.8</v>
      </c>
      <c r="S709" s="1" cm="1">
        <f t="array" ref="S709">_xlfn.SWITCH(Table1[[#This Row],[Product ID]],"P001",140,"P002",80,"P003",72,"P004",30,"P005",110,"P006",24,"P007",14,"P008",12,"P009",115,"P010",360)</f>
        <v>360</v>
      </c>
      <c r="T709" s="1" cm="1">
        <f t="array" ref="T709">(_xlfn.SWITCH(Table1[[#This Row],[Product ID]],"P001",140,"P002",80,"P003",72,"P004",30,"P005",110,"P006",24,"P007",14,"P008",12,"P009",115,"P010",360))*Table1[[#This Row],[Quantity]]</f>
        <v>1800</v>
      </c>
      <c r="U709" s="1" cm="1">
        <f t="array" ref="U709">_xlfn.SWITCH(Table1[[#This Row],[Product ID]],"P001",15,"P002",0,"P003",8,"P004",8,"P005",0,"P006",7,"P007",7,"P008",6,"P009",45,"P010",60)</f>
        <v>60</v>
      </c>
      <c r="V709" s="1">
        <f>Table1[[#This Row],[Shipping per Unit]]*Table1[[#This Row],[Quantity]]</f>
        <v>300</v>
      </c>
      <c r="W709" s="2">
        <f>IF(Table1[[#This Row],[Total Shipping]]&gt;0.1,0.2,0)</f>
        <v>0.2</v>
      </c>
      <c r="X709" s="4">
        <f>Table1[[#This Row],[Total Shipping]]*Table1[[#This Row],[VAT on Shipping]]</f>
        <v>60</v>
      </c>
      <c r="Y709" s="1">
        <f>Table1[[#This Row],[Revenue]]-Table1[[#This Row],[COGS]]</f>
        <v>611.5</v>
      </c>
      <c r="Z709" s="3">
        <f>(Table1[[#This Row],[Profit]]/Table1[[#This Row],[Revenue]])</f>
        <v>0.25357661206717813</v>
      </c>
      <c r="AA709" s="1">
        <f>Table1[[#This Row],[Profit]]-Table1[[#This Row],[Total Shipping]]</f>
        <v>311.5</v>
      </c>
      <c r="AB709" s="3">
        <f>Table1[[#This Row],[Operating Profit]]/Table1[[#This Row],[Revenue]]</f>
        <v>0.12917271407837447</v>
      </c>
    </row>
    <row r="710" spans="1:28" x14ac:dyDescent="0.25">
      <c r="A710" t="s">
        <v>325</v>
      </c>
      <c r="B710">
        <v>215</v>
      </c>
      <c r="C710" t="s">
        <v>65</v>
      </c>
      <c r="D710" t="s">
        <v>95</v>
      </c>
      <c r="E710" t="s">
        <v>40</v>
      </c>
      <c r="F710" t="s">
        <v>37</v>
      </c>
      <c r="G710" t="str" cm="1">
        <f t="array" ref="G710">_xlfn.SWITCH(F710,"Acme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710" t="s">
        <v>45</v>
      </c>
      <c r="I710" t="s">
        <v>55</v>
      </c>
      <c r="J710" t="str" cm="1">
        <f t="array" ref="J710">_xlfn.SWITCH(I710,"P001","Laptop","P002","Server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10" s="1" cm="1">
        <f t="array" ref="K710">_xlfn.SWITCH(Table1[[#This Row],[Product ID]],"P001",220,"P002",150,"P003",130,"P004",70,"P005",200,"P006",40,"P007",25,"P008",20,"P009",190,"P010",530)</f>
        <v>70</v>
      </c>
      <c r="L710">
        <v>17</v>
      </c>
      <c r="M710" s="1">
        <f>Table1[[#This Row],[Unit Price]]*Table1[[#This Row],[Quantity]]</f>
        <v>1190</v>
      </c>
      <c r="N710" s="2">
        <v>0.06</v>
      </c>
      <c r="O710" s="1">
        <f>Table1[[#This Row],[Gross Value]]*(1-Table1[[#This Row],[Discount]])</f>
        <v>1118.5999999999999</v>
      </c>
      <c r="P710" s="2">
        <v>0.2</v>
      </c>
      <c r="Q710" s="1">
        <f>Table1[[#This Row],[Revenue]]*Table1[[#This Row],[VAT Rate]]</f>
        <v>223.72</v>
      </c>
      <c r="R710" s="1">
        <f>Table1[[#This Row],[Revenue]]+Table1[[#This Row],[VAT Charged]]</f>
        <v>1342.32</v>
      </c>
      <c r="S710" s="1" cm="1">
        <f t="array" ref="S710">_xlfn.SWITCH(Table1[[#This Row],[Product ID]],"P001",140,"P002",80,"P003",72,"P004",30,"P005",110,"P006",24,"P007",14,"P008",12,"P009",115,"P010",360)</f>
        <v>30</v>
      </c>
      <c r="T710" s="1" cm="1">
        <f t="array" ref="T710">(_xlfn.SWITCH(Table1[[#This Row],[Product ID]],"P001",140,"P002",80,"P003",72,"P004",30,"P005",110,"P006",24,"P007",14,"P008",12,"P009",115,"P010",360))*Table1[[#This Row],[Quantity]]</f>
        <v>510</v>
      </c>
      <c r="U710" s="1" cm="1">
        <f t="array" ref="U710">_xlfn.SWITCH(Table1[[#This Row],[Product ID]],"P001",15,"P002",0,"P003",8,"P004",8,"P005",0,"P006",7,"P007",7,"P008",6,"P009",45,"P010",60)</f>
        <v>8</v>
      </c>
      <c r="V710" s="1">
        <f>Table1[[#This Row],[Shipping per Unit]]*Table1[[#This Row],[Quantity]]</f>
        <v>136</v>
      </c>
      <c r="W710" s="2">
        <f>IF(Table1[[#This Row],[Total Shipping]]&gt;0.1,0.2,0)</f>
        <v>0.2</v>
      </c>
      <c r="X710" s="4">
        <f>Table1[[#This Row],[Total Shipping]]*Table1[[#This Row],[VAT on Shipping]]</f>
        <v>27.200000000000003</v>
      </c>
      <c r="Y710" s="1">
        <f>Table1[[#This Row],[Revenue]]-Table1[[#This Row],[COGS]]</f>
        <v>608.59999999999991</v>
      </c>
      <c r="Z710" s="3">
        <f>(Table1[[#This Row],[Profit]]/Table1[[#This Row],[Revenue]])</f>
        <v>0.54407294832826747</v>
      </c>
      <c r="AA710" s="1">
        <f>Table1[[#This Row],[Profit]]-Table1[[#This Row],[Total Shipping]]</f>
        <v>472.59999999999991</v>
      </c>
      <c r="AB710" s="3">
        <f>Table1[[#This Row],[Operating Profit]]/Table1[[#This Row],[Revenue]]</f>
        <v>0.42249240121580545</v>
      </c>
    </row>
    <row r="711" spans="1:28" x14ac:dyDescent="0.25">
      <c r="A711" t="s">
        <v>325</v>
      </c>
      <c r="B711">
        <v>503</v>
      </c>
      <c r="C711" t="s">
        <v>38</v>
      </c>
      <c r="D711" t="s">
        <v>67</v>
      </c>
      <c r="E711" t="s">
        <v>31</v>
      </c>
      <c r="F711" t="s">
        <v>87</v>
      </c>
      <c r="G711" t="str" cm="1">
        <f t="array" ref="G711">_xlfn.SWITCH(F711,"Acme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711" t="s">
        <v>45</v>
      </c>
      <c r="I711" t="s">
        <v>42</v>
      </c>
      <c r="J711" t="str" cm="1">
        <f t="array" ref="J711">_xlfn.SWITCH(I711,"P001","Laptop","P002","Server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11" s="1" cm="1">
        <f t="array" ref="K711">_xlfn.SWITCH(Table1[[#This Row],[Product ID]],"P001",220,"P002",150,"P003",130,"P004",70,"P005",200,"P006",40,"P007",25,"P008",20,"P009",190,"P010",530)</f>
        <v>40</v>
      </c>
      <c r="L711">
        <v>14</v>
      </c>
      <c r="M711" s="1">
        <f>Table1[[#This Row],[Unit Price]]*Table1[[#This Row],[Quantity]]</f>
        <v>560</v>
      </c>
      <c r="N711" s="2">
        <v>0.1</v>
      </c>
      <c r="O711" s="1">
        <f>Table1[[#This Row],[Gross Value]]*(1-Table1[[#This Row],[Discount]])</f>
        <v>504</v>
      </c>
      <c r="P711" s="2">
        <v>0.2</v>
      </c>
      <c r="Q711" s="1">
        <f>Table1[[#This Row],[Revenue]]*Table1[[#This Row],[VAT Rate]]</f>
        <v>100.80000000000001</v>
      </c>
      <c r="R711" s="1">
        <f>Table1[[#This Row],[Revenue]]+Table1[[#This Row],[VAT Charged]]</f>
        <v>604.79999999999995</v>
      </c>
      <c r="S711" s="1" cm="1">
        <f t="array" ref="S711">_xlfn.SWITCH(Table1[[#This Row],[Product ID]],"P001",140,"P002",80,"P003",72,"P004",30,"P005",110,"P006",24,"P007",14,"P008",12,"P009",115,"P010",360)</f>
        <v>24</v>
      </c>
      <c r="T711" s="1" cm="1">
        <f t="array" ref="T711">(_xlfn.SWITCH(Table1[[#This Row],[Product ID]],"P001",140,"P002",80,"P003",72,"P004",30,"P005",110,"P006",24,"P007",14,"P008",12,"P009",115,"P010",360))*Table1[[#This Row],[Quantity]]</f>
        <v>336</v>
      </c>
      <c r="U711" s="1" cm="1">
        <f t="array" ref="U711">_xlfn.SWITCH(Table1[[#This Row],[Product ID]],"P001",15,"P002",0,"P003",8,"P004",8,"P005",0,"P006",7,"P007",7,"P008",6,"P009",45,"P010",60)</f>
        <v>7</v>
      </c>
      <c r="V711" s="1">
        <f>Table1[[#This Row],[Shipping per Unit]]*Table1[[#This Row],[Quantity]]</f>
        <v>98</v>
      </c>
      <c r="W711" s="2">
        <f>IF(Table1[[#This Row],[Total Shipping]]&gt;0.1,0.2,0)</f>
        <v>0.2</v>
      </c>
      <c r="X711" s="4">
        <f>Table1[[#This Row],[Total Shipping]]*Table1[[#This Row],[VAT on Shipping]]</f>
        <v>19.600000000000001</v>
      </c>
      <c r="Y711" s="1">
        <f>Table1[[#This Row],[Revenue]]-Table1[[#This Row],[COGS]]</f>
        <v>168</v>
      </c>
      <c r="Z711" s="3">
        <f>(Table1[[#This Row],[Profit]]/Table1[[#This Row],[Revenue]])</f>
        <v>0.33333333333333331</v>
      </c>
      <c r="AA711" s="1">
        <f>Table1[[#This Row],[Profit]]-Table1[[#This Row],[Total Shipping]]</f>
        <v>70</v>
      </c>
      <c r="AB711" s="3">
        <f>Table1[[#This Row],[Operating Profit]]/Table1[[#This Row],[Revenue]]</f>
        <v>0.1388888888888889</v>
      </c>
    </row>
    <row r="712" spans="1:28" x14ac:dyDescent="0.25">
      <c r="A712" t="s">
        <v>325</v>
      </c>
      <c r="B712">
        <v>639</v>
      </c>
      <c r="C712" t="s">
        <v>29</v>
      </c>
      <c r="D712" t="s">
        <v>36</v>
      </c>
      <c r="E712" t="s">
        <v>31</v>
      </c>
      <c r="F712" t="s">
        <v>44</v>
      </c>
      <c r="G712" t="str" cm="1">
        <f t="array" ref="G712">_xlfn.SWITCH(F712,"Acme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712" t="s">
        <v>58</v>
      </c>
      <c r="I712" t="s">
        <v>75</v>
      </c>
      <c r="J712" t="str" cm="1">
        <f t="array" ref="J712">_xlfn.SWITCH(I712,"P001","Laptop","P002","Server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712" s="1" cm="1">
        <f t="array" ref="K712">_xlfn.SWITCH(Table1[[#This Row],[Product ID]],"P001",220,"P002",150,"P003",130,"P004",70,"P005",200,"P006",40,"P007",25,"P008",20,"P009",190,"P010",530)</f>
        <v>200</v>
      </c>
      <c r="L712">
        <v>18</v>
      </c>
      <c r="M712" s="1">
        <f>Table1[[#This Row],[Unit Price]]*Table1[[#This Row],[Quantity]]</f>
        <v>3600</v>
      </c>
      <c r="N712" s="2">
        <v>0.06</v>
      </c>
      <c r="O712" s="1">
        <f>Table1[[#This Row],[Gross Value]]*(1-Table1[[#This Row],[Discount]])</f>
        <v>3384</v>
      </c>
      <c r="P712" s="2">
        <v>0.2</v>
      </c>
      <c r="Q712" s="1">
        <f>Table1[[#This Row],[Revenue]]*Table1[[#This Row],[VAT Rate]]</f>
        <v>676.80000000000007</v>
      </c>
      <c r="R712" s="1">
        <f>Table1[[#This Row],[Revenue]]+Table1[[#This Row],[VAT Charged]]</f>
        <v>4060.8</v>
      </c>
      <c r="S712" s="1" cm="1">
        <f t="array" ref="S712">_xlfn.SWITCH(Table1[[#This Row],[Product ID]],"P001",140,"P002",80,"P003",72,"P004",30,"P005",110,"P006",24,"P007",14,"P008",12,"P009",115,"P010",360)</f>
        <v>110</v>
      </c>
      <c r="T712" s="1" cm="1">
        <f t="array" ref="T712">(_xlfn.SWITCH(Table1[[#This Row],[Product ID]],"P001",140,"P002",80,"P003",72,"P004",30,"P005",110,"P006",24,"P007",14,"P008",12,"P009",115,"P010",360))*Table1[[#This Row],[Quantity]]</f>
        <v>1980</v>
      </c>
      <c r="U712" s="1" cm="1">
        <f t="array" ref="U712">_xlfn.SWITCH(Table1[[#This Row],[Product ID]],"P001",15,"P002",0,"P003",8,"P004",8,"P005",0,"P006",7,"P007",7,"P008",6,"P009",45,"P010",60)</f>
        <v>0</v>
      </c>
      <c r="V712" s="1">
        <f>Table1[[#This Row],[Shipping per Unit]]*Table1[[#This Row],[Quantity]]</f>
        <v>0</v>
      </c>
      <c r="W712" s="2">
        <f>IF(Table1[[#This Row],[Total Shipping]]&gt;0.1,0.2,0)</f>
        <v>0</v>
      </c>
      <c r="X712" s="4">
        <f>Table1[[#This Row],[Total Shipping]]*Table1[[#This Row],[VAT on Shipping]]</f>
        <v>0</v>
      </c>
      <c r="Y712" s="1">
        <f>Table1[[#This Row],[Revenue]]-Table1[[#This Row],[COGS]]</f>
        <v>1404</v>
      </c>
      <c r="Z712" s="3">
        <f>(Table1[[#This Row],[Profit]]/Table1[[#This Row],[Revenue]])</f>
        <v>0.41489361702127658</v>
      </c>
      <c r="AA712" s="1">
        <f>Table1[[#This Row],[Profit]]-Table1[[#This Row],[Total Shipping]]</f>
        <v>1404</v>
      </c>
      <c r="AB712" s="3">
        <f>Table1[[#This Row],[Operating Profit]]/Table1[[#This Row],[Revenue]]</f>
        <v>0.41489361702127658</v>
      </c>
    </row>
    <row r="713" spans="1:28" x14ac:dyDescent="0.25">
      <c r="A713" t="s">
        <v>326</v>
      </c>
      <c r="B713">
        <v>233</v>
      </c>
      <c r="C713" t="s">
        <v>29</v>
      </c>
      <c r="D713" t="s">
        <v>63</v>
      </c>
      <c r="E713" t="s">
        <v>31</v>
      </c>
      <c r="F713" t="s">
        <v>84</v>
      </c>
      <c r="G713" t="str" cm="1">
        <f t="array" ref="G713">_xlfn.SWITCH(F713,"Acme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713" t="s">
        <v>45</v>
      </c>
      <c r="I713" t="s">
        <v>91</v>
      </c>
      <c r="J713" t="str" cm="1">
        <f t="array" ref="J713">_xlfn.SWITCH(I713,"P001","Laptop","P002","Server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713" s="1" cm="1">
        <f t="array" ref="K713">_xlfn.SWITCH(Table1[[#This Row],[Product ID]],"P001",220,"P002",150,"P003",130,"P004",70,"P005",200,"P006",40,"P007",25,"P008",20,"P009",190,"P010",530)</f>
        <v>190</v>
      </c>
      <c r="L713">
        <v>9</v>
      </c>
      <c r="M713" s="1">
        <f>Table1[[#This Row],[Unit Price]]*Table1[[#This Row],[Quantity]]</f>
        <v>1710</v>
      </c>
      <c r="N713" s="2">
        <v>0.08</v>
      </c>
      <c r="O713" s="1">
        <f>Table1[[#This Row],[Gross Value]]*(1-Table1[[#This Row],[Discount]])</f>
        <v>1573.2</v>
      </c>
      <c r="P713" s="2">
        <v>0.2</v>
      </c>
      <c r="Q713" s="1">
        <f>Table1[[#This Row],[Revenue]]*Table1[[#This Row],[VAT Rate]]</f>
        <v>314.64000000000004</v>
      </c>
      <c r="R713" s="1">
        <f>Table1[[#This Row],[Revenue]]+Table1[[#This Row],[VAT Charged]]</f>
        <v>1887.8400000000001</v>
      </c>
      <c r="S713" s="1" cm="1">
        <f t="array" ref="S713">_xlfn.SWITCH(Table1[[#This Row],[Product ID]],"P001",140,"P002",80,"P003",72,"P004",30,"P005",110,"P006",24,"P007",14,"P008",12,"P009",115,"P010",360)</f>
        <v>115</v>
      </c>
      <c r="T713" s="1" cm="1">
        <f t="array" ref="T713">(_xlfn.SWITCH(Table1[[#This Row],[Product ID]],"P001",140,"P002",80,"P003",72,"P004",30,"P005",110,"P006",24,"P007",14,"P008",12,"P009",115,"P010",360))*Table1[[#This Row],[Quantity]]</f>
        <v>1035</v>
      </c>
      <c r="U713" s="1" cm="1">
        <f t="array" ref="U713">_xlfn.SWITCH(Table1[[#This Row],[Product ID]],"P001",15,"P002",0,"P003",8,"P004",8,"P005",0,"P006",7,"P007",7,"P008",6,"P009",45,"P010",60)</f>
        <v>45</v>
      </c>
      <c r="V713" s="1">
        <f>Table1[[#This Row],[Shipping per Unit]]*Table1[[#This Row],[Quantity]]</f>
        <v>405</v>
      </c>
      <c r="W713" s="2">
        <f>IF(Table1[[#This Row],[Total Shipping]]&gt;0.1,0.2,0)</f>
        <v>0.2</v>
      </c>
      <c r="X713" s="4">
        <f>Table1[[#This Row],[Total Shipping]]*Table1[[#This Row],[VAT on Shipping]]</f>
        <v>81</v>
      </c>
      <c r="Y713" s="1">
        <f>Table1[[#This Row],[Revenue]]-Table1[[#This Row],[COGS]]</f>
        <v>538.20000000000005</v>
      </c>
      <c r="Z713" s="3">
        <f>(Table1[[#This Row],[Profit]]/Table1[[#This Row],[Revenue]])</f>
        <v>0.34210526315789475</v>
      </c>
      <c r="AA713" s="1">
        <f>Table1[[#This Row],[Profit]]-Table1[[#This Row],[Total Shipping]]</f>
        <v>133.20000000000005</v>
      </c>
      <c r="AB713" s="3">
        <f>Table1[[#This Row],[Operating Profit]]/Table1[[#This Row],[Revenue]]</f>
        <v>8.4668192219679667E-2</v>
      </c>
    </row>
    <row r="714" spans="1:28" x14ac:dyDescent="0.25">
      <c r="A714" t="s">
        <v>326</v>
      </c>
      <c r="B714">
        <v>250</v>
      </c>
      <c r="C714" t="s">
        <v>62</v>
      </c>
      <c r="D714" t="s">
        <v>67</v>
      </c>
      <c r="E714" t="s">
        <v>31</v>
      </c>
      <c r="F714" t="s">
        <v>64</v>
      </c>
      <c r="G714" t="str" cm="1">
        <f t="array" ref="G714">_xlfn.SWITCH(F714,"Acme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714" t="s">
        <v>69</v>
      </c>
      <c r="I714" t="s">
        <v>42</v>
      </c>
      <c r="J714" t="str" cm="1">
        <f t="array" ref="J714">_xlfn.SWITCH(I714,"P001","Laptop","P002","Server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14" s="1" cm="1">
        <f t="array" ref="K714">_xlfn.SWITCH(Table1[[#This Row],[Product ID]],"P001",220,"P002",150,"P003",130,"P004",70,"P005",200,"P006",40,"P007",25,"P008",20,"P009",190,"P010",530)</f>
        <v>40</v>
      </c>
      <c r="L714">
        <v>16</v>
      </c>
      <c r="M714" s="1">
        <f>Table1[[#This Row],[Unit Price]]*Table1[[#This Row],[Quantity]]</f>
        <v>640</v>
      </c>
      <c r="N714" s="2">
        <v>0.03</v>
      </c>
      <c r="O714" s="1">
        <f>Table1[[#This Row],[Gross Value]]*(1-Table1[[#This Row],[Discount]])</f>
        <v>620.79999999999995</v>
      </c>
      <c r="P714" s="2">
        <v>0.2</v>
      </c>
      <c r="Q714" s="1">
        <f>Table1[[#This Row],[Revenue]]*Table1[[#This Row],[VAT Rate]]</f>
        <v>124.16</v>
      </c>
      <c r="R714" s="1">
        <f>Table1[[#This Row],[Revenue]]+Table1[[#This Row],[VAT Charged]]</f>
        <v>744.95999999999992</v>
      </c>
      <c r="S714" s="1" cm="1">
        <f t="array" ref="S714">_xlfn.SWITCH(Table1[[#This Row],[Product ID]],"P001",140,"P002",80,"P003",72,"P004",30,"P005",110,"P006",24,"P007",14,"P008",12,"P009",115,"P010",360)</f>
        <v>24</v>
      </c>
      <c r="T714" s="1" cm="1">
        <f t="array" ref="T714">(_xlfn.SWITCH(Table1[[#This Row],[Product ID]],"P001",140,"P002",80,"P003",72,"P004",30,"P005",110,"P006",24,"P007",14,"P008",12,"P009",115,"P010",360))*Table1[[#This Row],[Quantity]]</f>
        <v>384</v>
      </c>
      <c r="U714" s="1" cm="1">
        <f t="array" ref="U714">_xlfn.SWITCH(Table1[[#This Row],[Product ID]],"P001",15,"P002",0,"P003",8,"P004",8,"P005",0,"P006",7,"P007",7,"P008",6,"P009",45,"P010",60)</f>
        <v>7</v>
      </c>
      <c r="V714" s="1">
        <f>Table1[[#This Row],[Shipping per Unit]]*Table1[[#This Row],[Quantity]]</f>
        <v>112</v>
      </c>
      <c r="W714" s="2">
        <f>IF(Table1[[#This Row],[Total Shipping]]&gt;0.1,0.2,0)</f>
        <v>0.2</v>
      </c>
      <c r="X714" s="4">
        <f>Table1[[#This Row],[Total Shipping]]*Table1[[#This Row],[VAT on Shipping]]</f>
        <v>22.400000000000002</v>
      </c>
      <c r="Y714" s="1">
        <f>Table1[[#This Row],[Revenue]]-Table1[[#This Row],[COGS]]</f>
        <v>236.79999999999995</v>
      </c>
      <c r="Z714" s="3">
        <f>(Table1[[#This Row],[Profit]]/Table1[[#This Row],[Revenue]])</f>
        <v>0.38144329896907214</v>
      </c>
      <c r="AA714" s="1">
        <f>Table1[[#This Row],[Profit]]-Table1[[#This Row],[Total Shipping]]</f>
        <v>124.79999999999995</v>
      </c>
      <c r="AB714" s="3">
        <f>Table1[[#This Row],[Operating Profit]]/Table1[[#This Row],[Revenue]]</f>
        <v>0.2010309278350515</v>
      </c>
    </row>
    <row r="715" spans="1:28" x14ac:dyDescent="0.25">
      <c r="A715" t="s">
        <v>326</v>
      </c>
      <c r="B715">
        <v>532</v>
      </c>
      <c r="C715" t="s">
        <v>62</v>
      </c>
      <c r="D715" t="s">
        <v>63</v>
      </c>
      <c r="E715" t="s">
        <v>31</v>
      </c>
      <c r="F715" t="s">
        <v>54</v>
      </c>
      <c r="G715" t="str" cm="1">
        <f t="array" ref="G715">_xlfn.SWITCH(F715,"Acme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715" t="s">
        <v>58</v>
      </c>
      <c r="I715" t="s">
        <v>46</v>
      </c>
      <c r="J715" t="str" cm="1">
        <f t="array" ref="J715">_xlfn.SWITCH(I715,"P001","Laptop","P002","Server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715" s="1" cm="1">
        <f t="array" ref="K715">_xlfn.SWITCH(Table1[[#This Row],[Product ID]],"P001",220,"P002",150,"P003",130,"P004",70,"P005",200,"P006",40,"P007",25,"P008",20,"P009",190,"P010",530)</f>
        <v>530</v>
      </c>
      <c r="L715">
        <v>15</v>
      </c>
      <c r="M715" s="1">
        <f>Table1[[#This Row],[Unit Price]]*Table1[[#This Row],[Quantity]]</f>
        <v>7950</v>
      </c>
      <c r="N715" s="2">
        <v>0.12</v>
      </c>
      <c r="O715" s="1">
        <f>Table1[[#This Row],[Gross Value]]*(1-Table1[[#This Row],[Discount]])</f>
        <v>6996</v>
      </c>
      <c r="P715" s="2">
        <v>0.2</v>
      </c>
      <c r="Q715" s="1">
        <f>Table1[[#This Row],[Revenue]]*Table1[[#This Row],[VAT Rate]]</f>
        <v>1399.2</v>
      </c>
      <c r="R715" s="1">
        <f>Table1[[#This Row],[Revenue]]+Table1[[#This Row],[VAT Charged]]</f>
        <v>8395.2000000000007</v>
      </c>
      <c r="S715" s="1" cm="1">
        <f t="array" ref="S715">_xlfn.SWITCH(Table1[[#This Row],[Product ID]],"P001",140,"P002",80,"P003",72,"P004",30,"P005",110,"P006",24,"P007",14,"P008",12,"P009",115,"P010",360)</f>
        <v>360</v>
      </c>
      <c r="T715" s="1" cm="1">
        <f t="array" ref="T715">(_xlfn.SWITCH(Table1[[#This Row],[Product ID]],"P001",140,"P002",80,"P003",72,"P004",30,"P005",110,"P006",24,"P007",14,"P008",12,"P009",115,"P010",360))*Table1[[#This Row],[Quantity]]</f>
        <v>5400</v>
      </c>
      <c r="U715" s="1" cm="1">
        <f t="array" ref="U715">_xlfn.SWITCH(Table1[[#This Row],[Product ID]],"P001",15,"P002",0,"P003",8,"P004",8,"P005",0,"P006",7,"P007",7,"P008",6,"P009",45,"P010",60)</f>
        <v>60</v>
      </c>
      <c r="V715" s="1">
        <f>Table1[[#This Row],[Shipping per Unit]]*Table1[[#This Row],[Quantity]]</f>
        <v>900</v>
      </c>
      <c r="W715" s="2">
        <f>IF(Table1[[#This Row],[Total Shipping]]&gt;0.1,0.2,0)</f>
        <v>0.2</v>
      </c>
      <c r="X715" s="4">
        <f>Table1[[#This Row],[Total Shipping]]*Table1[[#This Row],[VAT on Shipping]]</f>
        <v>180</v>
      </c>
      <c r="Y715" s="1">
        <f>Table1[[#This Row],[Revenue]]-Table1[[#This Row],[COGS]]</f>
        <v>1596</v>
      </c>
      <c r="Z715" s="3">
        <f>(Table1[[#This Row],[Profit]]/Table1[[#This Row],[Revenue]])</f>
        <v>0.22813036020583191</v>
      </c>
      <c r="AA715" s="1">
        <f>Table1[[#This Row],[Profit]]-Table1[[#This Row],[Total Shipping]]</f>
        <v>696</v>
      </c>
      <c r="AB715" s="3">
        <f>Table1[[#This Row],[Operating Profit]]/Table1[[#This Row],[Revenue]]</f>
        <v>9.9485420240137221E-2</v>
      </c>
    </row>
    <row r="716" spans="1:28" x14ac:dyDescent="0.25">
      <c r="A716" t="s">
        <v>327</v>
      </c>
      <c r="B716">
        <v>7</v>
      </c>
      <c r="C716" t="s">
        <v>65</v>
      </c>
      <c r="D716" t="s">
        <v>39</v>
      </c>
      <c r="E716" t="s">
        <v>40</v>
      </c>
      <c r="F716" t="s">
        <v>84</v>
      </c>
      <c r="G716" t="str" cm="1">
        <f t="array" ref="G716">_xlfn.SWITCH(F716,"Acme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716" t="s">
        <v>45</v>
      </c>
      <c r="I716" t="s">
        <v>46</v>
      </c>
      <c r="J716" t="str" cm="1">
        <f t="array" ref="J716">_xlfn.SWITCH(I716,"P001","Laptop","P002","Server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716" s="1" cm="1">
        <f t="array" ref="K716">_xlfn.SWITCH(Table1[[#This Row],[Product ID]],"P001",220,"P002",150,"P003",130,"P004",70,"P005",200,"P006",40,"P007",25,"P008",20,"P009",190,"P010",530)</f>
        <v>530</v>
      </c>
      <c r="L716">
        <v>16</v>
      </c>
      <c r="M716" s="1">
        <f>Table1[[#This Row],[Unit Price]]*Table1[[#This Row],[Quantity]]</f>
        <v>8480</v>
      </c>
      <c r="N716" s="2">
        <v>0.1</v>
      </c>
      <c r="O716" s="1">
        <f>Table1[[#This Row],[Gross Value]]*(1-Table1[[#This Row],[Discount]])</f>
        <v>7632</v>
      </c>
      <c r="P716" s="2">
        <v>0.2</v>
      </c>
      <c r="Q716" s="1">
        <f>Table1[[#This Row],[Revenue]]*Table1[[#This Row],[VAT Rate]]</f>
        <v>1526.4</v>
      </c>
      <c r="R716" s="1">
        <f>Table1[[#This Row],[Revenue]]+Table1[[#This Row],[VAT Charged]]</f>
        <v>9158.4</v>
      </c>
      <c r="S716" s="1" cm="1">
        <f t="array" ref="S716">_xlfn.SWITCH(Table1[[#This Row],[Product ID]],"P001",140,"P002",80,"P003",72,"P004",30,"P005",110,"P006",24,"P007",14,"P008",12,"P009",115,"P010",360)</f>
        <v>360</v>
      </c>
      <c r="T716" s="1" cm="1">
        <f t="array" ref="T716">(_xlfn.SWITCH(Table1[[#This Row],[Product ID]],"P001",140,"P002",80,"P003",72,"P004",30,"P005",110,"P006",24,"P007",14,"P008",12,"P009",115,"P010",360))*Table1[[#This Row],[Quantity]]</f>
        <v>5760</v>
      </c>
      <c r="U716" s="1" cm="1">
        <f t="array" ref="U716">_xlfn.SWITCH(Table1[[#This Row],[Product ID]],"P001",15,"P002",0,"P003",8,"P004",8,"P005",0,"P006",7,"P007",7,"P008",6,"P009",45,"P010",60)</f>
        <v>60</v>
      </c>
      <c r="V716" s="1">
        <f>Table1[[#This Row],[Shipping per Unit]]*Table1[[#This Row],[Quantity]]</f>
        <v>960</v>
      </c>
      <c r="W716" s="2">
        <f>IF(Table1[[#This Row],[Total Shipping]]&gt;0.1,0.2,0)</f>
        <v>0.2</v>
      </c>
      <c r="X716" s="4">
        <f>Table1[[#This Row],[Total Shipping]]*Table1[[#This Row],[VAT on Shipping]]</f>
        <v>192</v>
      </c>
      <c r="Y716" s="1">
        <f>Table1[[#This Row],[Revenue]]-Table1[[#This Row],[COGS]]</f>
        <v>1872</v>
      </c>
      <c r="Z716" s="3">
        <f>(Table1[[#This Row],[Profit]]/Table1[[#This Row],[Revenue]])</f>
        <v>0.24528301886792453</v>
      </c>
      <c r="AA716" s="1">
        <f>Table1[[#This Row],[Profit]]-Table1[[#This Row],[Total Shipping]]</f>
        <v>912</v>
      </c>
      <c r="AB716" s="3">
        <f>Table1[[#This Row],[Operating Profit]]/Table1[[#This Row],[Revenue]]</f>
        <v>0.11949685534591195</v>
      </c>
    </row>
    <row r="717" spans="1:28" x14ac:dyDescent="0.25">
      <c r="A717" t="s">
        <v>327</v>
      </c>
      <c r="B717">
        <v>266</v>
      </c>
      <c r="C717" t="s">
        <v>62</v>
      </c>
      <c r="D717" t="s">
        <v>53</v>
      </c>
      <c r="E717" t="s">
        <v>40</v>
      </c>
      <c r="F717" t="s">
        <v>92</v>
      </c>
      <c r="G717" t="str" cm="1">
        <f t="array" ref="G717">_xlfn.SWITCH(F717,"Acme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717" t="s">
        <v>33</v>
      </c>
      <c r="I717" t="s">
        <v>75</v>
      </c>
      <c r="J717" t="str" cm="1">
        <f t="array" ref="J717">_xlfn.SWITCH(I717,"P001","Laptop","P002","Server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717" s="1" cm="1">
        <f t="array" ref="K717">_xlfn.SWITCH(Table1[[#This Row],[Product ID]],"P001",220,"P002",150,"P003",130,"P004",70,"P005",200,"P006",40,"P007",25,"P008",20,"P009",190,"P010",530)</f>
        <v>200</v>
      </c>
      <c r="L717">
        <v>3</v>
      </c>
      <c r="M717" s="1">
        <f>Table1[[#This Row],[Unit Price]]*Table1[[#This Row],[Quantity]]</f>
        <v>600</v>
      </c>
      <c r="N717" s="2">
        <v>0.08</v>
      </c>
      <c r="O717" s="1">
        <f>Table1[[#This Row],[Gross Value]]*(1-Table1[[#This Row],[Discount]])</f>
        <v>552</v>
      </c>
      <c r="P717" s="2">
        <v>0.2</v>
      </c>
      <c r="Q717" s="1">
        <f>Table1[[#This Row],[Revenue]]*Table1[[#This Row],[VAT Rate]]</f>
        <v>110.4</v>
      </c>
      <c r="R717" s="1">
        <f>Table1[[#This Row],[Revenue]]+Table1[[#This Row],[VAT Charged]]</f>
        <v>662.4</v>
      </c>
      <c r="S717" s="1" cm="1">
        <f t="array" ref="S717">_xlfn.SWITCH(Table1[[#This Row],[Product ID]],"P001",140,"P002",80,"P003",72,"P004",30,"P005",110,"P006",24,"P007",14,"P008",12,"P009",115,"P010",360)</f>
        <v>110</v>
      </c>
      <c r="T717" s="1" cm="1">
        <f t="array" ref="T717">(_xlfn.SWITCH(Table1[[#This Row],[Product ID]],"P001",140,"P002",80,"P003",72,"P004",30,"P005",110,"P006",24,"P007",14,"P008",12,"P009",115,"P010",360))*Table1[[#This Row],[Quantity]]</f>
        <v>330</v>
      </c>
      <c r="U717" s="1" cm="1">
        <f t="array" ref="U717">_xlfn.SWITCH(Table1[[#This Row],[Product ID]],"P001",15,"P002",0,"P003",8,"P004",8,"P005",0,"P006",7,"P007",7,"P008",6,"P009",45,"P010",60)</f>
        <v>0</v>
      </c>
      <c r="V717" s="1">
        <f>Table1[[#This Row],[Shipping per Unit]]*Table1[[#This Row],[Quantity]]</f>
        <v>0</v>
      </c>
      <c r="W717" s="2">
        <f>IF(Table1[[#This Row],[Total Shipping]]&gt;0.1,0.2,0)</f>
        <v>0</v>
      </c>
      <c r="X717" s="4">
        <f>Table1[[#This Row],[Total Shipping]]*Table1[[#This Row],[VAT on Shipping]]</f>
        <v>0</v>
      </c>
      <c r="Y717" s="1">
        <f>Table1[[#This Row],[Revenue]]-Table1[[#This Row],[COGS]]</f>
        <v>222</v>
      </c>
      <c r="Z717" s="3">
        <f>(Table1[[#This Row],[Profit]]/Table1[[#This Row],[Revenue]])</f>
        <v>0.40217391304347827</v>
      </c>
      <c r="AA717" s="1">
        <f>Table1[[#This Row],[Profit]]-Table1[[#This Row],[Total Shipping]]</f>
        <v>222</v>
      </c>
      <c r="AB717" s="3">
        <f>Table1[[#This Row],[Operating Profit]]/Table1[[#This Row],[Revenue]]</f>
        <v>0.40217391304347827</v>
      </c>
    </row>
    <row r="718" spans="1:28" x14ac:dyDescent="0.25">
      <c r="A718" t="s">
        <v>327</v>
      </c>
      <c r="B718">
        <v>844</v>
      </c>
      <c r="C718" t="s">
        <v>56</v>
      </c>
      <c r="D718" t="s">
        <v>53</v>
      </c>
      <c r="E718" t="s">
        <v>31</v>
      </c>
      <c r="F718" t="s">
        <v>98</v>
      </c>
      <c r="G718" t="str" cm="1">
        <f t="array" ref="G718">_xlfn.SWITCH(F718,"Acme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718" t="s">
        <v>58</v>
      </c>
      <c r="I718" t="s">
        <v>42</v>
      </c>
      <c r="J718" t="str" cm="1">
        <f t="array" ref="J718">_xlfn.SWITCH(I718,"P001","Laptop","P002","Server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18" s="1" cm="1">
        <f t="array" ref="K718">_xlfn.SWITCH(Table1[[#This Row],[Product ID]],"P001",220,"P002",150,"P003",130,"P004",70,"P005",200,"P006",40,"P007",25,"P008",20,"P009",190,"P010",530)</f>
        <v>40</v>
      </c>
      <c r="L718">
        <v>11</v>
      </c>
      <c r="M718" s="1">
        <f>Table1[[#This Row],[Unit Price]]*Table1[[#This Row],[Quantity]]</f>
        <v>440</v>
      </c>
      <c r="N718" s="2">
        <v>0.1</v>
      </c>
      <c r="O718" s="1">
        <f>Table1[[#This Row],[Gross Value]]*(1-Table1[[#This Row],[Discount]])</f>
        <v>396</v>
      </c>
      <c r="P718" s="2">
        <v>0.2</v>
      </c>
      <c r="Q718" s="1">
        <f>Table1[[#This Row],[Revenue]]*Table1[[#This Row],[VAT Rate]]</f>
        <v>79.2</v>
      </c>
      <c r="R718" s="1">
        <f>Table1[[#This Row],[Revenue]]+Table1[[#This Row],[VAT Charged]]</f>
        <v>475.2</v>
      </c>
      <c r="S718" s="1" cm="1">
        <f t="array" ref="S718">_xlfn.SWITCH(Table1[[#This Row],[Product ID]],"P001",140,"P002",80,"P003",72,"P004",30,"P005",110,"P006",24,"P007",14,"P008",12,"P009",115,"P010",360)</f>
        <v>24</v>
      </c>
      <c r="T718" s="1" cm="1">
        <f t="array" ref="T718">(_xlfn.SWITCH(Table1[[#This Row],[Product ID]],"P001",140,"P002",80,"P003",72,"P004",30,"P005",110,"P006",24,"P007",14,"P008",12,"P009",115,"P010",360))*Table1[[#This Row],[Quantity]]</f>
        <v>264</v>
      </c>
      <c r="U718" s="1" cm="1">
        <f t="array" ref="U718">_xlfn.SWITCH(Table1[[#This Row],[Product ID]],"P001",15,"P002",0,"P003",8,"P004",8,"P005",0,"P006",7,"P007",7,"P008",6,"P009",45,"P010",60)</f>
        <v>7</v>
      </c>
      <c r="V718" s="1">
        <f>Table1[[#This Row],[Shipping per Unit]]*Table1[[#This Row],[Quantity]]</f>
        <v>77</v>
      </c>
      <c r="W718" s="2">
        <f>IF(Table1[[#This Row],[Total Shipping]]&gt;0.1,0.2,0)</f>
        <v>0.2</v>
      </c>
      <c r="X718" s="4">
        <f>Table1[[#This Row],[Total Shipping]]*Table1[[#This Row],[VAT on Shipping]]</f>
        <v>15.4</v>
      </c>
      <c r="Y718" s="1">
        <f>Table1[[#This Row],[Revenue]]-Table1[[#This Row],[COGS]]</f>
        <v>132</v>
      </c>
      <c r="Z718" s="3">
        <f>(Table1[[#This Row],[Profit]]/Table1[[#This Row],[Revenue]])</f>
        <v>0.33333333333333331</v>
      </c>
      <c r="AA718" s="1">
        <f>Table1[[#This Row],[Profit]]-Table1[[#This Row],[Total Shipping]]</f>
        <v>55</v>
      </c>
      <c r="AB718" s="3">
        <f>Table1[[#This Row],[Operating Profit]]/Table1[[#This Row],[Revenue]]</f>
        <v>0.1388888888888889</v>
      </c>
    </row>
    <row r="719" spans="1:28" x14ac:dyDescent="0.25">
      <c r="A719" t="s">
        <v>328</v>
      </c>
      <c r="B719">
        <v>440</v>
      </c>
      <c r="C719" t="s">
        <v>38</v>
      </c>
      <c r="D719" t="s">
        <v>48</v>
      </c>
      <c r="E719" t="s">
        <v>49</v>
      </c>
      <c r="F719" t="s">
        <v>90</v>
      </c>
      <c r="G719" t="str" cm="1">
        <f t="array" ref="G719">_xlfn.SWITCH(F719,"Acme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719" t="s">
        <v>33</v>
      </c>
      <c r="I719" t="s">
        <v>46</v>
      </c>
      <c r="J719" t="str" cm="1">
        <f t="array" ref="J719">_xlfn.SWITCH(I719,"P001","Laptop","P002","Server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719" s="1" cm="1">
        <f t="array" ref="K719">_xlfn.SWITCH(Table1[[#This Row],[Product ID]],"P001",220,"P002",150,"P003",130,"P004",70,"P005",200,"P006",40,"P007",25,"P008",20,"P009",190,"P010",530)</f>
        <v>530</v>
      </c>
      <c r="L719">
        <v>2</v>
      </c>
      <c r="M719" s="1">
        <f>Table1[[#This Row],[Unit Price]]*Table1[[#This Row],[Quantity]]</f>
        <v>1060</v>
      </c>
      <c r="N719" s="2">
        <v>0.08</v>
      </c>
      <c r="O719" s="1">
        <f>Table1[[#This Row],[Gross Value]]*(1-Table1[[#This Row],[Discount]])</f>
        <v>975.2</v>
      </c>
      <c r="P719" s="2">
        <v>0.2</v>
      </c>
      <c r="Q719" s="1">
        <f>Table1[[#This Row],[Revenue]]*Table1[[#This Row],[VAT Rate]]</f>
        <v>195.04000000000002</v>
      </c>
      <c r="R719" s="1">
        <f>Table1[[#This Row],[Revenue]]+Table1[[#This Row],[VAT Charged]]</f>
        <v>1170.24</v>
      </c>
      <c r="S719" s="1" cm="1">
        <f t="array" ref="S719">_xlfn.SWITCH(Table1[[#This Row],[Product ID]],"P001",140,"P002",80,"P003",72,"P004",30,"P005",110,"P006",24,"P007",14,"P008",12,"P009",115,"P010",360)</f>
        <v>360</v>
      </c>
      <c r="T719" s="1" cm="1">
        <f t="array" ref="T719">(_xlfn.SWITCH(Table1[[#This Row],[Product ID]],"P001",140,"P002",80,"P003",72,"P004",30,"P005",110,"P006",24,"P007",14,"P008",12,"P009",115,"P010",360))*Table1[[#This Row],[Quantity]]</f>
        <v>720</v>
      </c>
      <c r="U719" s="1" cm="1">
        <f t="array" ref="U719">_xlfn.SWITCH(Table1[[#This Row],[Product ID]],"P001",15,"P002",0,"P003",8,"P004",8,"P005",0,"P006",7,"P007",7,"P008",6,"P009",45,"P010",60)</f>
        <v>60</v>
      </c>
      <c r="V719" s="1">
        <f>Table1[[#This Row],[Shipping per Unit]]*Table1[[#This Row],[Quantity]]</f>
        <v>120</v>
      </c>
      <c r="W719" s="2">
        <f>IF(Table1[[#This Row],[Total Shipping]]&gt;0.1,0.2,0)</f>
        <v>0.2</v>
      </c>
      <c r="X719" s="4">
        <f>Table1[[#This Row],[Total Shipping]]*Table1[[#This Row],[VAT on Shipping]]</f>
        <v>24</v>
      </c>
      <c r="Y719" s="1">
        <f>Table1[[#This Row],[Revenue]]-Table1[[#This Row],[COGS]]</f>
        <v>255.20000000000005</v>
      </c>
      <c r="Z719" s="3">
        <f>(Table1[[#This Row],[Profit]]/Table1[[#This Row],[Revenue]])</f>
        <v>0.2616899097621001</v>
      </c>
      <c r="AA719" s="1">
        <f>Table1[[#This Row],[Profit]]-Table1[[#This Row],[Total Shipping]]</f>
        <v>135.20000000000005</v>
      </c>
      <c r="AB719" s="3">
        <f>Table1[[#This Row],[Operating Profit]]/Table1[[#This Row],[Revenue]]</f>
        <v>0.13863822805578346</v>
      </c>
    </row>
    <row r="720" spans="1:28" x14ac:dyDescent="0.25">
      <c r="A720" t="s">
        <v>328</v>
      </c>
      <c r="B720">
        <v>875</v>
      </c>
      <c r="C720" t="s">
        <v>38</v>
      </c>
      <c r="D720" t="s">
        <v>30</v>
      </c>
      <c r="E720" t="s">
        <v>31</v>
      </c>
      <c r="F720" t="s">
        <v>87</v>
      </c>
      <c r="G720" t="str" cm="1">
        <f t="array" ref="G720">_xlfn.SWITCH(F720,"Acme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720" t="s">
        <v>33</v>
      </c>
      <c r="I720" t="s">
        <v>55</v>
      </c>
      <c r="J720" t="str" cm="1">
        <f t="array" ref="J720">_xlfn.SWITCH(I720,"P001","Laptop","P002","Server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20" s="1" cm="1">
        <f t="array" ref="K720">_xlfn.SWITCH(Table1[[#This Row],[Product ID]],"P001",220,"P002",150,"P003",130,"P004",70,"P005",200,"P006",40,"P007",25,"P008",20,"P009",190,"P010",530)</f>
        <v>70</v>
      </c>
      <c r="L720">
        <v>10</v>
      </c>
      <c r="M720" s="1">
        <f>Table1[[#This Row],[Unit Price]]*Table1[[#This Row],[Quantity]]</f>
        <v>700</v>
      </c>
      <c r="N720" s="2">
        <v>0.1</v>
      </c>
      <c r="O720" s="1">
        <f>Table1[[#This Row],[Gross Value]]*(1-Table1[[#This Row],[Discount]])</f>
        <v>630</v>
      </c>
      <c r="P720" s="2">
        <v>0.2</v>
      </c>
      <c r="Q720" s="1">
        <f>Table1[[#This Row],[Revenue]]*Table1[[#This Row],[VAT Rate]]</f>
        <v>126</v>
      </c>
      <c r="R720" s="1">
        <f>Table1[[#This Row],[Revenue]]+Table1[[#This Row],[VAT Charged]]</f>
        <v>756</v>
      </c>
      <c r="S720" s="1" cm="1">
        <f t="array" ref="S720">_xlfn.SWITCH(Table1[[#This Row],[Product ID]],"P001",140,"P002",80,"P003",72,"P004",30,"P005",110,"P006",24,"P007",14,"P008",12,"P009",115,"P010",360)</f>
        <v>30</v>
      </c>
      <c r="T720" s="1" cm="1">
        <f t="array" ref="T720">(_xlfn.SWITCH(Table1[[#This Row],[Product ID]],"P001",140,"P002",80,"P003",72,"P004",30,"P005",110,"P006",24,"P007",14,"P008",12,"P009",115,"P010",360))*Table1[[#This Row],[Quantity]]</f>
        <v>300</v>
      </c>
      <c r="U720" s="1" cm="1">
        <f t="array" ref="U720">_xlfn.SWITCH(Table1[[#This Row],[Product ID]],"P001",15,"P002",0,"P003",8,"P004",8,"P005",0,"P006",7,"P007",7,"P008",6,"P009",45,"P010",60)</f>
        <v>8</v>
      </c>
      <c r="V720" s="1">
        <f>Table1[[#This Row],[Shipping per Unit]]*Table1[[#This Row],[Quantity]]</f>
        <v>80</v>
      </c>
      <c r="W720" s="2">
        <f>IF(Table1[[#This Row],[Total Shipping]]&gt;0.1,0.2,0)</f>
        <v>0.2</v>
      </c>
      <c r="X720" s="4">
        <f>Table1[[#This Row],[Total Shipping]]*Table1[[#This Row],[VAT on Shipping]]</f>
        <v>16</v>
      </c>
      <c r="Y720" s="1">
        <f>Table1[[#This Row],[Revenue]]-Table1[[#This Row],[COGS]]</f>
        <v>330</v>
      </c>
      <c r="Z720" s="3">
        <f>(Table1[[#This Row],[Profit]]/Table1[[#This Row],[Revenue]])</f>
        <v>0.52380952380952384</v>
      </c>
      <c r="AA720" s="1">
        <f>Table1[[#This Row],[Profit]]-Table1[[#This Row],[Total Shipping]]</f>
        <v>250</v>
      </c>
      <c r="AB720" s="3">
        <f>Table1[[#This Row],[Operating Profit]]/Table1[[#This Row],[Revenue]]</f>
        <v>0.3968253968253968</v>
      </c>
    </row>
    <row r="721" spans="1:28" x14ac:dyDescent="0.25">
      <c r="A721" t="s">
        <v>328</v>
      </c>
      <c r="B721">
        <v>975</v>
      </c>
      <c r="C721" t="s">
        <v>38</v>
      </c>
      <c r="D721" t="s">
        <v>53</v>
      </c>
      <c r="E721" t="s">
        <v>40</v>
      </c>
      <c r="F721" t="s">
        <v>74</v>
      </c>
      <c r="G721" t="str" cm="1">
        <f t="array" ref="G721">_xlfn.SWITCH(F721,"Acme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721" t="s">
        <v>45</v>
      </c>
      <c r="I721" t="s">
        <v>91</v>
      </c>
      <c r="J721" t="str" cm="1">
        <f t="array" ref="J721">_xlfn.SWITCH(I721,"P001","Laptop","P002","Server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721" s="1" cm="1">
        <f t="array" ref="K721">_xlfn.SWITCH(Table1[[#This Row],[Product ID]],"P001",220,"P002",150,"P003",130,"P004",70,"P005",200,"P006",40,"P007",25,"P008",20,"P009",190,"P010",530)</f>
        <v>190</v>
      </c>
      <c r="L721">
        <v>17</v>
      </c>
      <c r="M721" s="1">
        <f>Table1[[#This Row],[Unit Price]]*Table1[[#This Row],[Quantity]]</f>
        <v>3230</v>
      </c>
      <c r="N721" s="2">
        <v>0.05</v>
      </c>
      <c r="O721" s="1">
        <f>Table1[[#This Row],[Gross Value]]*(1-Table1[[#This Row],[Discount]])</f>
        <v>3068.5</v>
      </c>
      <c r="P721" s="2">
        <v>0.2</v>
      </c>
      <c r="Q721" s="1">
        <f>Table1[[#This Row],[Revenue]]*Table1[[#This Row],[VAT Rate]]</f>
        <v>613.70000000000005</v>
      </c>
      <c r="R721" s="1">
        <f>Table1[[#This Row],[Revenue]]+Table1[[#This Row],[VAT Charged]]</f>
        <v>3682.2</v>
      </c>
      <c r="S721" s="1" cm="1">
        <f t="array" ref="S721">_xlfn.SWITCH(Table1[[#This Row],[Product ID]],"P001",140,"P002",80,"P003",72,"P004",30,"P005",110,"P006",24,"P007",14,"P008",12,"P009",115,"P010",360)</f>
        <v>115</v>
      </c>
      <c r="T721" s="1" cm="1">
        <f t="array" ref="T721">(_xlfn.SWITCH(Table1[[#This Row],[Product ID]],"P001",140,"P002",80,"P003",72,"P004",30,"P005",110,"P006",24,"P007",14,"P008",12,"P009",115,"P010",360))*Table1[[#This Row],[Quantity]]</f>
        <v>1955</v>
      </c>
      <c r="U721" s="1" cm="1">
        <f t="array" ref="U721">_xlfn.SWITCH(Table1[[#This Row],[Product ID]],"P001",15,"P002",0,"P003",8,"P004",8,"P005",0,"P006",7,"P007",7,"P008",6,"P009",45,"P010",60)</f>
        <v>45</v>
      </c>
      <c r="V721" s="1">
        <f>Table1[[#This Row],[Shipping per Unit]]*Table1[[#This Row],[Quantity]]</f>
        <v>765</v>
      </c>
      <c r="W721" s="2">
        <f>IF(Table1[[#This Row],[Total Shipping]]&gt;0.1,0.2,0)</f>
        <v>0.2</v>
      </c>
      <c r="X721" s="4">
        <f>Table1[[#This Row],[Total Shipping]]*Table1[[#This Row],[VAT on Shipping]]</f>
        <v>153</v>
      </c>
      <c r="Y721" s="1">
        <f>Table1[[#This Row],[Revenue]]-Table1[[#This Row],[COGS]]</f>
        <v>1113.5</v>
      </c>
      <c r="Z721" s="3">
        <f>(Table1[[#This Row],[Profit]]/Table1[[#This Row],[Revenue]])</f>
        <v>0.36288088642659277</v>
      </c>
      <c r="AA721" s="1">
        <f>Table1[[#This Row],[Profit]]-Table1[[#This Row],[Total Shipping]]</f>
        <v>348.5</v>
      </c>
      <c r="AB721" s="3">
        <f>Table1[[#This Row],[Operating Profit]]/Table1[[#This Row],[Revenue]]</f>
        <v>0.11357340720221606</v>
      </c>
    </row>
    <row r="722" spans="1:28" x14ac:dyDescent="0.25">
      <c r="A722" t="s">
        <v>329</v>
      </c>
      <c r="B722">
        <v>891</v>
      </c>
      <c r="C722" t="s">
        <v>38</v>
      </c>
      <c r="D722" t="s">
        <v>63</v>
      </c>
      <c r="E722" t="s">
        <v>49</v>
      </c>
      <c r="F722" t="s">
        <v>86</v>
      </c>
      <c r="G722" t="str" cm="1">
        <f t="array" ref="G722">_xlfn.SWITCH(F722,"Acme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722" t="s">
        <v>33</v>
      </c>
      <c r="I722" t="s">
        <v>42</v>
      </c>
      <c r="J722" t="str" cm="1">
        <f t="array" ref="J722">_xlfn.SWITCH(I722,"P001","Laptop","P002","Server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22" s="1" cm="1">
        <f t="array" ref="K722">_xlfn.SWITCH(Table1[[#This Row],[Product ID]],"P001",220,"P002",150,"P003",130,"P004",70,"P005",200,"P006",40,"P007",25,"P008",20,"P009",190,"P010",530)</f>
        <v>40</v>
      </c>
      <c r="L722">
        <v>5</v>
      </c>
      <c r="M722" s="1">
        <f>Table1[[#This Row],[Unit Price]]*Table1[[#This Row],[Quantity]]</f>
        <v>200</v>
      </c>
      <c r="N722" s="2">
        <v>0.09</v>
      </c>
      <c r="O722" s="1">
        <f>Table1[[#This Row],[Gross Value]]*(1-Table1[[#This Row],[Discount]])</f>
        <v>182</v>
      </c>
      <c r="P722" s="2">
        <v>0.2</v>
      </c>
      <c r="Q722" s="1">
        <f>Table1[[#This Row],[Revenue]]*Table1[[#This Row],[VAT Rate]]</f>
        <v>36.4</v>
      </c>
      <c r="R722" s="1">
        <f>Table1[[#This Row],[Revenue]]+Table1[[#This Row],[VAT Charged]]</f>
        <v>218.4</v>
      </c>
      <c r="S722" s="1" cm="1">
        <f t="array" ref="S722">_xlfn.SWITCH(Table1[[#This Row],[Product ID]],"P001",140,"P002",80,"P003",72,"P004",30,"P005",110,"P006",24,"P007",14,"P008",12,"P009",115,"P010",360)</f>
        <v>24</v>
      </c>
      <c r="T722" s="1" cm="1">
        <f t="array" ref="T722">(_xlfn.SWITCH(Table1[[#This Row],[Product ID]],"P001",140,"P002",80,"P003",72,"P004",30,"P005",110,"P006",24,"P007",14,"P008",12,"P009",115,"P010",360))*Table1[[#This Row],[Quantity]]</f>
        <v>120</v>
      </c>
      <c r="U722" s="1" cm="1">
        <f t="array" ref="U722">_xlfn.SWITCH(Table1[[#This Row],[Product ID]],"P001",15,"P002",0,"P003",8,"P004",8,"P005",0,"P006",7,"P007",7,"P008",6,"P009",45,"P010",60)</f>
        <v>7</v>
      </c>
      <c r="V722" s="1">
        <f>Table1[[#This Row],[Shipping per Unit]]*Table1[[#This Row],[Quantity]]</f>
        <v>35</v>
      </c>
      <c r="W722" s="2">
        <f>IF(Table1[[#This Row],[Total Shipping]]&gt;0.1,0.2,0)</f>
        <v>0.2</v>
      </c>
      <c r="X722" s="4">
        <f>Table1[[#This Row],[Total Shipping]]*Table1[[#This Row],[VAT on Shipping]]</f>
        <v>7</v>
      </c>
      <c r="Y722" s="1">
        <f>Table1[[#This Row],[Revenue]]-Table1[[#This Row],[COGS]]</f>
        <v>62</v>
      </c>
      <c r="Z722" s="3">
        <f>(Table1[[#This Row],[Profit]]/Table1[[#This Row],[Revenue]])</f>
        <v>0.34065934065934067</v>
      </c>
      <c r="AA722" s="1">
        <f>Table1[[#This Row],[Profit]]-Table1[[#This Row],[Total Shipping]]</f>
        <v>27</v>
      </c>
      <c r="AB722" s="3">
        <f>Table1[[#This Row],[Operating Profit]]/Table1[[#This Row],[Revenue]]</f>
        <v>0.14835164835164835</v>
      </c>
    </row>
    <row r="723" spans="1:28" x14ac:dyDescent="0.25">
      <c r="A723" t="s">
        <v>329</v>
      </c>
      <c r="B723">
        <v>953</v>
      </c>
      <c r="C723" t="s">
        <v>38</v>
      </c>
      <c r="D723" t="s">
        <v>53</v>
      </c>
      <c r="E723" t="s">
        <v>49</v>
      </c>
      <c r="F723" t="s">
        <v>90</v>
      </c>
      <c r="G723" t="str" cm="1">
        <f t="array" ref="G723">_xlfn.SWITCH(F723,"Acme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723" t="s">
        <v>45</v>
      </c>
      <c r="I723" t="s">
        <v>42</v>
      </c>
      <c r="J723" t="str" cm="1">
        <f t="array" ref="J723">_xlfn.SWITCH(I723,"P001","Laptop","P002","Server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23" s="1" cm="1">
        <f t="array" ref="K723">_xlfn.SWITCH(Table1[[#This Row],[Product ID]],"P001",220,"P002",150,"P003",130,"P004",70,"P005",200,"P006",40,"P007",25,"P008",20,"P009",190,"P010",530)</f>
        <v>40</v>
      </c>
      <c r="L723">
        <v>17</v>
      </c>
      <c r="M723" s="1">
        <f>Table1[[#This Row],[Unit Price]]*Table1[[#This Row],[Quantity]]</f>
        <v>680</v>
      </c>
      <c r="N723" s="2">
        <v>0.09</v>
      </c>
      <c r="O723" s="1">
        <f>Table1[[#This Row],[Gross Value]]*(1-Table1[[#This Row],[Discount]])</f>
        <v>618.80000000000007</v>
      </c>
      <c r="P723" s="2">
        <v>0.2</v>
      </c>
      <c r="Q723" s="1">
        <f>Table1[[#This Row],[Revenue]]*Table1[[#This Row],[VAT Rate]]</f>
        <v>123.76000000000002</v>
      </c>
      <c r="R723" s="1">
        <f>Table1[[#This Row],[Revenue]]+Table1[[#This Row],[VAT Charged]]</f>
        <v>742.56000000000006</v>
      </c>
      <c r="S723" s="1" cm="1">
        <f t="array" ref="S723">_xlfn.SWITCH(Table1[[#This Row],[Product ID]],"P001",140,"P002",80,"P003",72,"P004",30,"P005",110,"P006",24,"P007",14,"P008",12,"P009",115,"P010",360)</f>
        <v>24</v>
      </c>
      <c r="T723" s="1" cm="1">
        <f t="array" ref="T723">(_xlfn.SWITCH(Table1[[#This Row],[Product ID]],"P001",140,"P002",80,"P003",72,"P004",30,"P005",110,"P006",24,"P007",14,"P008",12,"P009",115,"P010",360))*Table1[[#This Row],[Quantity]]</f>
        <v>408</v>
      </c>
      <c r="U723" s="1" cm="1">
        <f t="array" ref="U723">_xlfn.SWITCH(Table1[[#This Row],[Product ID]],"P001",15,"P002",0,"P003",8,"P004",8,"P005",0,"P006",7,"P007",7,"P008",6,"P009",45,"P010",60)</f>
        <v>7</v>
      </c>
      <c r="V723" s="1">
        <f>Table1[[#This Row],[Shipping per Unit]]*Table1[[#This Row],[Quantity]]</f>
        <v>119</v>
      </c>
      <c r="W723" s="2">
        <f>IF(Table1[[#This Row],[Total Shipping]]&gt;0.1,0.2,0)</f>
        <v>0.2</v>
      </c>
      <c r="X723" s="4">
        <f>Table1[[#This Row],[Total Shipping]]*Table1[[#This Row],[VAT on Shipping]]</f>
        <v>23.8</v>
      </c>
      <c r="Y723" s="1">
        <f>Table1[[#This Row],[Revenue]]-Table1[[#This Row],[COGS]]</f>
        <v>210.80000000000007</v>
      </c>
      <c r="Z723" s="3">
        <f>(Table1[[#This Row],[Profit]]/Table1[[#This Row],[Revenue]])</f>
        <v>0.34065934065934073</v>
      </c>
      <c r="AA723" s="1">
        <f>Table1[[#This Row],[Profit]]-Table1[[#This Row],[Total Shipping]]</f>
        <v>91.800000000000068</v>
      </c>
      <c r="AB723" s="3">
        <f>Table1[[#This Row],[Operating Profit]]/Table1[[#This Row],[Revenue]]</f>
        <v>0.14835164835164844</v>
      </c>
    </row>
    <row r="724" spans="1:28" x14ac:dyDescent="0.25">
      <c r="A724" t="s">
        <v>329</v>
      </c>
      <c r="B724">
        <v>989</v>
      </c>
      <c r="C724" t="s">
        <v>29</v>
      </c>
      <c r="D724" t="s">
        <v>63</v>
      </c>
      <c r="E724" t="s">
        <v>31</v>
      </c>
      <c r="F724" t="s">
        <v>59</v>
      </c>
      <c r="G724" t="str" cm="1">
        <f t="array" ref="G724">_xlfn.SWITCH(F724,"Acme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24" t="s">
        <v>45</v>
      </c>
      <c r="I724" t="s">
        <v>55</v>
      </c>
      <c r="J724" t="str" cm="1">
        <f t="array" ref="J724">_xlfn.SWITCH(I724,"P001","Laptop","P002","Server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24" s="1" cm="1">
        <f t="array" ref="K724">_xlfn.SWITCH(Table1[[#This Row],[Product ID]],"P001",220,"P002",150,"P003",130,"P004",70,"P005",200,"P006",40,"P007",25,"P008",20,"P009",190,"P010",530)</f>
        <v>70</v>
      </c>
      <c r="L724">
        <v>18</v>
      </c>
      <c r="M724" s="1">
        <f>Table1[[#This Row],[Unit Price]]*Table1[[#This Row],[Quantity]]</f>
        <v>1260</v>
      </c>
      <c r="N724" s="2">
        <v>0.05</v>
      </c>
      <c r="O724" s="1">
        <f>Table1[[#This Row],[Gross Value]]*(1-Table1[[#This Row],[Discount]])</f>
        <v>1197</v>
      </c>
      <c r="P724" s="2">
        <v>0.2</v>
      </c>
      <c r="Q724" s="1">
        <f>Table1[[#This Row],[Revenue]]*Table1[[#This Row],[VAT Rate]]</f>
        <v>239.4</v>
      </c>
      <c r="R724" s="1">
        <f>Table1[[#This Row],[Revenue]]+Table1[[#This Row],[VAT Charged]]</f>
        <v>1436.4</v>
      </c>
      <c r="S724" s="1" cm="1">
        <f t="array" ref="S724">_xlfn.SWITCH(Table1[[#This Row],[Product ID]],"P001",140,"P002",80,"P003",72,"P004",30,"P005",110,"P006",24,"P007",14,"P008",12,"P009",115,"P010",360)</f>
        <v>30</v>
      </c>
      <c r="T724" s="1" cm="1">
        <f t="array" ref="T724">(_xlfn.SWITCH(Table1[[#This Row],[Product ID]],"P001",140,"P002",80,"P003",72,"P004",30,"P005",110,"P006",24,"P007",14,"P008",12,"P009",115,"P010",360))*Table1[[#This Row],[Quantity]]</f>
        <v>540</v>
      </c>
      <c r="U724" s="1" cm="1">
        <f t="array" ref="U724">_xlfn.SWITCH(Table1[[#This Row],[Product ID]],"P001",15,"P002",0,"P003",8,"P004",8,"P005",0,"P006",7,"P007",7,"P008",6,"P009",45,"P010",60)</f>
        <v>8</v>
      </c>
      <c r="V724" s="1">
        <f>Table1[[#This Row],[Shipping per Unit]]*Table1[[#This Row],[Quantity]]</f>
        <v>144</v>
      </c>
      <c r="W724" s="2">
        <f>IF(Table1[[#This Row],[Total Shipping]]&gt;0.1,0.2,0)</f>
        <v>0.2</v>
      </c>
      <c r="X724" s="4">
        <f>Table1[[#This Row],[Total Shipping]]*Table1[[#This Row],[VAT on Shipping]]</f>
        <v>28.8</v>
      </c>
      <c r="Y724" s="1">
        <f>Table1[[#This Row],[Revenue]]-Table1[[#This Row],[COGS]]</f>
        <v>657</v>
      </c>
      <c r="Z724" s="3">
        <f>(Table1[[#This Row],[Profit]]/Table1[[#This Row],[Revenue]])</f>
        <v>0.54887218045112784</v>
      </c>
      <c r="AA724" s="1">
        <f>Table1[[#This Row],[Profit]]-Table1[[#This Row],[Total Shipping]]</f>
        <v>513</v>
      </c>
      <c r="AB724" s="3">
        <f>Table1[[#This Row],[Operating Profit]]/Table1[[#This Row],[Revenue]]</f>
        <v>0.42857142857142855</v>
      </c>
    </row>
    <row r="725" spans="1:28" x14ac:dyDescent="0.25">
      <c r="A725" t="s">
        <v>330</v>
      </c>
      <c r="B725">
        <v>63</v>
      </c>
      <c r="C725" t="s">
        <v>83</v>
      </c>
      <c r="D725" t="s">
        <v>30</v>
      </c>
      <c r="E725" t="s">
        <v>49</v>
      </c>
      <c r="F725" t="s">
        <v>102</v>
      </c>
      <c r="G725" t="str" cm="1">
        <f t="array" ref="G725">_xlfn.SWITCH(F725,"Acme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725" t="s">
        <v>33</v>
      </c>
      <c r="I725" t="s">
        <v>34</v>
      </c>
      <c r="J725" t="str" cm="1">
        <f t="array" ref="J725">_xlfn.SWITCH(I725,"P001","Laptop","P002","Server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25" s="1" cm="1">
        <f t="array" ref="K725">_xlfn.SWITCH(Table1[[#This Row],[Product ID]],"P001",220,"P002",150,"P003",130,"P004",70,"P005",200,"P006",40,"P007",25,"P008",20,"P009",190,"P010",530)</f>
        <v>20</v>
      </c>
      <c r="L725">
        <v>20</v>
      </c>
      <c r="M725" s="1">
        <f>Table1[[#This Row],[Unit Price]]*Table1[[#This Row],[Quantity]]</f>
        <v>400</v>
      </c>
      <c r="N725" s="2">
        <v>0.02</v>
      </c>
      <c r="O725" s="1">
        <f>Table1[[#This Row],[Gross Value]]*(1-Table1[[#This Row],[Discount]])</f>
        <v>392</v>
      </c>
      <c r="P725" s="2">
        <v>0.2</v>
      </c>
      <c r="Q725" s="1">
        <f>Table1[[#This Row],[Revenue]]*Table1[[#This Row],[VAT Rate]]</f>
        <v>78.400000000000006</v>
      </c>
      <c r="R725" s="1">
        <f>Table1[[#This Row],[Revenue]]+Table1[[#This Row],[VAT Charged]]</f>
        <v>470.4</v>
      </c>
      <c r="S725" s="1" cm="1">
        <f t="array" ref="S725">_xlfn.SWITCH(Table1[[#This Row],[Product ID]],"P001",140,"P002",80,"P003",72,"P004",30,"P005",110,"P006",24,"P007",14,"P008",12,"P009",115,"P010",360)</f>
        <v>12</v>
      </c>
      <c r="T725" s="1" cm="1">
        <f t="array" ref="T725">(_xlfn.SWITCH(Table1[[#This Row],[Product ID]],"P001",140,"P002",80,"P003",72,"P004",30,"P005",110,"P006",24,"P007",14,"P008",12,"P009",115,"P010",360))*Table1[[#This Row],[Quantity]]</f>
        <v>240</v>
      </c>
      <c r="U725" s="1" cm="1">
        <f t="array" ref="U725">_xlfn.SWITCH(Table1[[#This Row],[Product ID]],"P001",15,"P002",0,"P003",8,"P004",8,"P005",0,"P006",7,"P007",7,"P008",6,"P009",45,"P010",60)</f>
        <v>6</v>
      </c>
      <c r="V725" s="1">
        <f>Table1[[#This Row],[Shipping per Unit]]*Table1[[#This Row],[Quantity]]</f>
        <v>120</v>
      </c>
      <c r="W725" s="2">
        <f>IF(Table1[[#This Row],[Total Shipping]]&gt;0.1,0.2,0)</f>
        <v>0.2</v>
      </c>
      <c r="X725" s="4">
        <f>Table1[[#This Row],[Total Shipping]]*Table1[[#This Row],[VAT on Shipping]]</f>
        <v>24</v>
      </c>
      <c r="Y725" s="1">
        <f>Table1[[#This Row],[Revenue]]-Table1[[#This Row],[COGS]]</f>
        <v>152</v>
      </c>
      <c r="Z725" s="3">
        <f>(Table1[[#This Row],[Profit]]/Table1[[#This Row],[Revenue]])</f>
        <v>0.38775510204081631</v>
      </c>
      <c r="AA725" s="1">
        <f>Table1[[#This Row],[Profit]]-Table1[[#This Row],[Total Shipping]]</f>
        <v>32</v>
      </c>
      <c r="AB725" s="3">
        <f>Table1[[#This Row],[Operating Profit]]/Table1[[#This Row],[Revenue]]</f>
        <v>8.1632653061224483E-2</v>
      </c>
    </row>
    <row r="726" spans="1:28" x14ac:dyDescent="0.25">
      <c r="A726" t="s">
        <v>330</v>
      </c>
      <c r="B726">
        <v>741</v>
      </c>
      <c r="C726" t="s">
        <v>56</v>
      </c>
      <c r="D726" t="s">
        <v>39</v>
      </c>
      <c r="E726" t="s">
        <v>49</v>
      </c>
      <c r="F726" t="s">
        <v>76</v>
      </c>
      <c r="G726" t="str" cm="1">
        <f t="array" ref="G726">_xlfn.SWITCH(F726,"Acme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726" t="s">
        <v>58</v>
      </c>
      <c r="I726" t="s">
        <v>46</v>
      </c>
      <c r="J726" t="str" cm="1">
        <f t="array" ref="J726">_xlfn.SWITCH(I726,"P001","Laptop","P002","Server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726" s="1" cm="1">
        <f t="array" ref="K726">_xlfn.SWITCH(Table1[[#This Row],[Product ID]],"P001",220,"P002",150,"P003",130,"P004",70,"P005",200,"P006",40,"P007",25,"P008",20,"P009",190,"P010",530)</f>
        <v>530</v>
      </c>
      <c r="L726">
        <v>14</v>
      </c>
      <c r="M726" s="1">
        <f>Table1[[#This Row],[Unit Price]]*Table1[[#This Row],[Quantity]]</f>
        <v>7420</v>
      </c>
      <c r="N726" s="2">
        <v>0.05</v>
      </c>
      <c r="O726" s="1">
        <f>Table1[[#This Row],[Gross Value]]*(1-Table1[[#This Row],[Discount]])</f>
        <v>7049</v>
      </c>
      <c r="P726" s="2">
        <v>0.2</v>
      </c>
      <c r="Q726" s="1">
        <f>Table1[[#This Row],[Revenue]]*Table1[[#This Row],[VAT Rate]]</f>
        <v>1409.8000000000002</v>
      </c>
      <c r="R726" s="1">
        <f>Table1[[#This Row],[Revenue]]+Table1[[#This Row],[VAT Charged]]</f>
        <v>8458.7999999999993</v>
      </c>
      <c r="S726" s="1" cm="1">
        <f t="array" ref="S726">_xlfn.SWITCH(Table1[[#This Row],[Product ID]],"P001",140,"P002",80,"P003",72,"P004",30,"P005",110,"P006",24,"P007",14,"P008",12,"P009",115,"P010",360)</f>
        <v>360</v>
      </c>
      <c r="T726" s="1" cm="1">
        <f t="array" ref="T726">(_xlfn.SWITCH(Table1[[#This Row],[Product ID]],"P001",140,"P002",80,"P003",72,"P004",30,"P005",110,"P006",24,"P007",14,"P008",12,"P009",115,"P010",360))*Table1[[#This Row],[Quantity]]</f>
        <v>5040</v>
      </c>
      <c r="U726" s="1" cm="1">
        <f t="array" ref="U726">_xlfn.SWITCH(Table1[[#This Row],[Product ID]],"P001",15,"P002",0,"P003",8,"P004",8,"P005",0,"P006",7,"P007",7,"P008",6,"P009",45,"P010",60)</f>
        <v>60</v>
      </c>
      <c r="V726" s="1">
        <f>Table1[[#This Row],[Shipping per Unit]]*Table1[[#This Row],[Quantity]]</f>
        <v>840</v>
      </c>
      <c r="W726" s="2">
        <f>IF(Table1[[#This Row],[Total Shipping]]&gt;0.1,0.2,0)</f>
        <v>0.2</v>
      </c>
      <c r="X726" s="4">
        <f>Table1[[#This Row],[Total Shipping]]*Table1[[#This Row],[VAT on Shipping]]</f>
        <v>168</v>
      </c>
      <c r="Y726" s="1">
        <f>Table1[[#This Row],[Revenue]]-Table1[[#This Row],[COGS]]</f>
        <v>2009</v>
      </c>
      <c r="Z726" s="3">
        <f>(Table1[[#This Row],[Profit]]/Table1[[#This Row],[Revenue]])</f>
        <v>0.28500496524329694</v>
      </c>
      <c r="AA726" s="1">
        <f>Table1[[#This Row],[Profit]]-Table1[[#This Row],[Total Shipping]]</f>
        <v>1169</v>
      </c>
      <c r="AB726" s="3">
        <f>Table1[[#This Row],[Operating Profit]]/Table1[[#This Row],[Revenue]]</f>
        <v>0.16583912611717974</v>
      </c>
    </row>
    <row r="727" spans="1:28" x14ac:dyDescent="0.25">
      <c r="A727" t="s">
        <v>331</v>
      </c>
      <c r="B727">
        <v>281</v>
      </c>
      <c r="C727" t="s">
        <v>65</v>
      </c>
      <c r="D727" t="s">
        <v>39</v>
      </c>
      <c r="E727" t="s">
        <v>49</v>
      </c>
      <c r="F727" t="s">
        <v>76</v>
      </c>
      <c r="G727" t="str" cm="1">
        <f t="array" ref="G727">_xlfn.SWITCH(F727,"Acme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727" t="s">
        <v>58</v>
      </c>
      <c r="I727" t="s">
        <v>52</v>
      </c>
      <c r="J727" t="str" cm="1">
        <f t="array" ref="J727">_xlfn.SWITCH(I727,"P001","Laptop","P002","Server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727" s="1" cm="1">
        <f t="array" ref="K727">_xlfn.SWITCH(Table1[[#This Row],[Product ID]],"P001",220,"P002",150,"P003",130,"P004",70,"P005",200,"P006",40,"P007",25,"P008",20,"P009",190,"P010",530)</f>
        <v>130</v>
      </c>
      <c r="L727">
        <v>15</v>
      </c>
      <c r="M727" s="1">
        <f>Table1[[#This Row],[Unit Price]]*Table1[[#This Row],[Quantity]]</f>
        <v>1950</v>
      </c>
      <c r="N727" s="2">
        <v>0.03</v>
      </c>
      <c r="O727" s="1">
        <f>Table1[[#This Row],[Gross Value]]*(1-Table1[[#This Row],[Discount]])</f>
        <v>1891.5</v>
      </c>
      <c r="P727" s="2">
        <v>0.2</v>
      </c>
      <c r="Q727" s="1">
        <f>Table1[[#This Row],[Revenue]]*Table1[[#This Row],[VAT Rate]]</f>
        <v>378.3</v>
      </c>
      <c r="R727" s="1">
        <f>Table1[[#This Row],[Revenue]]+Table1[[#This Row],[VAT Charged]]</f>
        <v>2269.8000000000002</v>
      </c>
      <c r="S727" s="1" cm="1">
        <f t="array" ref="S727">_xlfn.SWITCH(Table1[[#This Row],[Product ID]],"P001",140,"P002",80,"P003",72,"P004",30,"P005",110,"P006",24,"P007",14,"P008",12,"P009",115,"P010",360)</f>
        <v>72</v>
      </c>
      <c r="T727" s="1" cm="1">
        <f t="array" ref="T727">(_xlfn.SWITCH(Table1[[#This Row],[Product ID]],"P001",140,"P002",80,"P003",72,"P004",30,"P005",110,"P006",24,"P007",14,"P008",12,"P009",115,"P010",360))*Table1[[#This Row],[Quantity]]</f>
        <v>1080</v>
      </c>
      <c r="U727" s="1" cm="1">
        <f t="array" ref="U727">_xlfn.SWITCH(Table1[[#This Row],[Product ID]],"P001",15,"P002",0,"P003",8,"P004",8,"P005",0,"P006",7,"P007",7,"P008",6,"P009",45,"P010",60)</f>
        <v>8</v>
      </c>
      <c r="V727" s="1">
        <f>Table1[[#This Row],[Shipping per Unit]]*Table1[[#This Row],[Quantity]]</f>
        <v>120</v>
      </c>
      <c r="W727" s="2">
        <f>IF(Table1[[#This Row],[Total Shipping]]&gt;0.1,0.2,0)</f>
        <v>0.2</v>
      </c>
      <c r="X727" s="4">
        <f>Table1[[#This Row],[Total Shipping]]*Table1[[#This Row],[VAT on Shipping]]</f>
        <v>24</v>
      </c>
      <c r="Y727" s="1">
        <f>Table1[[#This Row],[Revenue]]-Table1[[#This Row],[COGS]]</f>
        <v>811.5</v>
      </c>
      <c r="Z727" s="3">
        <f>(Table1[[#This Row],[Profit]]/Table1[[#This Row],[Revenue]])</f>
        <v>0.4290245836637589</v>
      </c>
      <c r="AA727" s="1">
        <f>Table1[[#This Row],[Profit]]-Table1[[#This Row],[Total Shipping]]</f>
        <v>691.5</v>
      </c>
      <c r="AB727" s="3">
        <f>Table1[[#This Row],[Operating Profit]]/Table1[[#This Row],[Revenue]]</f>
        <v>0.36558287073750989</v>
      </c>
    </row>
    <row r="728" spans="1:28" x14ac:dyDescent="0.25">
      <c r="A728" t="s">
        <v>332</v>
      </c>
      <c r="B728">
        <v>132</v>
      </c>
      <c r="C728" t="s">
        <v>35</v>
      </c>
      <c r="D728" t="s">
        <v>48</v>
      </c>
      <c r="E728" t="s">
        <v>31</v>
      </c>
      <c r="F728" t="s">
        <v>37</v>
      </c>
      <c r="G728" t="str" cm="1">
        <f t="array" ref="G728">_xlfn.SWITCH(F728,"Acme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728" t="s">
        <v>33</v>
      </c>
      <c r="I728" t="s">
        <v>42</v>
      </c>
      <c r="J728" t="str" cm="1">
        <f t="array" ref="J728">_xlfn.SWITCH(I728,"P001","Laptop","P002","Server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28" s="1" cm="1">
        <f t="array" ref="K728">_xlfn.SWITCH(Table1[[#This Row],[Product ID]],"P001",220,"P002",150,"P003",130,"P004",70,"P005",200,"P006",40,"P007",25,"P008",20,"P009",190,"P010",530)</f>
        <v>40</v>
      </c>
      <c r="L728">
        <v>5</v>
      </c>
      <c r="M728" s="1">
        <f>Table1[[#This Row],[Unit Price]]*Table1[[#This Row],[Quantity]]</f>
        <v>200</v>
      </c>
      <c r="N728" s="2">
        <v>0.05</v>
      </c>
      <c r="O728" s="1">
        <f>Table1[[#This Row],[Gross Value]]*(1-Table1[[#This Row],[Discount]])</f>
        <v>190</v>
      </c>
      <c r="P728" s="2">
        <v>0.2</v>
      </c>
      <c r="Q728" s="1">
        <f>Table1[[#This Row],[Revenue]]*Table1[[#This Row],[VAT Rate]]</f>
        <v>38</v>
      </c>
      <c r="R728" s="1">
        <f>Table1[[#This Row],[Revenue]]+Table1[[#This Row],[VAT Charged]]</f>
        <v>228</v>
      </c>
      <c r="S728" s="1" cm="1">
        <f t="array" ref="S728">_xlfn.SWITCH(Table1[[#This Row],[Product ID]],"P001",140,"P002",80,"P003",72,"P004",30,"P005",110,"P006",24,"P007",14,"P008",12,"P009",115,"P010",360)</f>
        <v>24</v>
      </c>
      <c r="T728" s="1" cm="1">
        <f t="array" ref="T728">(_xlfn.SWITCH(Table1[[#This Row],[Product ID]],"P001",140,"P002",80,"P003",72,"P004",30,"P005",110,"P006",24,"P007",14,"P008",12,"P009",115,"P010",360))*Table1[[#This Row],[Quantity]]</f>
        <v>120</v>
      </c>
      <c r="U728" s="1" cm="1">
        <f t="array" ref="U728">_xlfn.SWITCH(Table1[[#This Row],[Product ID]],"P001",15,"P002",0,"P003",8,"P004",8,"P005",0,"P006",7,"P007",7,"P008",6,"P009",45,"P010",60)</f>
        <v>7</v>
      </c>
      <c r="V728" s="1">
        <f>Table1[[#This Row],[Shipping per Unit]]*Table1[[#This Row],[Quantity]]</f>
        <v>35</v>
      </c>
      <c r="W728" s="2">
        <f>IF(Table1[[#This Row],[Total Shipping]]&gt;0.1,0.2,0)</f>
        <v>0.2</v>
      </c>
      <c r="X728" s="4">
        <f>Table1[[#This Row],[Total Shipping]]*Table1[[#This Row],[VAT on Shipping]]</f>
        <v>7</v>
      </c>
      <c r="Y728" s="1">
        <f>Table1[[#This Row],[Revenue]]-Table1[[#This Row],[COGS]]</f>
        <v>70</v>
      </c>
      <c r="Z728" s="3">
        <f>(Table1[[#This Row],[Profit]]/Table1[[#This Row],[Revenue]])</f>
        <v>0.36842105263157893</v>
      </c>
      <c r="AA728" s="1">
        <f>Table1[[#This Row],[Profit]]-Table1[[#This Row],[Total Shipping]]</f>
        <v>35</v>
      </c>
      <c r="AB728" s="3">
        <f>Table1[[#This Row],[Operating Profit]]/Table1[[#This Row],[Revenue]]</f>
        <v>0.18421052631578946</v>
      </c>
    </row>
    <row r="729" spans="1:28" x14ac:dyDescent="0.25">
      <c r="A729" t="s">
        <v>332</v>
      </c>
      <c r="B729">
        <v>666</v>
      </c>
      <c r="C729" t="s">
        <v>38</v>
      </c>
      <c r="D729" t="s">
        <v>48</v>
      </c>
      <c r="E729" t="s">
        <v>49</v>
      </c>
      <c r="F729" t="s">
        <v>54</v>
      </c>
      <c r="G729" t="str" cm="1">
        <f t="array" ref="G729">_xlfn.SWITCH(F729,"Acme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729" t="s">
        <v>45</v>
      </c>
      <c r="I729" t="s">
        <v>55</v>
      </c>
      <c r="J729" t="str" cm="1">
        <f t="array" ref="J729">_xlfn.SWITCH(I729,"P001","Laptop","P002","Server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29" s="1" cm="1">
        <f t="array" ref="K729">_xlfn.SWITCH(Table1[[#This Row],[Product ID]],"P001",220,"P002",150,"P003",130,"P004",70,"P005",200,"P006",40,"P007",25,"P008",20,"P009",190,"P010",530)</f>
        <v>70</v>
      </c>
      <c r="L729">
        <v>8</v>
      </c>
      <c r="M729" s="1">
        <f>Table1[[#This Row],[Unit Price]]*Table1[[#This Row],[Quantity]]</f>
        <v>560</v>
      </c>
      <c r="N729" s="2">
        <v>7.0000000000000007E-2</v>
      </c>
      <c r="O729" s="1">
        <f>Table1[[#This Row],[Gross Value]]*(1-Table1[[#This Row],[Discount]])</f>
        <v>520.79999999999995</v>
      </c>
      <c r="P729" s="2">
        <v>0.2</v>
      </c>
      <c r="Q729" s="1">
        <f>Table1[[#This Row],[Revenue]]*Table1[[#This Row],[VAT Rate]]</f>
        <v>104.16</v>
      </c>
      <c r="R729" s="1">
        <f>Table1[[#This Row],[Revenue]]+Table1[[#This Row],[VAT Charged]]</f>
        <v>624.95999999999992</v>
      </c>
      <c r="S729" s="1" cm="1">
        <f t="array" ref="S729">_xlfn.SWITCH(Table1[[#This Row],[Product ID]],"P001",140,"P002",80,"P003",72,"P004",30,"P005",110,"P006",24,"P007",14,"P008",12,"P009",115,"P010",360)</f>
        <v>30</v>
      </c>
      <c r="T729" s="1" cm="1">
        <f t="array" ref="T729">(_xlfn.SWITCH(Table1[[#This Row],[Product ID]],"P001",140,"P002",80,"P003",72,"P004",30,"P005",110,"P006",24,"P007",14,"P008",12,"P009",115,"P010",360))*Table1[[#This Row],[Quantity]]</f>
        <v>240</v>
      </c>
      <c r="U729" s="1" cm="1">
        <f t="array" ref="U729">_xlfn.SWITCH(Table1[[#This Row],[Product ID]],"P001",15,"P002",0,"P003",8,"P004",8,"P005",0,"P006",7,"P007",7,"P008",6,"P009",45,"P010",60)</f>
        <v>8</v>
      </c>
      <c r="V729" s="1">
        <f>Table1[[#This Row],[Shipping per Unit]]*Table1[[#This Row],[Quantity]]</f>
        <v>64</v>
      </c>
      <c r="W729" s="2">
        <f>IF(Table1[[#This Row],[Total Shipping]]&gt;0.1,0.2,0)</f>
        <v>0.2</v>
      </c>
      <c r="X729" s="4">
        <f>Table1[[#This Row],[Total Shipping]]*Table1[[#This Row],[VAT on Shipping]]</f>
        <v>12.8</v>
      </c>
      <c r="Y729" s="1">
        <f>Table1[[#This Row],[Revenue]]-Table1[[#This Row],[COGS]]</f>
        <v>280.79999999999995</v>
      </c>
      <c r="Z729" s="3">
        <f>(Table1[[#This Row],[Profit]]/Table1[[#This Row],[Revenue]])</f>
        <v>0.53917050691244239</v>
      </c>
      <c r="AA729" s="1">
        <f>Table1[[#This Row],[Profit]]-Table1[[#This Row],[Total Shipping]]</f>
        <v>216.79999999999995</v>
      </c>
      <c r="AB729" s="3">
        <f>Table1[[#This Row],[Operating Profit]]/Table1[[#This Row],[Revenue]]</f>
        <v>0.41628264208909366</v>
      </c>
    </row>
    <row r="730" spans="1:28" x14ac:dyDescent="0.25">
      <c r="A730" t="s">
        <v>332</v>
      </c>
      <c r="B730">
        <v>935</v>
      </c>
      <c r="C730" t="s">
        <v>56</v>
      </c>
      <c r="D730" t="s">
        <v>39</v>
      </c>
      <c r="E730" t="s">
        <v>49</v>
      </c>
      <c r="F730" t="s">
        <v>113</v>
      </c>
      <c r="G730" t="str" cm="1">
        <f t="array" ref="G730">_xlfn.SWITCH(F730,"Acme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730" t="s">
        <v>104</v>
      </c>
      <c r="I730" t="s">
        <v>55</v>
      </c>
      <c r="J730" t="str" cm="1">
        <f t="array" ref="J730">_xlfn.SWITCH(I730,"P001","Laptop","P002","Server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30" s="1" cm="1">
        <f t="array" ref="K730">_xlfn.SWITCH(Table1[[#This Row],[Product ID]],"P001",220,"P002",150,"P003",130,"P004",70,"P005",200,"P006",40,"P007",25,"P008",20,"P009",190,"P010",530)</f>
        <v>70</v>
      </c>
      <c r="L730">
        <v>6</v>
      </c>
      <c r="M730" s="1">
        <f>Table1[[#This Row],[Unit Price]]*Table1[[#This Row],[Quantity]]</f>
        <v>420</v>
      </c>
      <c r="N730" s="2">
        <v>0.12</v>
      </c>
      <c r="O730" s="1">
        <f>Table1[[#This Row],[Gross Value]]*(1-Table1[[#This Row],[Discount]])</f>
        <v>369.6</v>
      </c>
      <c r="P730" s="2">
        <v>0.2</v>
      </c>
      <c r="Q730" s="1">
        <f>Table1[[#This Row],[Revenue]]*Table1[[#This Row],[VAT Rate]]</f>
        <v>73.92</v>
      </c>
      <c r="R730" s="1">
        <f>Table1[[#This Row],[Revenue]]+Table1[[#This Row],[VAT Charged]]</f>
        <v>443.52000000000004</v>
      </c>
      <c r="S730" s="1" cm="1">
        <f t="array" ref="S730">_xlfn.SWITCH(Table1[[#This Row],[Product ID]],"P001",140,"P002",80,"P003",72,"P004",30,"P005",110,"P006",24,"P007",14,"P008",12,"P009",115,"P010",360)</f>
        <v>30</v>
      </c>
      <c r="T730" s="1" cm="1">
        <f t="array" ref="T730">(_xlfn.SWITCH(Table1[[#This Row],[Product ID]],"P001",140,"P002",80,"P003",72,"P004",30,"P005",110,"P006",24,"P007",14,"P008",12,"P009",115,"P010",360))*Table1[[#This Row],[Quantity]]</f>
        <v>180</v>
      </c>
      <c r="U730" s="1" cm="1">
        <f t="array" ref="U730">_xlfn.SWITCH(Table1[[#This Row],[Product ID]],"P001",15,"P002",0,"P003",8,"P004",8,"P005",0,"P006",7,"P007",7,"P008",6,"P009",45,"P010",60)</f>
        <v>8</v>
      </c>
      <c r="V730" s="1">
        <f>Table1[[#This Row],[Shipping per Unit]]*Table1[[#This Row],[Quantity]]</f>
        <v>48</v>
      </c>
      <c r="W730" s="2">
        <f>IF(Table1[[#This Row],[Total Shipping]]&gt;0.1,0.2,0)</f>
        <v>0.2</v>
      </c>
      <c r="X730" s="4">
        <f>Table1[[#This Row],[Total Shipping]]*Table1[[#This Row],[VAT on Shipping]]</f>
        <v>9.6000000000000014</v>
      </c>
      <c r="Y730" s="1">
        <f>Table1[[#This Row],[Revenue]]-Table1[[#This Row],[COGS]]</f>
        <v>189.60000000000002</v>
      </c>
      <c r="Z730" s="3">
        <f>(Table1[[#This Row],[Profit]]/Table1[[#This Row],[Revenue]])</f>
        <v>0.51298701298701299</v>
      </c>
      <c r="AA730" s="1">
        <f>Table1[[#This Row],[Profit]]-Table1[[#This Row],[Total Shipping]]</f>
        <v>141.60000000000002</v>
      </c>
      <c r="AB730" s="3">
        <f>Table1[[#This Row],[Operating Profit]]/Table1[[#This Row],[Revenue]]</f>
        <v>0.38311688311688313</v>
      </c>
    </row>
    <row r="731" spans="1:28" x14ac:dyDescent="0.25">
      <c r="A731" t="s">
        <v>333</v>
      </c>
      <c r="B731">
        <v>93</v>
      </c>
      <c r="C731" t="s">
        <v>35</v>
      </c>
      <c r="D731" t="s">
        <v>63</v>
      </c>
      <c r="E731" t="s">
        <v>40</v>
      </c>
      <c r="F731" t="s">
        <v>98</v>
      </c>
      <c r="G731" t="str" cm="1">
        <f t="array" ref="G731">_xlfn.SWITCH(F731,"Acme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731" t="s">
        <v>104</v>
      </c>
      <c r="I731" t="s">
        <v>68</v>
      </c>
      <c r="J731" t="str" cm="1">
        <f t="array" ref="J731">_xlfn.SWITCH(I731,"P001","Laptop","P002","Server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731" s="1" cm="1">
        <f t="array" ref="K731">_xlfn.SWITCH(Table1[[#This Row],[Product ID]],"P001",220,"P002",150,"P003",130,"P004",70,"P005",200,"P006",40,"P007",25,"P008",20,"P009",190,"P010",530)</f>
        <v>220</v>
      </c>
      <c r="L731">
        <v>8</v>
      </c>
      <c r="M731" s="1">
        <f>Table1[[#This Row],[Unit Price]]*Table1[[#This Row],[Quantity]]</f>
        <v>1760</v>
      </c>
      <c r="N731" s="2">
        <v>7.0000000000000007E-2</v>
      </c>
      <c r="O731" s="1">
        <f>Table1[[#This Row],[Gross Value]]*(1-Table1[[#This Row],[Discount]])</f>
        <v>1636.8</v>
      </c>
      <c r="P731" s="2">
        <v>0.2</v>
      </c>
      <c r="Q731" s="1">
        <f>Table1[[#This Row],[Revenue]]*Table1[[#This Row],[VAT Rate]]</f>
        <v>327.36</v>
      </c>
      <c r="R731" s="1">
        <f>Table1[[#This Row],[Revenue]]+Table1[[#This Row],[VAT Charged]]</f>
        <v>1964.1599999999999</v>
      </c>
      <c r="S731" s="1" cm="1">
        <f t="array" ref="S731">_xlfn.SWITCH(Table1[[#This Row],[Product ID]],"P001",140,"P002",80,"P003",72,"P004",30,"P005",110,"P006",24,"P007",14,"P008",12,"P009",115,"P010",360)</f>
        <v>140</v>
      </c>
      <c r="T731" s="1" cm="1">
        <f t="array" ref="T731">(_xlfn.SWITCH(Table1[[#This Row],[Product ID]],"P001",140,"P002",80,"P003",72,"P004",30,"P005",110,"P006",24,"P007",14,"P008",12,"P009",115,"P010",360))*Table1[[#This Row],[Quantity]]</f>
        <v>1120</v>
      </c>
      <c r="U731" s="1" cm="1">
        <f t="array" ref="U731">_xlfn.SWITCH(Table1[[#This Row],[Product ID]],"P001",15,"P002",0,"P003",8,"P004",8,"P005",0,"P006",7,"P007",7,"P008",6,"P009",45,"P010",60)</f>
        <v>15</v>
      </c>
      <c r="V731" s="1">
        <f>Table1[[#This Row],[Shipping per Unit]]*Table1[[#This Row],[Quantity]]</f>
        <v>120</v>
      </c>
      <c r="W731" s="2">
        <f>IF(Table1[[#This Row],[Total Shipping]]&gt;0.1,0.2,0)</f>
        <v>0.2</v>
      </c>
      <c r="X731" s="4">
        <f>Table1[[#This Row],[Total Shipping]]*Table1[[#This Row],[VAT on Shipping]]</f>
        <v>24</v>
      </c>
      <c r="Y731" s="1">
        <f>Table1[[#This Row],[Revenue]]-Table1[[#This Row],[COGS]]</f>
        <v>516.79999999999995</v>
      </c>
      <c r="Z731" s="3">
        <f>(Table1[[#This Row],[Profit]]/Table1[[#This Row],[Revenue]])</f>
        <v>0.31573802541544477</v>
      </c>
      <c r="AA731" s="1">
        <f>Table1[[#This Row],[Profit]]-Table1[[#This Row],[Total Shipping]]</f>
        <v>396.79999999999995</v>
      </c>
      <c r="AB731" s="3">
        <f>Table1[[#This Row],[Operating Profit]]/Table1[[#This Row],[Revenue]]</f>
        <v>0.2424242424242424</v>
      </c>
    </row>
    <row r="732" spans="1:28" x14ac:dyDescent="0.25">
      <c r="A732" t="s">
        <v>333</v>
      </c>
      <c r="B732">
        <v>656</v>
      </c>
      <c r="C732" t="s">
        <v>35</v>
      </c>
      <c r="D732" t="s">
        <v>30</v>
      </c>
      <c r="E732" t="s">
        <v>40</v>
      </c>
      <c r="F732" t="s">
        <v>119</v>
      </c>
      <c r="G732" t="str" cm="1">
        <f t="array" ref="G732">_xlfn.SWITCH(F732,"Acme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732" t="s">
        <v>51</v>
      </c>
      <c r="I732" t="s">
        <v>55</v>
      </c>
      <c r="J732" t="str" cm="1">
        <f t="array" ref="J732">_xlfn.SWITCH(I732,"P001","Laptop","P002","Server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32" s="1" cm="1">
        <f t="array" ref="K732">_xlfn.SWITCH(Table1[[#This Row],[Product ID]],"P001",220,"P002",150,"P003",130,"P004",70,"P005",200,"P006",40,"P007",25,"P008",20,"P009",190,"P010",530)</f>
        <v>70</v>
      </c>
      <c r="L732">
        <v>20</v>
      </c>
      <c r="M732" s="1">
        <f>Table1[[#This Row],[Unit Price]]*Table1[[#This Row],[Quantity]]</f>
        <v>1400</v>
      </c>
      <c r="N732" s="2">
        <v>0.12</v>
      </c>
      <c r="O732" s="1">
        <f>Table1[[#This Row],[Gross Value]]*(1-Table1[[#This Row],[Discount]])</f>
        <v>1232</v>
      </c>
      <c r="P732" s="2">
        <v>0.2</v>
      </c>
      <c r="Q732" s="1">
        <f>Table1[[#This Row],[Revenue]]*Table1[[#This Row],[VAT Rate]]</f>
        <v>246.4</v>
      </c>
      <c r="R732" s="1">
        <f>Table1[[#This Row],[Revenue]]+Table1[[#This Row],[VAT Charged]]</f>
        <v>1478.4</v>
      </c>
      <c r="S732" s="1" cm="1">
        <f t="array" ref="S732">_xlfn.SWITCH(Table1[[#This Row],[Product ID]],"P001",140,"P002",80,"P003",72,"P004",30,"P005",110,"P006",24,"P007",14,"P008",12,"P009",115,"P010",360)</f>
        <v>30</v>
      </c>
      <c r="T732" s="1" cm="1">
        <f t="array" ref="T732">(_xlfn.SWITCH(Table1[[#This Row],[Product ID]],"P001",140,"P002",80,"P003",72,"P004",30,"P005",110,"P006",24,"P007",14,"P008",12,"P009",115,"P010",360))*Table1[[#This Row],[Quantity]]</f>
        <v>600</v>
      </c>
      <c r="U732" s="1" cm="1">
        <f t="array" ref="U732">_xlfn.SWITCH(Table1[[#This Row],[Product ID]],"P001",15,"P002",0,"P003",8,"P004",8,"P005",0,"P006",7,"P007",7,"P008",6,"P009",45,"P010",60)</f>
        <v>8</v>
      </c>
      <c r="V732" s="1">
        <f>Table1[[#This Row],[Shipping per Unit]]*Table1[[#This Row],[Quantity]]</f>
        <v>160</v>
      </c>
      <c r="W732" s="2">
        <f>IF(Table1[[#This Row],[Total Shipping]]&gt;0.1,0.2,0)</f>
        <v>0.2</v>
      </c>
      <c r="X732" s="4">
        <f>Table1[[#This Row],[Total Shipping]]*Table1[[#This Row],[VAT on Shipping]]</f>
        <v>32</v>
      </c>
      <c r="Y732" s="1">
        <f>Table1[[#This Row],[Revenue]]-Table1[[#This Row],[COGS]]</f>
        <v>632</v>
      </c>
      <c r="Z732" s="3">
        <f>(Table1[[#This Row],[Profit]]/Table1[[#This Row],[Revenue]])</f>
        <v>0.51298701298701299</v>
      </c>
      <c r="AA732" s="1">
        <f>Table1[[#This Row],[Profit]]-Table1[[#This Row],[Total Shipping]]</f>
        <v>472</v>
      </c>
      <c r="AB732" s="3">
        <f>Table1[[#This Row],[Operating Profit]]/Table1[[#This Row],[Revenue]]</f>
        <v>0.38311688311688313</v>
      </c>
    </row>
    <row r="733" spans="1:28" x14ac:dyDescent="0.25">
      <c r="A733" t="s">
        <v>333</v>
      </c>
      <c r="B733">
        <v>806</v>
      </c>
      <c r="C733" t="s">
        <v>35</v>
      </c>
      <c r="D733" t="s">
        <v>39</v>
      </c>
      <c r="E733" t="s">
        <v>40</v>
      </c>
      <c r="F733" t="s">
        <v>66</v>
      </c>
      <c r="G733" t="str" cm="1">
        <f t="array" ref="G733">_xlfn.SWITCH(F733,"Acme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733" t="s">
        <v>33</v>
      </c>
      <c r="I733" t="s">
        <v>75</v>
      </c>
      <c r="J733" t="str" cm="1">
        <f t="array" ref="J733">_xlfn.SWITCH(I733,"P001","Laptop","P002","Server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733" s="1" cm="1">
        <f t="array" ref="K733">_xlfn.SWITCH(Table1[[#This Row],[Product ID]],"P001",220,"P002",150,"P003",130,"P004",70,"P005",200,"P006",40,"P007",25,"P008",20,"P009",190,"P010",530)</f>
        <v>200</v>
      </c>
      <c r="L733">
        <v>16</v>
      </c>
      <c r="M733" s="1">
        <f>Table1[[#This Row],[Unit Price]]*Table1[[#This Row],[Quantity]]</f>
        <v>3200</v>
      </c>
      <c r="N733" s="2">
        <v>7.0000000000000007E-2</v>
      </c>
      <c r="O733" s="1">
        <f>Table1[[#This Row],[Gross Value]]*(1-Table1[[#This Row],[Discount]])</f>
        <v>2976</v>
      </c>
      <c r="P733" s="2">
        <v>0.2</v>
      </c>
      <c r="Q733" s="1">
        <f>Table1[[#This Row],[Revenue]]*Table1[[#This Row],[VAT Rate]]</f>
        <v>595.20000000000005</v>
      </c>
      <c r="R733" s="1">
        <f>Table1[[#This Row],[Revenue]]+Table1[[#This Row],[VAT Charged]]</f>
        <v>3571.2</v>
      </c>
      <c r="S733" s="1" cm="1">
        <f t="array" ref="S733">_xlfn.SWITCH(Table1[[#This Row],[Product ID]],"P001",140,"P002",80,"P003",72,"P004",30,"P005",110,"P006",24,"P007",14,"P008",12,"P009",115,"P010",360)</f>
        <v>110</v>
      </c>
      <c r="T733" s="1" cm="1">
        <f t="array" ref="T733">(_xlfn.SWITCH(Table1[[#This Row],[Product ID]],"P001",140,"P002",80,"P003",72,"P004",30,"P005",110,"P006",24,"P007",14,"P008",12,"P009",115,"P010",360))*Table1[[#This Row],[Quantity]]</f>
        <v>1760</v>
      </c>
      <c r="U733" s="1" cm="1">
        <f t="array" ref="U733">_xlfn.SWITCH(Table1[[#This Row],[Product ID]],"P001",15,"P002",0,"P003",8,"P004",8,"P005",0,"P006",7,"P007",7,"P008",6,"P009",45,"P010",60)</f>
        <v>0</v>
      </c>
      <c r="V733" s="1">
        <f>Table1[[#This Row],[Shipping per Unit]]*Table1[[#This Row],[Quantity]]</f>
        <v>0</v>
      </c>
      <c r="W733" s="2">
        <f>IF(Table1[[#This Row],[Total Shipping]]&gt;0.1,0.2,0)</f>
        <v>0</v>
      </c>
      <c r="X733" s="4">
        <f>Table1[[#This Row],[Total Shipping]]*Table1[[#This Row],[VAT on Shipping]]</f>
        <v>0</v>
      </c>
      <c r="Y733" s="1">
        <f>Table1[[#This Row],[Revenue]]-Table1[[#This Row],[COGS]]</f>
        <v>1216</v>
      </c>
      <c r="Z733" s="3">
        <f>(Table1[[#This Row],[Profit]]/Table1[[#This Row],[Revenue]])</f>
        <v>0.40860215053763443</v>
      </c>
      <c r="AA733" s="1">
        <f>Table1[[#This Row],[Profit]]-Table1[[#This Row],[Total Shipping]]</f>
        <v>1216</v>
      </c>
      <c r="AB733" s="3">
        <f>Table1[[#This Row],[Operating Profit]]/Table1[[#This Row],[Revenue]]</f>
        <v>0.40860215053763443</v>
      </c>
    </row>
    <row r="734" spans="1:28" x14ac:dyDescent="0.25">
      <c r="A734" t="s">
        <v>333</v>
      </c>
      <c r="B734">
        <v>897</v>
      </c>
      <c r="C734" t="s">
        <v>56</v>
      </c>
      <c r="D734" t="s">
        <v>53</v>
      </c>
      <c r="E734" t="s">
        <v>49</v>
      </c>
      <c r="F734" t="s">
        <v>84</v>
      </c>
      <c r="G734" t="str" cm="1">
        <f t="array" ref="G734">_xlfn.SWITCH(F734,"Acme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734" t="s">
        <v>58</v>
      </c>
      <c r="I734" t="s">
        <v>42</v>
      </c>
      <c r="J734" t="str" cm="1">
        <f t="array" ref="J734">_xlfn.SWITCH(I734,"P001","Laptop","P002","Server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34" s="1" cm="1">
        <f t="array" ref="K734">_xlfn.SWITCH(Table1[[#This Row],[Product ID]],"P001",220,"P002",150,"P003",130,"P004",70,"P005",200,"P006",40,"P007",25,"P008",20,"P009",190,"P010",530)</f>
        <v>40</v>
      </c>
      <c r="L734">
        <v>6</v>
      </c>
      <c r="M734" s="1">
        <f>Table1[[#This Row],[Unit Price]]*Table1[[#This Row],[Quantity]]</f>
        <v>240</v>
      </c>
      <c r="N734" s="2">
        <v>0.06</v>
      </c>
      <c r="O734" s="1">
        <f>Table1[[#This Row],[Gross Value]]*(1-Table1[[#This Row],[Discount]])</f>
        <v>225.6</v>
      </c>
      <c r="P734" s="2">
        <v>0.2</v>
      </c>
      <c r="Q734" s="1">
        <f>Table1[[#This Row],[Revenue]]*Table1[[#This Row],[VAT Rate]]</f>
        <v>45.120000000000005</v>
      </c>
      <c r="R734" s="1">
        <f>Table1[[#This Row],[Revenue]]+Table1[[#This Row],[VAT Charged]]</f>
        <v>270.72000000000003</v>
      </c>
      <c r="S734" s="1" cm="1">
        <f t="array" ref="S734">_xlfn.SWITCH(Table1[[#This Row],[Product ID]],"P001",140,"P002",80,"P003",72,"P004",30,"P005",110,"P006",24,"P007",14,"P008",12,"P009",115,"P010",360)</f>
        <v>24</v>
      </c>
      <c r="T734" s="1" cm="1">
        <f t="array" ref="T734">(_xlfn.SWITCH(Table1[[#This Row],[Product ID]],"P001",140,"P002",80,"P003",72,"P004",30,"P005",110,"P006",24,"P007",14,"P008",12,"P009",115,"P010",360))*Table1[[#This Row],[Quantity]]</f>
        <v>144</v>
      </c>
      <c r="U734" s="1" cm="1">
        <f t="array" ref="U734">_xlfn.SWITCH(Table1[[#This Row],[Product ID]],"P001",15,"P002",0,"P003",8,"P004",8,"P005",0,"P006",7,"P007",7,"P008",6,"P009",45,"P010",60)</f>
        <v>7</v>
      </c>
      <c r="V734" s="1">
        <f>Table1[[#This Row],[Shipping per Unit]]*Table1[[#This Row],[Quantity]]</f>
        <v>42</v>
      </c>
      <c r="W734" s="2">
        <f>IF(Table1[[#This Row],[Total Shipping]]&gt;0.1,0.2,0)</f>
        <v>0.2</v>
      </c>
      <c r="X734" s="4">
        <f>Table1[[#This Row],[Total Shipping]]*Table1[[#This Row],[VAT on Shipping]]</f>
        <v>8.4</v>
      </c>
      <c r="Y734" s="1">
        <f>Table1[[#This Row],[Revenue]]-Table1[[#This Row],[COGS]]</f>
        <v>81.599999999999994</v>
      </c>
      <c r="Z734" s="3">
        <f>(Table1[[#This Row],[Profit]]/Table1[[#This Row],[Revenue]])</f>
        <v>0.36170212765957444</v>
      </c>
      <c r="AA734" s="1">
        <f>Table1[[#This Row],[Profit]]-Table1[[#This Row],[Total Shipping]]</f>
        <v>39.599999999999994</v>
      </c>
      <c r="AB734" s="3">
        <f>Table1[[#This Row],[Operating Profit]]/Table1[[#This Row],[Revenue]]</f>
        <v>0.175531914893617</v>
      </c>
    </row>
    <row r="735" spans="1:28" x14ac:dyDescent="0.25">
      <c r="A735" t="s">
        <v>334</v>
      </c>
      <c r="B735">
        <v>94</v>
      </c>
      <c r="C735" t="s">
        <v>56</v>
      </c>
      <c r="D735" t="s">
        <v>95</v>
      </c>
      <c r="E735" t="s">
        <v>31</v>
      </c>
      <c r="F735" t="s">
        <v>113</v>
      </c>
      <c r="G735" t="str" cm="1">
        <f t="array" ref="G735">_xlfn.SWITCH(F735,"Acme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735" t="s">
        <v>45</v>
      </c>
      <c r="I735" t="s">
        <v>42</v>
      </c>
      <c r="J735" t="str" cm="1">
        <f t="array" ref="J735">_xlfn.SWITCH(I735,"P001","Laptop","P002","Server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35" s="1" cm="1">
        <f t="array" ref="K735">_xlfn.SWITCH(Table1[[#This Row],[Product ID]],"P001",220,"P002",150,"P003",130,"P004",70,"P005",200,"P006",40,"P007",25,"P008",20,"P009",190,"P010",530)</f>
        <v>40</v>
      </c>
      <c r="L735">
        <v>16</v>
      </c>
      <c r="M735" s="1">
        <f>Table1[[#This Row],[Unit Price]]*Table1[[#This Row],[Quantity]]</f>
        <v>640</v>
      </c>
      <c r="N735" s="2">
        <v>0.02</v>
      </c>
      <c r="O735" s="1">
        <f>Table1[[#This Row],[Gross Value]]*(1-Table1[[#This Row],[Discount]])</f>
        <v>627.20000000000005</v>
      </c>
      <c r="P735" s="2">
        <v>0.2</v>
      </c>
      <c r="Q735" s="1">
        <f>Table1[[#This Row],[Revenue]]*Table1[[#This Row],[VAT Rate]]</f>
        <v>125.44000000000001</v>
      </c>
      <c r="R735" s="1">
        <f>Table1[[#This Row],[Revenue]]+Table1[[#This Row],[VAT Charged]]</f>
        <v>752.6400000000001</v>
      </c>
      <c r="S735" s="1" cm="1">
        <f t="array" ref="S735">_xlfn.SWITCH(Table1[[#This Row],[Product ID]],"P001",140,"P002",80,"P003",72,"P004",30,"P005",110,"P006",24,"P007",14,"P008",12,"P009",115,"P010",360)</f>
        <v>24</v>
      </c>
      <c r="T735" s="1" cm="1">
        <f t="array" ref="T735">(_xlfn.SWITCH(Table1[[#This Row],[Product ID]],"P001",140,"P002",80,"P003",72,"P004",30,"P005",110,"P006",24,"P007",14,"P008",12,"P009",115,"P010",360))*Table1[[#This Row],[Quantity]]</f>
        <v>384</v>
      </c>
      <c r="U735" s="1" cm="1">
        <f t="array" ref="U735">_xlfn.SWITCH(Table1[[#This Row],[Product ID]],"P001",15,"P002",0,"P003",8,"P004",8,"P005",0,"P006",7,"P007",7,"P008",6,"P009",45,"P010",60)</f>
        <v>7</v>
      </c>
      <c r="V735" s="1">
        <f>Table1[[#This Row],[Shipping per Unit]]*Table1[[#This Row],[Quantity]]</f>
        <v>112</v>
      </c>
      <c r="W735" s="2">
        <f>IF(Table1[[#This Row],[Total Shipping]]&gt;0.1,0.2,0)</f>
        <v>0.2</v>
      </c>
      <c r="X735" s="4">
        <f>Table1[[#This Row],[Total Shipping]]*Table1[[#This Row],[VAT on Shipping]]</f>
        <v>22.400000000000002</v>
      </c>
      <c r="Y735" s="1">
        <f>Table1[[#This Row],[Revenue]]-Table1[[#This Row],[COGS]]</f>
        <v>243.20000000000005</v>
      </c>
      <c r="Z735" s="3">
        <f>(Table1[[#This Row],[Profit]]/Table1[[#This Row],[Revenue]])</f>
        <v>0.38775510204081637</v>
      </c>
      <c r="AA735" s="1">
        <f>Table1[[#This Row],[Profit]]-Table1[[#This Row],[Total Shipping]]</f>
        <v>131.20000000000005</v>
      </c>
      <c r="AB735" s="3">
        <f>Table1[[#This Row],[Operating Profit]]/Table1[[#This Row],[Revenue]]</f>
        <v>0.20918367346938782</v>
      </c>
    </row>
    <row r="736" spans="1:28" x14ac:dyDescent="0.25">
      <c r="A736" t="s">
        <v>334</v>
      </c>
      <c r="B736">
        <v>129</v>
      </c>
      <c r="C736" t="s">
        <v>35</v>
      </c>
      <c r="D736" t="s">
        <v>30</v>
      </c>
      <c r="E736" t="s">
        <v>31</v>
      </c>
      <c r="F736" t="s">
        <v>84</v>
      </c>
      <c r="G736" t="str" cm="1">
        <f t="array" ref="G736">_xlfn.SWITCH(F736,"Acme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736" t="s">
        <v>33</v>
      </c>
      <c r="I736" t="s">
        <v>42</v>
      </c>
      <c r="J736" t="str" cm="1">
        <f t="array" ref="J736">_xlfn.SWITCH(I736,"P001","Laptop","P002","Server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36" s="1" cm="1">
        <f t="array" ref="K736">_xlfn.SWITCH(Table1[[#This Row],[Product ID]],"P001",220,"P002",150,"P003",130,"P004",70,"P005",200,"P006",40,"P007",25,"P008",20,"P009",190,"P010",530)</f>
        <v>40</v>
      </c>
      <c r="L736">
        <v>1</v>
      </c>
      <c r="M736" s="1">
        <f>Table1[[#This Row],[Unit Price]]*Table1[[#This Row],[Quantity]]</f>
        <v>40</v>
      </c>
      <c r="N736" s="2">
        <v>0.12</v>
      </c>
      <c r="O736" s="1">
        <f>Table1[[#This Row],[Gross Value]]*(1-Table1[[#This Row],[Discount]])</f>
        <v>35.200000000000003</v>
      </c>
      <c r="P736" s="2">
        <v>0.2</v>
      </c>
      <c r="Q736" s="1">
        <f>Table1[[#This Row],[Revenue]]*Table1[[#This Row],[VAT Rate]]</f>
        <v>7.0400000000000009</v>
      </c>
      <c r="R736" s="1">
        <f>Table1[[#This Row],[Revenue]]+Table1[[#This Row],[VAT Charged]]</f>
        <v>42.24</v>
      </c>
      <c r="S736" s="1" cm="1">
        <f t="array" ref="S736">_xlfn.SWITCH(Table1[[#This Row],[Product ID]],"P001",140,"P002",80,"P003",72,"P004",30,"P005",110,"P006",24,"P007",14,"P008",12,"P009",115,"P010",360)</f>
        <v>24</v>
      </c>
      <c r="T736" s="1" cm="1">
        <f t="array" ref="T736">(_xlfn.SWITCH(Table1[[#This Row],[Product ID]],"P001",140,"P002",80,"P003",72,"P004",30,"P005",110,"P006",24,"P007",14,"P008",12,"P009",115,"P010",360))*Table1[[#This Row],[Quantity]]</f>
        <v>24</v>
      </c>
      <c r="U736" s="1" cm="1">
        <f t="array" ref="U736">_xlfn.SWITCH(Table1[[#This Row],[Product ID]],"P001",15,"P002",0,"P003",8,"P004",8,"P005",0,"P006",7,"P007",7,"P008",6,"P009",45,"P010",60)</f>
        <v>7</v>
      </c>
      <c r="V736" s="1">
        <f>Table1[[#This Row],[Shipping per Unit]]*Table1[[#This Row],[Quantity]]</f>
        <v>7</v>
      </c>
      <c r="W736" s="2">
        <f>IF(Table1[[#This Row],[Total Shipping]]&gt;0.1,0.2,0)</f>
        <v>0.2</v>
      </c>
      <c r="X736" s="4">
        <f>Table1[[#This Row],[Total Shipping]]*Table1[[#This Row],[VAT on Shipping]]</f>
        <v>1.4000000000000001</v>
      </c>
      <c r="Y736" s="1">
        <f>Table1[[#This Row],[Revenue]]-Table1[[#This Row],[COGS]]</f>
        <v>11.200000000000003</v>
      </c>
      <c r="Z736" s="3">
        <f>(Table1[[#This Row],[Profit]]/Table1[[#This Row],[Revenue]])</f>
        <v>0.31818181818181823</v>
      </c>
      <c r="AA736" s="1">
        <f>Table1[[#This Row],[Profit]]-Table1[[#This Row],[Total Shipping]]</f>
        <v>4.2000000000000028</v>
      </c>
      <c r="AB736" s="3">
        <f>Table1[[#This Row],[Operating Profit]]/Table1[[#This Row],[Revenue]]</f>
        <v>0.11931818181818189</v>
      </c>
    </row>
    <row r="737" spans="1:28" x14ac:dyDescent="0.25">
      <c r="A737" t="s">
        <v>334</v>
      </c>
      <c r="B737">
        <v>611</v>
      </c>
      <c r="C737" t="s">
        <v>62</v>
      </c>
      <c r="D737" t="s">
        <v>53</v>
      </c>
      <c r="E737" t="s">
        <v>49</v>
      </c>
      <c r="F737" t="s">
        <v>66</v>
      </c>
      <c r="G737" t="str" cm="1">
        <f t="array" ref="G737">_xlfn.SWITCH(F737,"Acme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737" t="s">
        <v>45</v>
      </c>
      <c r="I737" t="s">
        <v>55</v>
      </c>
      <c r="J737" t="str" cm="1">
        <f t="array" ref="J737">_xlfn.SWITCH(I737,"P001","Laptop","P002","Server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37" s="1" cm="1">
        <f t="array" ref="K737">_xlfn.SWITCH(Table1[[#This Row],[Product ID]],"P001",220,"P002",150,"P003",130,"P004",70,"P005",200,"P006",40,"P007",25,"P008",20,"P009",190,"P010",530)</f>
        <v>70</v>
      </c>
      <c r="L737">
        <v>14</v>
      </c>
      <c r="M737" s="1">
        <f>Table1[[#This Row],[Unit Price]]*Table1[[#This Row],[Quantity]]</f>
        <v>980</v>
      </c>
      <c r="N737" s="2">
        <v>0.04</v>
      </c>
      <c r="O737" s="1">
        <f>Table1[[#This Row],[Gross Value]]*(1-Table1[[#This Row],[Discount]])</f>
        <v>940.8</v>
      </c>
      <c r="P737" s="2">
        <v>0.2</v>
      </c>
      <c r="Q737" s="1">
        <f>Table1[[#This Row],[Revenue]]*Table1[[#This Row],[VAT Rate]]</f>
        <v>188.16</v>
      </c>
      <c r="R737" s="1">
        <f>Table1[[#This Row],[Revenue]]+Table1[[#This Row],[VAT Charged]]</f>
        <v>1128.96</v>
      </c>
      <c r="S737" s="1" cm="1">
        <f t="array" ref="S737">_xlfn.SWITCH(Table1[[#This Row],[Product ID]],"P001",140,"P002",80,"P003",72,"P004",30,"P005",110,"P006",24,"P007",14,"P008",12,"P009",115,"P010",360)</f>
        <v>30</v>
      </c>
      <c r="T737" s="1" cm="1">
        <f t="array" ref="T737">(_xlfn.SWITCH(Table1[[#This Row],[Product ID]],"P001",140,"P002",80,"P003",72,"P004",30,"P005",110,"P006",24,"P007",14,"P008",12,"P009",115,"P010",360))*Table1[[#This Row],[Quantity]]</f>
        <v>420</v>
      </c>
      <c r="U737" s="1" cm="1">
        <f t="array" ref="U737">_xlfn.SWITCH(Table1[[#This Row],[Product ID]],"P001",15,"P002",0,"P003",8,"P004",8,"P005",0,"P006",7,"P007",7,"P008",6,"P009",45,"P010",60)</f>
        <v>8</v>
      </c>
      <c r="V737" s="1">
        <f>Table1[[#This Row],[Shipping per Unit]]*Table1[[#This Row],[Quantity]]</f>
        <v>112</v>
      </c>
      <c r="W737" s="2">
        <f>IF(Table1[[#This Row],[Total Shipping]]&gt;0.1,0.2,0)</f>
        <v>0.2</v>
      </c>
      <c r="X737" s="4">
        <f>Table1[[#This Row],[Total Shipping]]*Table1[[#This Row],[VAT on Shipping]]</f>
        <v>22.400000000000002</v>
      </c>
      <c r="Y737" s="1">
        <f>Table1[[#This Row],[Revenue]]-Table1[[#This Row],[COGS]]</f>
        <v>520.79999999999995</v>
      </c>
      <c r="Z737" s="3">
        <f>(Table1[[#This Row],[Profit]]/Table1[[#This Row],[Revenue]])</f>
        <v>0.5535714285714286</v>
      </c>
      <c r="AA737" s="1">
        <f>Table1[[#This Row],[Profit]]-Table1[[#This Row],[Total Shipping]]</f>
        <v>408.79999999999995</v>
      </c>
      <c r="AB737" s="3">
        <f>Table1[[#This Row],[Operating Profit]]/Table1[[#This Row],[Revenue]]</f>
        <v>0.43452380952380948</v>
      </c>
    </row>
    <row r="738" spans="1:28" x14ac:dyDescent="0.25">
      <c r="A738" t="s">
        <v>334</v>
      </c>
      <c r="B738">
        <v>799</v>
      </c>
      <c r="C738" t="s">
        <v>56</v>
      </c>
      <c r="D738" t="s">
        <v>95</v>
      </c>
      <c r="E738" t="s">
        <v>40</v>
      </c>
      <c r="F738" t="s">
        <v>74</v>
      </c>
      <c r="G738" t="str" cm="1">
        <f t="array" ref="G738">_xlfn.SWITCH(F738,"Acme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738" t="s">
        <v>58</v>
      </c>
      <c r="I738" t="s">
        <v>70</v>
      </c>
      <c r="J738" t="str" cm="1">
        <f t="array" ref="J738">_xlfn.SWITCH(I738,"P001","Laptop","P002","Server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738" s="1" cm="1">
        <f t="array" ref="K738">_xlfn.SWITCH(Table1[[#This Row],[Product ID]],"P001",220,"P002",150,"P003",130,"P004",70,"P005",200,"P006",40,"P007",25,"P008",20,"P009",190,"P010",530)</f>
        <v>150</v>
      </c>
      <c r="L738">
        <v>18</v>
      </c>
      <c r="M738" s="1">
        <f>Table1[[#This Row],[Unit Price]]*Table1[[#This Row],[Quantity]]</f>
        <v>2700</v>
      </c>
      <c r="N738" s="2">
        <v>0.02</v>
      </c>
      <c r="O738" s="1">
        <f>Table1[[#This Row],[Gross Value]]*(1-Table1[[#This Row],[Discount]])</f>
        <v>2646</v>
      </c>
      <c r="P738" s="2">
        <v>0.2</v>
      </c>
      <c r="Q738" s="1">
        <f>Table1[[#This Row],[Revenue]]*Table1[[#This Row],[VAT Rate]]</f>
        <v>529.20000000000005</v>
      </c>
      <c r="R738" s="1">
        <f>Table1[[#This Row],[Revenue]]+Table1[[#This Row],[VAT Charged]]</f>
        <v>3175.2</v>
      </c>
      <c r="S738" s="1" cm="1">
        <f t="array" ref="S738">_xlfn.SWITCH(Table1[[#This Row],[Product ID]],"P001",140,"P002",80,"P003",72,"P004",30,"P005",110,"P006",24,"P007",14,"P008",12,"P009",115,"P010",360)</f>
        <v>80</v>
      </c>
      <c r="T738" s="1" cm="1">
        <f t="array" ref="T738">(_xlfn.SWITCH(Table1[[#This Row],[Product ID]],"P001",140,"P002",80,"P003",72,"P004",30,"P005",110,"P006",24,"P007",14,"P008",12,"P009",115,"P010",360))*Table1[[#This Row],[Quantity]]</f>
        <v>1440</v>
      </c>
      <c r="U738" s="1" cm="1">
        <f t="array" ref="U738">_xlfn.SWITCH(Table1[[#This Row],[Product ID]],"P001",15,"P002",0,"P003",8,"P004",8,"P005",0,"P006",7,"P007",7,"P008",6,"P009",45,"P010",60)</f>
        <v>0</v>
      </c>
      <c r="V738" s="1">
        <f>Table1[[#This Row],[Shipping per Unit]]*Table1[[#This Row],[Quantity]]</f>
        <v>0</v>
      </c>
      <c r="W738" s="2">
        <f>IF(Table1[[#This Row],[Total Shipping]]&gt;0.1,0.2,0)</f>
        <v>0</v>
      </c>
      <c r="X738" s="4">
        <f>Table1[[#This Row],[Total Shipping]]*Table1[[#This Row],[VAT on Shipping]]</f>
        <v>0</v>
      </c>
      <c r="Y738" s="1">
        <f>Table1[[#This Row],[Revenue]]-Table1[[#This Row],[COGS]]</f>
        <v>1206</v>
      </c>
      <c r="Z738" s="3">
        <f>(Table1[[#This Row],[Profit]]/Table1[[#This Row],[Revenue]])</f>
        <v>0.45578231292517007</v>
      </c>
      <c r="AA738" s="1">
        <f>Table1[[#This Row],[Profit]]-Table1[[#This Row],[Total Shipping]]</f>
        <v>1206</v>
      </c>
      <c r="AB738" s="3">
        <f>Table1[[#This Row],[Operating Profit]]/Table1[[#This Row],[Revenue]]</f>
        <v>0.45578231292517007</v>
      </c>
    </row>
    <row r="739" spans="1:28" x14ac:dyDescent="0.25">
      <c r="A739" t="s">
        <v>334</v>
      </c>
      <c r="B739">
        <v>848</v>
      </c>
      <c r="C739" t="s">
        <v>56</v>
      </c>
      <c r="D739" t="s">
        <v>72</v>
      </c>
      <c r="E739" t="s">
        <v>40</v>
      </c>
      <c r="F739" t="s">
        <v>41</v>
      </c>
      <c r="G739" t="str" cm="1">
        <f t="array" ref="G739">_xlfn.SWITCH(F739,"Acme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739" t="s">
        <v>104</v>
      </c>
      <c r="I739" t="s">
        <v>68</v>
      </c>
      <c r="J739" t="str" cm="1">
        <f t="array" ref="J739">_xlfn.SWITCH(I739,"P001","Laptop","P002","Server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739" s="1" cm="1">
        <f t="array" ref="K739">_xlfn.SWITCH(Table1[[#This Row],[Product ID]],"P001",220,"P002",150,"P003",130,"P004",70,"P005",200,"P006",40,"P007",25,"P008",20,"P009",190,"P010",530)</f>
        <v>220</v>
      </c>
      <c r="L739">
        <v>5</v>
      </c>
      <c r="M739" s="1">
        <f>Table1[[#This Row],[Unit Price]]*Table1[[#This Row],[Quantity]]</f>
        <v>1100</v>
      </c>
      <c r="N739" s="2">
        <v>0.02</v>
      </c>
      <c r="O739" s="1">
        <f>Table1[[#This Row],[Gross Value]]*(1-Table1[[#This Row],[Discount]])</f>
        <v>1078</v>
      </c>
      <c r="P739" s="2">
        <v>0.2</v>
      </c>
      <c r="Q739" s="1">
        <f>Table1[[#This Row],[Revenue]]*Table1[[#This Row],[VAT Rate]]</f>
        <v>215.60000000000002</v>
      </c>
      <c r="R739" s="1">
        <f>Table1[[#This Row],[Revenue]]+Table1[[#This Row],[VAT Charged]]</f>
        <v>1293.5999999999999</v>
      </c>
      <c r="S739" s="1" cm="1">
        <f t="array" ref="S739">_xlfn.SWITCH(Table1[[#This Row],[Product ID]],"P001",140,"P002",80,"P003",72,"P004",30,"P005",110,"P006",24,"P007",14,"P008",12,"P009",115,"P010",360)</f>
        <v>140</v>
      </c>
      <c r="T739" s="1" cm="1">
        <f t="array" ref="T739">(_xlfn.SWITCH(Table1[[#This Row],[Product ID]],"P001",140,"P002",80,"P003",72,"P004",30,"P005",110,"P006",24,"P007",14,"P008",12,"P009",115,"P010",360))*Table1[[#This Row],[Quantity]]</f>
        <v>700</v>
      </c>
      <c r="U739" s="1" cm="1">
        <f t="array" ref="U739">_xlfn.SWITCH(Table1[[#This Row],[Product ID]],"P001",15,"P002",0,"P003",8,"P004",8,"P005",0,"P006",7,"P007",7,"P008",6,"P009",45,"P010",60)</f>
        <v>15</v>
      </c>
      <c r="V739" s="1">
        <f>Table1[[#This Row],[Shipping per Unit]]*Table1[[#This Row],[Quantity]]</f>
        <v>75</v>
      </c>
      <c r="W739" s="2">
        <f>IF(Table1[[#This Row],[Total Shipping]]&gt;0.1,0.2,0)</f>
        <v>0.2</v>
      </c>
      <c r="X739" s="4">
        <f>Table1[[#This Row],[Total Shipping]]*Table1[[#This Row],[VAT on Shipping]]</f>
        <v>15</v>
      </c>
      <c r="Y739" s="1">
        <f>Table1[[#This Row],[Revenue]]-Table1[[#This Row],[COGS]]</f>
        <v>378</v>
      </c>
      <c r="Z739" s="3">
        <f>(Table1[[#This Row],[Profit]]/Table1[[#This Row],[Revenue]])</f>
        <v>0.35064935064935066</v>
      </c>
      <c r="AA739" s="1">
        <f>Table1[[#This Row],[Profit]]-Table1[[#This Row],[Total Shipping]]</f>
        <v>303</v>
      </c>
      <c r="AB739" s="3">
        <f>Table1[[#This Row],[Operating Profit]]/Table1[[#This Row],[Revenue]]</f>
        <v>0.28107606679035252</v>
      </c>
    </row>
    <row r="740" spans="1:28" x14ac:dyDescent="0.25">
      <c r="A740" t="s">
        <v>335</v>
      </c>
      <c r="B740">
        <v>24</v>
      </c>
      <c r="C740" t="s">
        <v>71</v>
      </c>
      <c r="D740" t="s">
        <v>36</v>
      </c>
      <c r="E740" t="s">
        <v>31</v>
      </c>
      <c r="F740" t="s">
        <v>87</v>
      </c>
      <c r="G740" t="str" cm="1">
        <f t="array" ref="G740">_xlfn.SWITCH(F740,"Acme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740" t="s">
        <v>45</v>
      </c>
      <c r="I740" t="s">
        <v>34</v>
      </c>
      <c r="J740" t="str" cm="1">
        <f t="array" ref="J740">_xlfn.SWITCH(I740,"P001","Laptop","P002","Server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40" s="1" cm="1">
        <f t="array" ref="K740">_xlfn.SWITCH(Table1[[#This Row],[Product ID]],"P001",220,"P002",150,"P003",130,"P004",70,"P005",200,"P006",40,"P007",25,"P008",20,"P009",190,"P010",530)</f>
        <v>20</v>
      </c>
      <c r="L740">
        <v>20</v>
      </c>
      <c r="M740" s="1">
        <f>Table1[[#This Row],[Unit Price]]*Table1[[#This Row],[Quantity]]</f>
        <v>400</v>
      </c>
      <c r="N740" s="2">
        <v>0.02</v>
      </c>
      <c r="O740" s="1">
        <f>Table1[[#This Row],[Gross Value]]*(1-Table1[[#This Row],[Discount]])</f>
        <v>392</v>
      </c>
      <c r="P740" s="2">
        <v>0.2</v>
      </c>
      <c r="Q740" s="1">
        <f>Table1[[#This Row],[Revenue]]*Table1[[#This Row],[VAT Rate]]</f>
        <v>78.400000000000006</v>
      </c>
      <c r="R740" s="1">
        <f>Table1[[#This Row],[Revenue]]+Table1[[#This Row],[VAT Charged]]</f>
        <v>470.4</v>
      </c>
      <c r="S740" s="1" cm="1">
        <f t="array" ref="S740">_xlfn.SWITCH(Table1[[#This Row],[Product ID]],"P001",140,"P002",80,"P003",72,"P004",30,"P005",110,"P006",24,"P007",14,"P008",12,"P009",115,"P010",360)</f>
        <v>12</v>
      </c>
      <c r="T740" s="1" cm="1">
        <f t="array" ref="T740">(_xlfn.SWITCH(Table1[[#This Row],[Product ID]],"P001",140,"P002",80,"P003",72,"P004",30,"P005",110,"P006",24,"P007",14,"P008",12,"P009",115,"P010",360))*Table1[[#This Row],[Quantity]]</f>
        <v>240</v>
      </c>
      <c r="U740" s="1" cm="1">
        <f t="array" ref="U740">_xlfn.SWITCH(Table1[[#This Row],[Product ID]],"P001",15,"P002",0,"P003",8,"P004",8,"P005",0,"P006",7,"P007",7,"P008",6,"P009",45,"P010",60)</f>
        <v>6</v>
      </c>
      <c r="V740" s="1">
        <f>Table1[[#This Row],[Shipping per Unit]]*Table1[[#This Row],[Quantity]]</f>
        <v>120</v>
      </c>
      <c r="W740" s="2">
        <f>IF(Table1[[#This Row],[Total Shipping]]&gt;0.1,0.2,0)</f>
        <v>0.2</v>
      </c>
      <c r="X740" s="4">
        <f>Table1[[#This Row],[Total Shipping]]*Table1[[#This Row],[VAT on Shipping]]</f>
        <v>24</v>
      </c>
      <c r="Y740" s="1">
        <f>Table1[[#This Row],[Revenue]]-Table1[[#This Row],[COGS]]</f>
        <v>152</v>
      </c>
      <c r="Z740" s="3">
        <f>(Table1[[#This Row],[Profit]]/Table1[[#This Row],[Revenue]])</f>
        <v>0.38775510204081631</v>
      </c>
      <c r="AA740" s="1">
        <f>Table1[[#This Row],[Profit]]-Table1[[#This Row],[Total Shipping]]</f>
        <v>32</v>
      </c>
      <c r="AB740" s="3">
        <f>Table1[[#This Row],[Operating Profit]]/Table1[[#This Row],[Revenue]]</f>
        <v>8.1632653061224483E-2</v>
      </c>
    </row>
    <row r="741" spans="1:28" x14ac:dyDescent="0.25">
      <c r="A741" t="s">
        <v>336</v>
      </c>
      <c r="B741">
        <v>596</v>
      </c>
      <c r="C741" t="s">
        <v>65</v>
      </c>
      <c r="D741" t="s">
        <v>72</v>
      </c>
      <c r="E741" t="s">
        <v>40</v>
      </c>
      <c r="F741" t="s">
        <v>78</v>
      </c>
      <c r="G741" t="str" cm="1">
        <f t="array" ref="G741">_xlfn.SWITCH(F741,"Acme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741" t="s">
        <v>33</v>
      </c>
      <c r="I741" t="s">
        <v>75</v>
      </c>
      <c r="J741" t="str" cm="1">
        <f t="array" ref="J741">_xlfn.SWITCH(I741,"P001","Laptop","P002","Server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741" s="1" cm="1">
        <f t="array" ref="K741">_xlfn.SWITCH(Table1[[#This Row],[Product ID]],"P001",220,"P002",150,"P003",130,"P004",70,"P005",200,"P006",40,"P007",25,"P008",20,"P009",190,"P010",530)</f>
        <v>200</v>
      </c>
      <c r="L741">
        <v>4</v>
      </c>
      <c r="M741" s="1">
        <f>Table1[[#This Row],[Unit Price]]*Table1[[#This Row],[Quantity]]</f>
        <v>800</v>
      </c>
      <c r="N741" s="2">
        <v>0.1</v>
      </c>
      <c r="O741" s="1">
        <f>Table1[[#This Row],[Gross Value]]*(1-Table1[[#This Row],[Discount]])</f>
        <v>720</v>
      </c>
      <c r="P741" s="2">
        <v>0.2</v>
      </c>
      <c r="Q741" s="1">
        <f>Table1[[#This Row],[Revenue]]*Table1[[#This Row],[VAT Rate]]</f>
        <v>144</v>
      </c>
      <c r="R741" s="1">
        <f>Table1[[#This Row],[Revenue]]+Table1[[#This Row],[VAT Charged]]</f>
        <v>864</v>
      </c>
      <c r="S741" s="1" cm="1">
        <f t="array" ref="S741">_xlfn.SWITCH(Table1[[#This Row],[Product ID]],"P001",140,"P002",80,"P003",72,"P004",30,"P005",110,"P006",24,"P007",14,"P008",12,"P009",115,"P010",360)</f>
        <v>110</v>
      </c>
      <c r="T741" s="1" cm="1">
        <f t="array" ref="T741">(_xlfn.SWITCH(Table1[[#This Row],[Product ID]],"P001",140,"P002",80,"P003",72,"P004",30,"P005",110,"P006",24,"P007",14,"P008",12,"P009",115,"P010",360))*Table1[[#This Row],[Quantity]]</f>
        <v>440</v>
      </c>
      <c r="U741" s="1" cm="1">
        <f t="array" ref="U741">_xlfn.SWITCH(Table1[[#This Row],[Product ID]],"P001",15,"P002",0,"P003",8,"P004",8,"P005",0,"P006",7,"P007",7,"P008",6,"P009",45,"P010",60)</f>
        <v>0</v>
      </c>
      <c r="V741" s="1">
        <f>Table1[[#This Row],[Shipping per Unit]]*Table1[[#This Row],[Quantity]]</f>
        <v>0</v>
      </c>
      <c r="W741" s="2">
        <f>IF(Table1[[#This Row],[Total Shipping]]&gt;0.1,0.2,0)</f>
        <v>0</v>
      </c>
      <c r="X741" s="4">
        <f>Table1[[#This Row],[Total Shipping]]*Table1[[#This Row],[VAT on Shipping]]</f>
        <v>0</v>
      </c>
      <c r="Y741" s="1">
        <f>Table1[[#This Row],[Revenue]]-Table1[[#This Row],[COGS]]</f>
        <v>280</v>
      </c>
      <c r="Z741" s="3">
        <f>(Table1[[#This Row],[Profit]]/Table1[[#This Row],[Revenue]])</f>
        <v>0.3888888888888889</v>
      </c>
      <c r="AA741" s="1">
        <f>Table1[[#This Row],[Profit]]-Table1[[#This Row],[Total Shipping]]</f>
        <v>280</v>
      </c>
      <c r="AB741" s="3">
        <f>Table1[[#This Row],[Operating Profit]]/Table1[[#This Row],[Revenue]]</f>
        <v>0.3888888888888889</v>
      </c>
    </row>
    <row r="742" spans="1:28" x14ac:dyDescent="0.25">
      <c r="A742" t="s">
        <v>337</v>
      </c>
      <c r="B742">
        <v>88</v>
      </c>
      <c r="C742" t="s">
        <v>83</v>
      </c>
      <c r="D742" t="s">
        <v>57</v>
      </c>
      <c r="E742" t="s">
        <v>31</v>
      </c>
      <c r="F742" t="s">
        <v>90</v>
      </c>
      <c r="G742" t="str" cm="1">
        <f t="array" ref="G742">_xlfn.SWITCH(F742,"Acme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742" t="s">
        <v>33</v>
      </c>
      <c r="I742" t="s">
        <v>55</v>
      </c>
      <c r="J742" t="str" cm="1">
        <f t="array" ref="J742">_xlfn.SWITCH(I742,"P001","Laptop","P002","Server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42" s="1" cm="1">
        <f t="array" ref="K742">_xlfn.SWITCH(Table1[[#This Row],[Product ID]],"P001",220,"P002",150,"P003",130,"P004",70,"P005",200,"P006",40,"P007",25,"P008",20,"P009",190,"P010",530)</f>
        <v>70</v>
      </c>
      <c r="L742">
        <v>20</v>
      </c>
      <c r="M742" s="1">
        <f>Table1[[#This Row],[Unit Price]]*Table1[[#This Row],[Quantity]]</f>
        <v>1400</v>
      </c>
      <c r="N742" s="2">
        <v>0.04</v>
      </c>
      <c r="O742" s="1">
        <f>Table1[[#This Row],[Gross Value]]*(1-Table1[[#This Row],[Discount]])</f>
        <v>1344</v>
      </c>
      <c r="P742" s="2">
        <v>0.2</v>
      </c>
      <c r="Q742" s="1">
        <f>Table1[[#This Row],[Revenue]]*Table1[[#This Row],[VAT Rate]]</f>
        <v>268.8</v>
      </c>
      <c r="R742" s="1">
        <f>Table1[[#This Row],[Revenue]]+Table1[[#This Row],[VAT Charged]]</f>
        <v>1612.8</v>
      </c>
      <c r="S742" s="1" cm="1">
        <f t="array" ref="S742">_xlfn.SWITCH(Table1[[#This Row],[Product ID]],"P001",140,"P002",80,"P003",72,"P004",30,"P005",110,"P006",24,"P007",14,"P008",12,"P009",115,"P010",360)</f>
        <v>30</v>
      </c>
      <c r="T742" s="1" cm="1">
        <f t="array" ref="T742">(_xlfn.SWITCH(Table1[[#This Row],[Product ID]],"P001",140,"P002",80,"P003",72,"P004",30,"P005",110,"P006",24,"P007",14,"P008",12,"P009",115,"P010",360))*Table1[[#This Row],[Quantity]]</f>
        <v>600</v>
      </c>
      <c r="U742" s="1" cm="1">
        <f t="array" ref="U742">_xlfn.SWITCH(Table1[[#This Row],[Product ID]],"P001",15,"P002",0,"P003",8,"P004",8,"P005",0,"P006",7,"P007",7,"P008",6,"P009",45,"P010",60)</f>
        <v>8</v>
      </c>
      <c r="V742" s="1">
        <f>Table1[[#This Row],[Shipping per Unit]]*Table1[[#This Row],[Quantity]]</f>
        <v>160</v>
      </c>
      <c r="W742" s="2">
        <f>IF(Table1[[#This Row],[Total Shipping]]&gt;0.1,0.2,0)</f>
        <v>0.2</v>
      </c>
      <c r="X742" s="4">
        <f>Table1[[#This Row],[Total Shipping]]*Table1[[#This Row],[VAT on Shipping]]</f>
        <v>32</v>
      </c>
      <c r="Y742" s="1">
        <f>Table1[[#This Row],[Revenue]]-Table1[[#This Row],[COGS]]</f>
        <v>744</v>
      </c>
      <c r="Z742" s="3">
        <f>(Table1[[#This Row],[Profit]]/Table1[[#This Row],[Revenue]])</f>
        <v>0.5535714285714286</v>
      </c>
      <c r="AA742" s="1">
        <f>Table1[[#This Row],[Profit]]-Table1[[#This Row],[Total Shipping]]</f>
        <v>584</v>
      </c>
      <c r="AB742" s="3">
        <f>Table1[[#This Row],[Operating Profit]]/Table1[[#This Row],[Revenue]]</f>
        <v>0.43452380952380953</v>
      </c>
    </row>
    <row r="743" spans="1:28" x14ac:dyDescent="0.25">
      <c r="A743" t="s">
        <v>337</v>
      </c>
      <c r="B743">
        <v>471</v>
      </c>
      <c r="C743" t="s">
        <v>29</v>
      </c>
      <c r="D743" t="s">
        <v>53</v>
      </c>
      <c r="E743" t="s">
        <v>31</v>
      </c>
      <c r="F743" t="s">
        <v>41</v>
      </c>
      <c r="G743" t="str" cm="1">
        <f t="array" ref="G743">_xlfn.SWITCH(F743,"Acme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743" t="s">
        <v>33</v>
      </c>
      <c r="I743" t="s">
        <v>60</v>
      </c>
      <c r="J743" t="str" cm="1">
        <f t="array" ref="J743">_xlfn.SWITCH(I743,"P001","Laptop","P002","Server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743" s="1" cm="1">
        <f t="array" ref="K743">_xlfn.SWITCH(Table1[[#This Row],[Product ID]],"P001",220,"P002",150,"P003",130,"P004",70,"P005",200,"P006",40,"P007",25,"P008",20,"P009",190,"P010",530)</f>
        <v>25</v>
      </c>
      <c r="L743">
        <v>8</v>
      </c>
      <c r="M743" s="1">
        <f>Table1[[#This Row],[Unit Price]]*Table1[[#This Row],[Quantity]]</f>
        <v>200</v>
      </c>
      <c r="N743" s="2">
        <v>0.08</v>
      </c>
      <c r="O743" s="1">
        <f>Table1[[#This Row],[Gross Value]]*(1-Table1[[#This Row],[Discount]])</f>
        <v>184</v>
      </c>
      <c r="P743" s="2">
        <v>0.2</v>
      </c>
      <c r="Q743" s="1">
        <f>Table1[[#This Row],[Revenue]]*Table1[[#This Row],[VAT Rate]]</f>
        <v>36.800000000000004</v>
      </c>
      <c r="R743" s="1">
        <f>Table1[[#This Row],[Revenue]]+Table1[[#This Row],[VAT Charged]]</f>
        <v>220.8</v>
      </c>
      <c r="S743" s="1" cm="1">
        <f t="array" ref="S743">_xlfn.SWITCH(Table1[[#This Row],[Product ID]],"P001",140,"P002",80,"P003",72,"P004",30,"P005",110,"P006",24,"P007",14,"P008",12,"P009",115,"P010",360)</f>
        <v>14</v>
      </c>
      <c r="T743" s="1" cm="1">
        <f t="array" ref="T743">(_xlfn.SWITCH(Table1[[#This Row],[Product ID]],"P001",140,"P002",80,"P003",72,"P004",30,"P005",110,"P006",24,"P007",14,"P008",12,"P009",115,"P010",360))*Table1[[#This Row],[Quantity]]</f>
        <v>112</v>
      </c>
      <c r="U743" s="1" cm="1">
        <f t="array" ref="U743">_xlfn.SWITCH(Table1[[#This Row],[Product ID]],"P001",15,"P002",0,"P003",8,"P004",8,"P005",0,"P006",7,"P007",7,"P008",6,"P009",45,"P010",60)</f>
        <v>7</v>
      </c>
      <c r="V743" s="1">
        <f>Table1[[#This Row],[Shipping per Unit]]*Table1[[#This Row],[Quantity]]</f>
        <v>56</v>
      </c>
      <c r="W743" s="2">
        <f>IF(Table1[[#This Row],[Total Shipping]]&gt;0.1,0.2,0)</f>
        <v>0.2</v>
      </c>
      <c r="X743" s="4">
        <f>Table1[[#This Row],[Total Shipping]]*Table1[[#This Row],[VAT on Shipping]]</f>
        <v>11.200000000000001</v>
      </c>
      <c r="Y743" s="1">
        <f>Table1[[#This Row],[Revenue]]-Table1[[#This Row],[COGS]]</f>
        <v>72</v>
      </c>
      <c r="Z743" s="3">
        <f>(Table1[[#This Row],[Profit]]/Table1[[#This Row],[Revenue]])</f>
        <v>0.39130434782608697</v>
      </c>
      <c r="AA743" s="1">
        <f>Table1[[#This Row],[Profit]]-Table1[[#This Row],[Total Shipping]]</f>
        <v>16</v>
      </c>
      <c r="AB743" s="3">
        <f>Table1[[#This Row],[Operating Profit]]/Table1[[#This Row],[Revenue]]</f>
        <v>8.6956521739130432E-2</v>
      </c>
    </row>
    <row r="744" spans="1:28" x14ac:dyDescent="0.25">
      <c r="A744" t="s">
        <v>337</v>
      </c>
      <c r="B744">
        <v>771</v>
      </c>
      <c r="C744" t="s">
        <v>56</v>
      </c>
      <c r="D744" t="s">
        <v>39</v>
      </c>
      <c r="E744" t="s">
        <v>31</v>
      </c>
      <c r="F744" t="s">
        <v>41</v>
      </c>
      <c r="G744" t="str" cm="1">
        <f t="array" ref="G744">_xlfn.SWITCH(F744,"Acme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744" t="s">
        <v>104</v>
      </c>
      <c r="I744" t="s">
        <v>42</v>
      </c>
      <c r="J744" t="str" cm="1">
        <f t="array" ref="J744">_xlfn.SWITCH(I744,"P001","Laptop","P002","Server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44" s="1" cm="1">
        <f t="array" ref="K744">_xlfn.SWITCH(Table1[[#This Row],[Product ID]],"P001",220,"P002",150,"P003",130,"P004",70,"P005",200,"P006",40,"P007",25,"P008",20,"P009",190,"P010",530)</f>
        <v>40</v>
      </c>
      <c r="L744">
        <v>10</v>
      </c>
      <c r="M744" s="1">
        <f>Table1[[#This Row],[Unit Price]]*Table1[[#This Row],[Quantity]]</f>
        <v>400</v>
      </c>
      <c r="N744" s="2">
        <v>0.03</v>
      </c>
      <c r="O744" s="1">
        <f>Table1[[#This Row],[Gross Value]]*(1-Table1[[#This Row],[Discount]])</f>
        <v>388</v>
      </c>
      <c r="P744" s="2">
        <v>0.2</v>
      </c>
      <c r="Q744" s="1">
        <f>Table1[[#This Row],[Revenue]]*Table1[[#This Row],[VAT Rate]]</f>
        <v>77.600000000000009</v>
      </c>
      <c r="R744" s="1">
        <f>Table1[[#This Row],[Revenue]]+Table1[[#This Row],[VAT Charged]]</f>
        <v>465.6</v>
      </c>
      <c r="S744" s="1" cm="1">
        <f t="array" ref="S744">_xlfn.SWITCH(Table1[[#This Row],[Product ID]],"P001",140,"P002",80,"P003",72,"P004",30,"P005",110,"P006",24,"P007",14,"P008",12,"P009",115,"P010",360)</f>
        <v>24</v>
      </c>
      <c r="T744" s="1" cm="1">
        <f t="array" ref="T744">(_xlfn.SWITCH(Table1[[#This Row],[Product ID]],"P001",140,"P002",80,"P003",72,"P004",30,"P005",110,"P006",24,"P007",14,"P008",12,"P009",115,"P010",360))*Table1[[#This Row],[Quantity]]</f>
        <v>240</v>
      </c>
      <c r="U744" s="1" cm="1">
        <f t="array" ref="U744">_xlfn.SWITCH(Table1[[#This Row],[Product ID]],"P001",15,"P002",0,"P003",8,"P004",8,"P005",0,"P006",7,"P007",7,"P008",6,"P009",45,"P010",60)</f>
        <v>7</v>
      </c>
      <c r="V744" s="1">
        <f>Table1[[#This Row],[Shipping per Unit]]*Table1[[#This Row],[Quantity]]</f>
        <v>70</v>
      </c>
      <c r="W744" s="2">
        <f>IF(Table1[[#This Row],[Total Shipping]]&gt;0.1,0.2,0)</f>
        <v>0.2</v>
      </c>
      <c r="X744" s="4">
        <f>Table1[[#This Row],[Total Shipping]]*Table1[[#This Row],[VAT on Shipping]]</f>
        <v>14</v>
      </c>
      <c r="Y744" s="1">
        <f>Table1[[#This Row],[Revenue]]-Table1[[#This Row],[COGS]]</f>
        <v>148</v>
      </c>
      <c r="Z744" s="3">
        <f>(Table1[[#This Row],[Profit]]/Table1[[#This Row],[Revenue]])</f>
        <v>0.38144329896907214</v>
      </c>
      <c r="AA744" s="1">
        <f>Table1[[#This Row],[Profit]]-Table1[[#This Row],[Total Shipping]]</f>
        <v>78</v>
      </c>
      <c r="AB744" s="3">
        <f>Table1[[#This Row],[Operating Profit]]/Table1[[#This Row],[Revenue]]</f>
        <v>0.20103092783505155</v>
      </c>
    </row>
    <row r="745" spans="1:28" x14ac:dyDescent="0.25">
      <c r="A745" t="s">
        <v>338</v>
      </c>
      <c r="B745">
        <v>794</v>
      </c>
      <c r="C745" t="s">
        <v>56</v>
      </c>
      <c r="D745" t="s">
        <v>36</v>
      </c>
      <c r="E745" t="s">
        <v>40</v>
      </c>
      <c r="F745" t="s">
        <v>41</v>
      </c>
      <c r="G745" t="str" cm="1">
        <f t="array" ref="G745">_xlfn.SWITCH(F745,"Acme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745" t="s">
        <v>58</v>
      </c>
      <c r="I745" t="s">
        <v>55</v>
      </c>
      <c r="J745" t="str" cm="1">
        <f t="array" ref="J745">_xlfn.SWITCH(I745,"P001","Laptop","P002","Server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45" s="1" cm="1">
        <f t="array" ref="K745">_xlfn.SWITCH(Table1[[#This Row],[Product ID]],"P001",220,"P002",150,"P003",130,"P004",70,"P005",200,"P006",40,"P007",25,"P008",20,"P009",190,"P010",530)</f>
        <v>70</v>
      </c>
      <c r="L745">
        <v>17</v>
      </c>
      <c r="M745" s="1">
        <f>Table1[[#This Row],[Unit Price]]*Table1[[#This Row],[Quantity]]</f>
        <v>1190</v>
      </c>
      <c r="N745" s="2">
        <v>0.06</v>
      </c>
      <c r="O745" s="1">
        <f>Table1[[#This Row],[Gross Value]]*(1-Table1[[#This Row],[Discount]])</f>
        <v>1118.5999999999999</v>
      </c>
      <c r="P745" s="2">
        <v>0.2</v>
      </c>
      <c r="Q745" s="1">
        <f>Table1[[#This Row],[Revenue]]*Table1[[#This Row],[VAT Rate]]</f>
        <v>223.72</v>
      </c>
      <c r="R745" s="1">
        <f>Table1[[#This Row],[Revenue]]+Table1[[#This Row],[VAT Charged]]</f>
        <v>1342.32</v>
      </c>
      <c r="S745" s="1" cm="1">
        <f t="array" ref="S745">_xlfn.SWITCH(Table1[[#This Row],[Product ID]],"P001",140,"P002",80,"P003",72,"P004",30,"P005",110,"P006",24,"P007",14,"P008",12,"P009",115,"P010",360)</f>
        <v>30</v>
      </c>
      <c r="T745" s="1" cm="1">
        <f t="array" ref="T745">(_xlfn.SWITCH(Table1[[#This Row],[Product ID]],"P001",140,"P002",80,"P003",72,"P004",30,"P005",110,"P006",24,"P007",14,"P008",12,"P009",115,"P010",360))*Table1[[#This Row],[Quantity]]</f>
        <v>510</v>
      </c>
      <c r="U745" s="1" cm="1">
        <f t="array" ref="U745">_xlfn.SWITCH(Table1[[#This Row],[Product ID]],"P001",15,"P002",0,"P003",8,"P004",8,"P005",0,"P006",7,"P007",7,"P008",6,"P009",45,"P010",60)</f>
        <v>8</v>
      </c>
      <c r="V745" s="1">
        <f>Table1[[#This Row],[Shipping per Unit]]*Table1[[#This Row],[Quantity]]</f>
        <v>136</v>
      </c>
      <c r="W745" s="2">
        <f>IF(Table1[[#This Row],[Total Shipping]]&gt;0.1,0.2,0)</f>
        <v>0.2</v>
      </c>
      <c r="X745" s="4">
        <f>Table1[[#This Row],[Total Shipping]]*Table1[[#This Row],[VAT on Shipping]]</f>
        <v>27.200000000000003</v>
      </c>
      <c r="Y745" s="1">
        <f>Table1[[#This Row],[Revenue]]-Table1[[#This Row],[COGS]]</f>
        <v>608.59999999999991</v>
      </c>
      <c r="Z745" s="3">
        <f>(Table1[[#This Row],[Profit]]/Table1[[#This Row],[Revenue]])</f>
        <v>0.54407294832826747</v>
      </c>
      <c r="AA745" s="1">
        <f>Table1[[#This Row],[Profit]]-Table1[[#This Row],[Total Shipping]]</f>
        <v>472.59999999999991</v>
      </c>
      <c r="AB745" s="3">
        <f>Table1[[#This Row],[Operating Profit]]/Table1[[#This Row],[Revenue]]</f>
        <v>0.42249240121580545</v>
      </c>
    </row>
    <row r="746" spans="1:28" x14ac:dyDescent="0.25">
      <c r="A746" t="s">
        <v>339</v>
      </c>
      <c r="B746">
        <v>22</v>
      </c>
      <c r="C746" t="s">
        <v>35</v>
      </c>
      <c r="D746" t="s">
        <v>53</v>
      </c>
      <c r="E746" t="s">
        <v>40</v>
      </c>
      <c r="F746" t="s">
        <v>37</v>
      </c>
      <c r="G746" t="str" cm="1">
        <f t="array" ref="G746">_xlfn.SWITCH(F746,"Acme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746" t="s">
        <v>45</v>
      </c>
      <c r="I746" t="s">
        <v>34</v>
      </c>
      <c r="J746" t="str" cm="1">
        <f t="array" ref="J746">_xlfn.SWITCH(I746,"P001","Laptop","P002","Server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46" s="1" cm="1">
        <f t="array" ref="K746">_xlfn.SWITCH(Table1[[#This Row],[Product ID]],"P001",220,"P002",150,"P003",130,"P004",70,"P005",200,"P006",40,"P007",25,"P008",20,"P009",190,"P010",530)</f>
        <v>20</v>
      </c>
      <c r="L746">
        <v>10</v>
      </c>
      <c r="M746" s="1">
        <f>Table1[[#This Row],[Unit Price]]*Table1[[#This Row],[Quantity]]</f>
        <v>200</v>
      </c>
      <c r="N746" s="2">
        <v>0.04</v>
      </c>
      <c r="O746" s="1">
        <f>Table1[[#This Row],[Gross Value]]*(1-Table1[[#This Row],[Discount]])</f>
        <v>192</v>
      </c>
      <c r="P746" s="2">
        <v>0.2</v>
      </c>
      <c r="Q746" s="1">
        <f>Table1[[#This Row],[Revenue]]*Table1[[#This Row],[VAT Rate]]</f>
        <v>38.400000000000006</v>
      </c>
      <c r="R746" s="1">
        <f>Table1[[#This Row],[Revenue]]+Table1[[#This Row],[VAT Charged]]</f>
        <v>230.4</v>
      </c>
      <c r="S746" s="1" cm="1">
        <f t="array" ref="S746">_xlfn.SWITCH(Table1[[#This Row],[Product ID]],"P001",140,"P002",80,"P003",72,"P004",30,"P005",110,"P006",24,"P007",14,"P008",12,"P009",115,"P010",360)</f>
        <v>12</v>
      </c>
      <c r="T746" s="1" cm="1">
        <f t="array" ref="T746">(_xlfn.SWITCH(Table1[[#This Row],[Product ID]],"P001",140,"P002",80,"P003",72,"P004",30,"P005",110,"P006",24,"P007",14,"P008",12,"P009",115,"P010",360))*Table1[[#This Row],[Quantity]]</f>
        <v>120</v>
      </c>
      <c r="U746" s="1" cm="1">
        <f t="array" ref="U746">_xlfn.SWITCH(Table1[[#This Row],[Product ID]],"P001",15,"P002",0,"P003",8,"P004",8,"P005",0,"P006",7,"P007",7,"P008",6,"P009",45,"P010",60)</f>
        <v>6</v>
      </c>
      <c r="V746" s="1">
        <f>Table1[[#This Row],[Shipping per Unit]]*Table1[[#This Row],[Quantity]]</f>
        <v>60</v>
      </c>
      <c r="W746" s="2">
        <f>IF(Table1[[#This Row],[Total Shipping]]&gt;0.1,0.2,0)</f>
        <v>0.2</v>
      </c>
      <c r="X746" s="4">
        <f>Table1[[#This Row],[Total Shipping]]*Table1[[#This Row],[VAT on Shipping]]</f>
        <v>12</v>
      </c>
      <c r="Y746" s="1">
        <f>Table1[[#This Row],[Revenue]]-Table1[[#This Row],[COGS]]</f>
        <v>72</v>
      </c>
      <c r="Z746" s="3">
        <f>(Table1[[#This Row],[Profit]]/Table1[[#This Row],[Revenue]])</f>
        <v>0.375</v>
      </c>
      <c r="AA746" s="1">
        <f>Table1[[#This Row],[Profit]]-Table1[[#This Row],[Total Shipping]]</f>
        <v>12</v>
      </c>
      <c r="AB746" s="3">
        <f>Table1[[#This Row],[Operating Profit]]/Table1[[#This Row],[Revenue]]</f>
        <v>6.25E-2</v>
      </c>
    </row>
    <row r="747" spans="1:28" x14ac:dyDescent="0.25">
      <c r="A747" t="s">
        <v>339</v>
      </c>
      <c r="B747">
        <v>267</v>
      </c>
      <c r="C747" t="s">
        <v>71</v>
      </c>
      <c r="D747" t="s">
        <v>95</v>
      </c>
      <c r="E747" t="s">
        <v>49</v>
      </c>
      <c r="F747" t="s">
        <v>79</v>
      </c>
      <c r="G747" t="str" cm="1">
        <f t="array" ref="G747">_xlfn.SWITCH(F747,"Acme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747" t="s">
        <v>33</v>
      </c>
      <c r="I747" t="s">
        <v>75</v>
      </c>
      <c r="J747" t="str" cm="1">
        <f t="array" ref="J747">_xlfn.SWITCH(I747,"P001","Laptop","P002","Server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747" s="1" cm="1">
        <f t="array" ref="K747">_xlfn.SWITCH(Table1[[#This Row],[Product ID]],"P001",220,"P002",150,"P003",130,"P004",70,"P005",200,"P006",40,"P007",25,"P008",20,"P009",190,"P010",530)</f>
        <v>200</v>
      </c>
      <c r="L747">
        <v>13</v>
      </c>
      <c r="M747" s="1">
        <f>Table1[[#This Row],[Unit Price]]*Table1[[#This Row],[Quantity]]</f>
        <v>2600</v>
      </c>
      <c r="N747" s="2">
        <v>0.06</v>
      </c>
      <c r="O747" s="1">
        <f>Table1[[#This Row],[Gross Value]]*(1-Table1[[#This Row],[Discount]])</f>
        <v>2444</v>
      </c>
      <c r="P747" s="2">
        <v>0.2</v>
      </c>
      <c r="Q747" s="1">
        <f>Table1[[#This Row],[Revenue]]*Table1[[#This Row],[VAT Rate]]</f>
        <v>488.8</v>
      </c>
      <c r="R747" s="1">
        <f>Table1[[#This Row],[Revenue]]+Table1[[#This Row],[VAT Charged]]</f>
        <v>2932.8</v>
      </c>
      <c r="S747" s="1" cm="1">
        <f t="array" ref="S747">_xlfn.SWITCH(Table1[[#This Row],[Product ID]],"P001",140,"P002",80,"P003",72,"P004",30,"P005",110,"P006",24,"P007",14,"P008",12,"P009",115,"P010",360)</f>
        <v>110</v>
      </c>
      <c r="T747" s="1" cm="1">
        <f t="array" ref="T747">(_xlfn.SWITCH(Table1[[#This Row],[Product ID]],"P001",140,"P002",80,"P003",72,"P004",30,"P005",110,"P006",24,"P007",14,"P008",12,"P009",115,"P010",360))*Table1[[#This Row],[Quantity]]</f>
        <v>1430</v>
      </c>
      <c r="U747" s="1" cm="1">
        <f t="array" ref="U747">_xlfn.SWITCH(Table1[[#This Row],[Product ID]],"P001",15,"P002",0,"P003",8,"P004",8,"P005",0,"P006",7,"P007",7,"P008",6,"P009",45,"P010",60)</f>
        <v>0</v>
      </c>
      <c r="V747" s="1">
        <f>Table1[[#This Row],[Shipping per Unit]]*Table1[[#This Row],[Quantity]]</f>
        <v>0</v>
      </c>
      <c r="W747" s="2">
        <f>IF(Table1[[#This Row],[Total Shipping]]&gt;0.1,0.2,0)</f>
        <v>0</v>
      </c>
      <c r="X747" s="4">
        <f>Table1[[#This Row],[Total Shipping]]*Table1[[#This Row],[VAT on Shipping]]</f>
        <v>0</v>
      </c>
      <c r="Y747" s="1">
        <f>Table1[[#This Row],[Revenue]]-Table1[[#This Row],[COGS]]</f>
        <v>1014</v>
      </c>
      <c r="Z747" s="3">
        <f>(Table1[[#This Row],[Profit]]/Table1[[#This Row],[Revenue]])</f>
        <v>0.41489361702127658</v>
      </c>
      <c r="AA747" s="1">
        <f>Table1[[#This Row],[Profit]]-Table1[[#This Row],[Total Shipping]]</f>
        <v>1014</v>
      </c>
      <c r="AB747" s="3">
        <f>Table1[[#This Row],[Operating Profit]]/Table1[[#This Row],[Revenue]]</f>
        <v>0.41489361702127658</v>
      </c>
    </row>
    <row r="748" spans="1:28" x14ac:dyDescent="0.25">
      <c r="A748" t="s">
        <v>340</v>
      </c>
      <c r="B748">
        <v>99</v>
      </c>
      <c r="C748" t="s">
        <v>65</v>
      </c>
      <c r="D748" t="s">
        <v>57</v>
      </c>
      <c r="E748" t="s">
        <v>49</v>
      </c>
      <c r="F748" t="s">
        <v>119</v>
      </c>
      <c r="G748" t="str" cm="1">
        <f t="array" ref="G748">_xlfn.SWITCH(F748,"Acme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748" t="s">
        <v>58</v>
      </c>
      <c r="I748" t="s">
        <v>60</v>
      </c>
      <c r="J748" t="str" cm="1">
        <f t="array" ref="J748">_xlfn.SWITCH(I748,"P001","Laptop","P002","Server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748" s="1" cm="1">
        <f t="array" ref="K748">_xlfn.SWITCH(Table1[[#This Row],[Product ID]],"P001",220,"P002",150,"P003",130,"P004",70,"P005",200,"P006",40,"P007",25,"P008",20,"P009",190,"P010",530)</f>
        <v>25</v>
      </c>
      <c r="L748">
        <v>2</v>
      </c>
      <c r="M748" s="1">
        <f>Table1[[#This Row],[Unit Price]]*Table1[[#This Row],[Quantity]]</f>
        <v>50</v>
      </c>
      <c r="N748" s="2">
        <v>0.08</v>
      </c>
      <c r="O748" s="1">
        <f>Table1[[#This Row],[Gross Value]]*(1-Table1[[#This Row],[Discount]])</f>
        <v>46</v>
      </c>
      <c r="P748" s="2">
        <v>0.2</v>
      </c>
      <c r="Q748" s="1">
        <f>Table1[[#This Row],[Revenue]]*Table1[[#This Row],[VAT Rate]]</f>
        <v>9.2000000000000011</v>
      </c>
      <c r="R748" s="1">
        <f>Table1[[#This Row],[Revenue]]+Table1[[#This Row],[VAT Charged]]</f>
        <v>55.2</v>
      </c>
      <c r="S748" s="1" cm="1">
        <f t="array" ref="S748">_xlfn.SWITCH(Table1[[#This Row],[Product ID]],"P001",140,"P002",80,"P003",72,"P004",30,"P005",110,"P006",24,"P007",14,"P008",12,"P009",115,"P010",360)</f>
        <v>14</v>
      </c>
      <c r="T748" s="1" cm="1">
        <f t="array" ref="T748">(_xlfn.SWITCH(Table1[[#This Row],[Product ID]],"P001",140,"P002",80,"P003",72,"P004",30,"P005",110,"P006",24,"P007",14,"P008",12,"P009",115,"P010",360))*Table1[[#This Row],[Quantity]]</f>
        <v>28</v>
      </c>
      <c r="U748" s="1" cm="1">
        <f t="array" ref="U748">_xlfn.SWITCH(Table1[[#This Row],[Product ID]],"P001",15,"P002",0,"P003",8,"P004",8,"P005",0,"P006",7,"P007",7,"P008",6,"P009",45,"P010",60)</f>
        <v>7</v>
      </c>
      <c r="V748" s="1">
        <f>Table1[[#This Row],[Shipping per Unit]]*Table1[[#This Row],[Quantity]]</f>
        <v>14</v>
      </c>
      <c r="W748" s="2">
        <f>IF(Table1[[#This Row],[Total Shipping]]&gt;0.1,0.2,0)</f>
        <v>0.2</v>
      </c>
      <c r="X748" s="4">
        <f>Table1[[#This Row],[Total Shipping]]*Table1[[#This Row],[VAT on Shipping]]</f>
        <v>2.8000000000000003</v>
      </c>
      <c r="Y748" s="1">
        <f>Table1[[#This Row],[Revenue]]-Table1[[#This Row],[COGS]]</f>
        <v>18</v>
      </c>
      <c r="Z748" s="3">
        <f>(Table1[[#This Row],[Profit]]/Table1[[#This Row],[Revenue]])</f>
        <v>0.39130434782608697</v>
      </c>
      <c r="AA748" s="1">
        <f>Table1[[#This Row],[Profit]]-Table1[[#This Row],[Total Shipping]]</f>
        <v>4</v>
      </c>
      <c r="AB748" s="3">
        <f>Table1[[#This Row],[Operating Profit]]/Table1[[#This Row],[Revenue]]</f>
        <v>8.6956521739130432E-2</v>
      </c>
    </row>
    <row r="749" spans="1:28" x14ac:dyDescent="0.25">
      <c r="A749" t="s">
        <v>340</v>
      </c>
      <c r="B749">
        <v>350</v>
      </c>
      <c r="C749" t="s">
        <v>83</v>
      </c>
      <c r="D749" t="s">
        <v>57</v>
      </c>
      <c r="E749" t="s">
        <v>49</v>
      </c>
      <c r="F749" t="s">
        <v>41</v>
      </c>
      <c r="G749" t="str" cm="1">
        <f t="array" ref="G749">_xlfn.SWITCH(F749,"Acme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749" t="s">
        <v>33</v>
      </c>
      <c r="I749" t="s">
        <v>60</v>
      </c>
      <c r="J749" t="str" cm="1">
        <f t="array" ref="J749">_xlfn.SWITCH(I749,"P001","Laptop","P002","Server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749" s="1" cm="1">
        <f t="array" ref="K749">_xlfn.SWITCH(Table1[[#This Row],[Product ID]],"P001",220,"P002",150,"P003",130,"P004",70,"P005",200,"P006",40,"P007",25,"P008",20,"P009",190,"P010",530)</f>
        <v>25</v>
      </c>
      <c r="L749">
        <v>20</v>
      </c>
      <c r="M749" s="1">
        <f>Table1[[#This Row],[Unit Price]]*Table1[[#This Row],[Quantity]]</f>
        <v>500</v>
      </c>
      <c r="N749" s="2">
        <v>0.03</v>
      </c>
      <c r="O749" s="1">
        <f>Table1[[#This Row],[Gross Value]]*(1-Table1[[#This Row],[Discount]])</f>
        <v>485</v>
      </c>
      <c r="P749" s="2">
        <v>0.2</v>
      </c>
      <c r="Q749" s="1">
        <f>Table1[[#This Row],[Revenue]]*Table1[[#This Row],[VAT Rate]]</f>
        <v>97</v>
      </c>
      <c r="R749" s="1">
        <f>Table1[[#This Row],[Revenue]]+Table1[[#This Row],[VAT Charged]]</f>
        <v>582</v>
      </c>
      <c r="S749" s="1" cm="1">
        <f t="array" ref="S749">_xlfn.SWITCH(Table1[[#This Row],[Product ID]],"P001",140,"P002",80,"P003",72,"P004",30,"P005",110,"P006",24,"P007",14,"P008",12,"P009",115,"P010",360)</f>
        <v>14</v>
      </c>
      <c r="T749" s="1" cm="1">
        <f t="array" ref="T749">(_xlfn.SWITCH(Table1[[#This Row],[Product ID]],"P001",140,"P002",80,"P003",72,"P004",30,"P005",110,"P006",24,"P007",14,"P008",12,"P009",115,"P010",360))*Table1[[#This Row],[Quantity]]</f>
        <v>280</v>
      </c>
      <c r="U749" s="1" cm="1">
        <f t="array" ref="U749">_xlfn.SWITCH(Table1[[#This Row],[Product ID]],"P001",15,"P002",0,"P003",8,"P004",8,"P005",0,"P006",7,"P007",7,"P008",6,"P009",45,"P010",60)</f>
        <v>7</v>
      </c>
      <c r="V749" s="1">
        <f>Table1[[#This Row],[Shipping per Unit]]*Table1[[#This Row],[Quantity]]</f>
        <v>140</v>
      </c>
      <c r="W749" s="2">
        <f>IF(Table1[[#This Row],[Total Shipping]]&gt;0.1,0.2,0)</f>
        <v>0.2</v>
      </c>
      <c r="X749" s="4">
        <f>Table1[[#This Row],[Total Shipping]]*Table1[[#This Row],[VAT on Shipping]]</f>
        <v>28</v>
      </c>
      <c r="Y749" s="1">
        <f>Table1[[#This Row],[Revenue]]-Table1[[#This Row],[COGS]]</f>
        <v>205</v>
      </c>
      <c r="Z749" s="3">
        <f>(Table1[[#This Row],[Profit]]/Table1[[#This Row],[Revenue]])</f>
        <v>0.42268041237113402</v>
      </c>
      <c r="AA749" s="1">
        <f>Table1[[#This Row],[Profit]]-Table1[[#This Row],[Total Shipping]]</f>
        <v>65</v>
      </c>
      <c r="AB749" s="3">
        <f>Table1[[#This Row],[Operating Profit]]/Table1[[#This Row],[Revenue]]</f>
        <v>0.13402061855670103</v>
      </c>
    </row>
    <row r="750" spans="1:28" x14ac:dyDescent="0.25">
      <c r="A750" t="s">
        <v>340</v>
      </c>
      <c r="B750">
        <v>598</v>
      </c>
      <c r="C750" t="s">
        <v>83</v>
      </c>
      <c r="D750" t="s">
        <v>67</v>
      </c>
      <c r="E750" t="s">
        <v>31</v>
      </c>
      <c r="F750" t="s">
        <v>103</v>
      </c>
      <c r="G750" t="str" cm="1">
        <f t="array" ref="G750">_xlfn.SWITCH(F750,"Acme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750" t="s">
        <v>33</v>
      </c>
      <c r="I750" t="s">
        <v>52</v>
      </c>
      <c r="J750" t="str" cm="1">
        <f t="array" ref="J750">_xlfn.SWITCH(I750,"P001","Laptop","P002","Server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750" s="1" cm="1">
        <f t="array" ref="K750">_xlfn.SWITCH(Table1[[#This Row],[Product ID]],"P001",220,"P002",150,"P003",130,"P004",70,"P005",200,"P006",40,"P007",25,"P008",20,"P009",190,"P010",530)</f>
        <v>130</v>
      </c>
      <c r="L750">
        <v>2</v>
      </c>
      <c r="M750" s="1">
        <f>Table1[[#This Row],[Unit Price]]*Table1[[#This Row],[Quantity]]</f>
        <v>260</v>
      </c>
      <c r="N750" s="2">
        <v>0.03</v>
      </c>
      <c r="O750" s="1">
        <f>Table1[[#This Row],[Gross Value]]*(1-Table1[[#This Row],[Discount]])</f>
        <v>252.2</v>
      </c>
      <c r="P750" s="2">
        <v>0.2</v>
      </c>
      <c r="Q750" s="1">
        <f>Table1[[#This Row],[Revenue]]*Table1[[#This Row],[VAT Rate]]</f>
        <v>50.44</v>
      </c>
      <c r="R750" s="1">
        <f>Table1[[#This Row],[Revenue]]+Table1[[#This Row],[VAT Charged]]</f>
        <v>302.64</v>
      </c>
      <c r="S750" s="1" cm="1">
        <f t="array" ref="S750">_xlfn.SWITCH(Table1[[#This Row],[Product ID]],"P001",140,"P002",80,"P003",72,"P004",30,"P005",110,"P006",24,"P007",14,"P008",12,"P009",115,"P010",360)</f>
        <v>72</v>
      </c>
      <c r="T750" s="1" cm="1">
        <f t="array" ref="T750">(_xlfn.SWITCH(Table1[[#This Row],[Product ID]],"P001",140,"P002",80,"P003",72,"P004",30,"P005",110,"P006",24,"P007",14,"P008",12,"P009",115,"P010",360))*Table1[[#This Row],[Quantity]]</f>
        <v>144</v>
      </c>
      <c r="U750" s="1" cm="1">
        <f t="array" ref="U750">_xlfn.SWITCH(Table1[[#This Row],[Product ID]],"P001",15,"P002",0,"P003",8,"P004",8,"P005",0,"P006",7,"P007",7,"P008",6,"P009",45,"P010",60)</f>
        <v>8</v>
      </c>
      <c r="V750" s="1">
        <f>Table1[[#This Row],[Shipping per Unit]]*Table1[[#This Row],[Quantity]]</f>
        <v>16</v>
      </c>
      <c r="W750" s="2">
        <f>IF(Table1[[#This Row],[Total Shipping]]&gt;0.1,0.2,0)</f>
        <v>0.2</v>
      </c>
      <c r="X750" s="4">
        <f>Table1[[#This Row],[Total Shipping]]*Table1[[#This Row],[VAT on Shipping]]</f>
        <v>3.2</v>
      </c>
      <c r="Y750" s="1">
        <f>Table1[[#This Row],[Revenue]]-Table1[[#This Row],[COGS]]</f>
        <v>108.19999999999999</v>
      </c>
      <c r="Z750" s="3">
        <f>(Table1[[#This Row],[Profit]]/Table1[[#This Row],[Revenue]])</f>
        <v>0.4290245836637589</v>
      </c>
      <c r="AA750" s="1">
        <f>Table1[[#This Row],[Profit]]-Table1[[#This Row],[Total Shipping]]</f>
        <v>92.199999999999989</v>
      </c>
      <c r="AB750" s="3">
        <f>Table1[[#This Row],[Operating Profit]]/Table1[[#This Row],[Revenue]]</f>
        <v>0.36558287073750989</v>
      </c>
    </row>
    <row r="751" spans="1:28" x14ac:dyDescent="0.25">
      <c r="A751" t="s">
        <v>340</v>
      </c>
      <c r="B751">
        <v>751</v>
      </c>
      <c r="C751" t="s">
        <v>38</v>
      </c>
      <c r="D751" t="s">
        <v>39</v>
      </c>
      <c r="E751" t="s">
        <v>40</v>
      </c>
      <c r="F751" t="s">
        <v>102</v>
      </c>
      <c r="G751" t="str" cm="1">
        <f t="array" ref="G751">_xlfn.SWITCH(F751,"Acme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751" t="s">
        <v>45</v>
      </c>
      <c r="I751" t="s">
        <v>55</v>
      </c>
      <c r="J751" t="str" cm="1">
        <f t="array" ref="J751">_xlfn.SWITCH(I751,"P001","Laptop","P002","Server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51" s="1" cm="1">
        <f t="array" ref="K751">_xlfn.SWITCH(Table1[[#This Row],[Product ID]],"P001",220,"P002",150,"P003",130,"P004",70,"P005",200,"P006",40,"P007",25,"P008",20,"P009",190,"P010",530)</f>
        <v>70</v>
      </c>
      <c r="L751">
        <v>7</v>
      </c>
      <c r="M751" s="1">
        <f>Table1[[#This Row],[Unit Price]]*Table1[[#This Row],[Quantity]]</f>
        <v>490</v>
      </c>
      <c r="N751" s="2">
        <v>0.1</v>
      </c>
      <c r="O751" s="1">
        <f>Table1[[#This Row],[Gross Value]]*(1-Table1[[#This Row],[Discount]])</f>
        <v>441</v>
      </c>
      <c r="P751" s="2">
        <v>0.2</v>
      </c>
      <c r="Q751" s="1">
        <f>Table1[[#This Row],[Revenue]]*Table1[[#This Row],[VAT Rate]]</f>
        <v>88.2</v>
      </c>
      <c r="R751" s="1">
        <f>Table1[[#This Row],[Revenue]]+Table1[[#This Row],[VAT Charged]]</f>
        <v>529.20000000000005</v>
      </c>
      <c r="S751" s="1" cm="1">
        <f t="array" ref="S751">_xlfn.SWITCH(Table1[[#This Row],[Product ID]],"P001",140,"P002",80,"P003",72,"P004",30,"P005",110,"P006",24,"P007",14,"P008",12,"P009",115,"P010",360)</f>
        <v>30</v>
      </c>
      <c r="T751" s="1" cm="1">
        <f t="array" ref="T751">(_xlfn.SWITCH(Table1[[#This Row],[Product ID]],"P001",140,"P002",80,"P003",72,"P004",30,"P005",110,"P006",24,"P007",14,"P008",12,"P009",115,"P010",360))*Table1[[#This Row],[Quantity]]</f>
        <v>210</v>
      </c>
      <c r="U751" s="1" cm="1">
        <f t="array" ref="U751">_xlfn.SWITCH(Table1[[#This Row],[Product ID]],"P001",15,"P002",0,"P003",8,"P004",8,"P005",0,"P006",7,"P007",7,"P008",6,"P009",45,"P010",60)</f>
        <v>8</v>
      </c>
      <c r="V751" s="1">
        <f>Table1[[#This Row],[Shipping per Unit]]*Table1[[#This Row],[Quantity]]</f>
        <v>56</v>
      </c>
      <c r="W751" s="2">
        <f>IF(Table1[[#This Row],[Total Shipping]]&gt;0.1,0.2,0)</f>
        <v>0.2</v>
      </c>
      <c r="X751" s="4">
        <f>Table1[[#This Row],[Total Shipping]]*Table1[[#This Row],[VAT on Shipping]]</f>
        <v>11.200000000000001</v>
      </c>
      <c r="Y751" s="1">
        <f>Table1[[#This Row],[Revenue]]-Table1[[#This Row],[COGS]]</f>
        <v>231</v>
      </c>
      <c r="Z751" s="3">
        <f>(Table1[[#This Row],[Profit]]/Table1[[#This Row],[Revenue]])</f>
        <v>0.52380952380952384</v>
      </c>
      <c r="AA751" s="1">
        <f>Table1[[#This Row],[Profit]]-Table1[[#This Row],[Total Shipping]]</f>
        <v>175</v>
      </c>
      <c r="AB751" s="3">
        <f>Table1[[#This Row],[Operating Profit]]/Table1[[#This Row],[Revenue]]</f>
        <v>0.3968253968253968</v>
      </c>
    </row>
    <row r="752" spans="1:28" x14ac:dyDescent="0.25">
      <c r="A752" t="s">
        <v>340</v>
      </c>
      <c r="B752">
        <v>839</v>
      </c>
      <c r="C752" t="s">
        <v>38</v>
      </c>
      <c r="D752" t="s">
        <v>30</v>
      </c>
      <c r="E752" t="s">
        <v>31</v>
      </c>
      <c r="F752" t="s">
        <v>59</v>
      </c>
      <c r="G752" t="str" cm="1">
        <f t="array" ref="G752">_xlfn.SWITCH(F752,"Acme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52" t="s">
        <v>33</v>
      </c>
      <c r="I752" t="s">
        <v>46</v>
      </c>
      <c r="J752" t="str" cm="1">
        <f t="array" ref="J752">_xlfn.SWITCH(I752,"P001","Laptop","P002","Server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752" s="1" cm="1">
        <f t="array" ref="K752">_xlfn.SWITCH(Table1[[#This Row],[Product ID]],"P001",220,"P002",150,"P003",130,"P004",70,"P005",200,"P006",40,"P007",25,"P008",20,"P009",190,"P010",530)</f>
        <v>530</v>
      </c>
      <c r="L752">
        <v>18</v>
      </c>
      <c r="M752" s="1">
        <f>Table1[[#This Row],[Unit Price]]*Table1[[#This Row],[Quantity]]</f>
        <v>9540</v>
      </c>
      <c r="N752" s="2">
        <v>0.03</v>
      </c>
      <c r="O752" s="1">
        <f>Table1[[#This Row],[Gross Value]]*(1-Table1[[#This Row],[Discount]])</f>
        <v>9253.7999999999993</v>
      </c>
      <c r="P752" s="2">
        <v>0.2</v>
      </c>
      <c r="Q752" s="1">
        <f>Table1[[#This Row],[Revenue]]*Table1[[#This Row],[VAT Rate]]</f>
        <v>1850.76</v>
      </c>
      <c r="R752" s="1">
        <f>Table1[[#This Row],[Revenue]]+Table1[[#This Row],[VAT Charged]]</f>
        <v>11104.56</v>
      </c>
      <c r="S752" s="1" cm="1">
        <f t="array" ref="S752">_xlfn.SWITCH(Table1[[#This Row],[Product ID]],"P001",140,"P002",80,"P003",72,"P004",30,"P005",110,"P006",24,"P007",14,"P008",12,"P009",115,"P010",360)</f>
        <v>360</v>
      </c>
      <c r="T752" s="1" cm="1">
        <f t="array" ref="T752">(_xlfn.SWITCH(Table1[[#This Row],[Product ID]],"P001",140,"P002",80,"P003",72,"P004",30,"P005",110,"P006",24,"P007",14,"P008",12,"P009",115,"P010",360))*Table1[[#This Row],[Quantity]]</f>
        <v>6480</v>
      </c>
      <c r="U752" s="1" cm="1">
        <f t="array" ref="U752">_xlfn.SWITCH(Table1[[#This Row],[Product ID]],"P001",15,"P002",0,"P003",8,"P004",8,"P005",0,"P006",7,"P007",7,"P008",6,"P009",45,"P010",60)</f>
        <v>60</v>
      </c>
      <c r="V752" s="1">
        <f>Table1[[#This Row],[Shipping per Unit]]*Table1[[#This Row],[Quantity]]</f>
        <v>1080</v>
      </c>
      <c r="W752" s="2">
        <f>IF(Table1[[#This Row],[Total Shipping]]&gt;0.1,0.2,0)</f>
        <v>0.2</v>
      </c>
      <c r="X752" s="4">
        <f>Table1[[#This Row],[Total Shipping]]*Table1[[#This Row],[VAT on Shipping]]</f>
        <v>216</v>
      </c>
      <c r="Y752" s="1">
        <f>Table1[[#This Row],[Revenue]]-Table1[[#This Row],[COGS]]</f>
        <v>2773.7999999999993</v>
      </c>
      <c r="Z752" s="3">
        <f>(Table1[[#This Row],[Profit]]/Table1[[#This Row],[Revenue]])</f>
        <v>0.29974713090838351</v>
      </c>
      <c r="AA752" s="1">
        <f>Table1[[#This Row],[Profit]]-Table1[[#This Row],[Total Shipping]]</f>
        <v>1693.7999999999993</v>
      </c>
      <c r="AB752" s="3">
        <f>Table1[[#This Row],[Operating Profit]]/Table1[[#This Row],[Revenue]]</f>
        <v>0.18303831939311413</v>
      </c>
    </row>
    <row r="753" spans="1:28" x14ac:dyDescent="0.25">
      <c r="A753" t="s">
        <v>340</v>
      </c>
      <c r="B753">
        <v>876</v>
      </c>
      <c r="C753" t="s">
        <v>38</v>
      </c>
      <c r="D753" t="s">
        <v>48</v>
      </c>
      <c r="E753" t="s">
        <v>49</v>
      </c>
      <c r="F753" t="s">
        <v>103</v>
      </c>
      <c r="G753" t="str" cm="1">
        <f t="array" ref="G753">_xlfn.SWITCH(F753,"Acme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753" t="s">
        <v>58</v>
      </c>
      <c r="I753" t="s">
        <v>52</v>
      </c>
      <c r="J753" t="str" cm="1">
        <f t="array" ref="J753">_xlfn.SWITCH(I753,"P001","Laptop","P002","Server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753" s="1" cm="1">
        <f t="array" ref="K753">_xlfn.SWITCH(Table1[[#This Row],[Product ID]],"P001",220,"P002",150,"P003",130,"P004",70,"P005",200,"P006",40,"P007",25,"P008",20,"P009",190,"P010",530)</f>
        <v>130</v>
      </c>
      <c r="L753">
        <v>19</v>
      </c>
      <c r="M753" s="1">
        <f>Table1[[#This Row],[Unit Price]]*Table1[[#This Row],[Quantity]]</f>
        <v>2470</v>
      </c>
      <c r="N753" s="2">
        <v>0.05</v>
      </c>
      <c r="O753" s="1">
        <f>Table1[[#This Row],[Gross Value]]*(1-Table1[[#This Row],[Discount]])</f>
        <v>2346.5</v>
      </c>
      <c r="P753" s="2">
        <v>0.2</v>
      </c>
      <c r="Q753" s="1">
        <f>Table1[[#This Row],[Revenue]]*Table1[[#This Row],[VAT Rate]]</f>
        <v>469.3</v>
      </c>
      <c r="R753" s="1">
        <f>Table1[[#This Row],[Revenue]]+Table1[[#This Row],[VAT Charged]]</f>
        <v>2815.8</v>
      </c>
      <c r="S753" s="1" cm="1">
        <f t="array" ref="S753">_xlfn.SWITCH(Table1[[#This Row],[Product ID]],"P001",140,"P002",80,"P003",72,"P004",30,"P005",110,"P006",24,"P007",14,"P008",12,"P009",115,"P010",360)</f>
        <v>72</v>
      </c>
      <c r="T753" s="1" cm="1">
        <f t="array" ref="T753">(_xlfn.SWITCH(Table1[[#This Row],[Product ID]],"P001",140,"P002",80,"P003",72,"P004",30,"P005",110,"P006",24,"P007",14,"P008",12,"P009",115,"P010",360))*Table1[[#This Row],[Quantity]]</f>
        <v>1368</v>
      </c>
      <c r="U753" s="1" cm="1">
        <f t="array" ref="U753">_xlfn.SWITCH(Table1[[#This Row],[Product ID]],"P001",15,"P002",0,"P003",8,"P004",8,"P005",0,"P006",7,"P007",7,"P008",6,"P009",45,"P010",60)</f>
        <v>8</v>
      </c>
      <c r="V753" s="1">
        <f>Table1[[#This Row],[Shipping per Unit]]*Table1[[#This Row],[Quantity]]</f>
        <v>152</v>
      </c>
      <c r="W753" s="2">
        <f>IF(Table1[[#This Row],[Total Shipping]]&gt;0.1,0.2,0)</f>
        <v>0.2</v>
      </c>
      <c r="X753" s="4">
        <f>Table1[[#This Row],[Total Shipping]]*Table1[[#This Row],[VAT on Shipping]]</f>
        <v>30.400000000000002</v>
      </c>
      <c r="Y753" s="1">
        <f>Table1[[#This Row],[Revenue]]-Table1[[#This Row],[COGS]]</f>
        <v>978.5</v>
      </c>
      <c r="Z753" s="3">
        <f>(Table1[[#This Row],[Profit]]/Table1[[#This Row],[Revenue]])</f>
        <v>0.41700404858299595</v>
      </c>
      <c r="AA753" s="1">
        <f>Table1[[#This Row],[Profit]]-Table1[[#This Row],[Total Shipping]]</f>
        <v>826.5</v>
      </c>
      <c r="AB753" s="3">
        <f>Table1[[#This Row],[Operating Profit]]/Table1[[#This Row],[Revenue]]</f>
        <v>0.35222672064777327</v>
      </c>
    </row>
    <row r="754" spans="1:28" x14ac:dyDescent="0.25">
      <c r="A754" t="s">
        <v>341</v>
      </c>
      <c r="B754">
        <v>157</v>
      </c>
      <c r="C754" t="s">
        <v>65</v>
      </c>
      <c r="D754" t="s">
        <v>95</v>
      </c>
      <c r="E754" t="s">
        <v>40</v>
      </c>
      <c r="F754" t="s">
        <v>84</v>
      </c>
      <c r="G754" t="str" cm="1">
        <f t="array" ref="G754">_xlfn.SWITCH(F754,"Acme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754" t="s">
        <v>69</v>
      </c>
      <c r="I754" t="s">
        <v>34</v>
      </c>
      <c r="J754" t="str" cm="1">
        <f t="array" ref="J754">_xlfn.SWITCH(I754,"P001","Laptop","P002","Server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54" s="1" cm="1">
        <f t="array" ref="K754">_xlfn.SWITCH(Table1[[#This Row],[Product ID]],"P001",220,"P002",150,"P003",130,"P004",70,"P005",200,"P006",40,"P007",25,"P008",20,"P009",190,"P010",530)</f>
        <v>20</v>
      </c>
      <c r="L754">
        <v>20</v>
      </c>
      <c r="M754" s="1">
        <f>Table1[[#This Row],[Unit Price]]*Table1[[#This Row],[Quantity]]</f>
        <v>400</v>
      </c>
      <c r="N754" s="2">
        <v>0.03</v>
      </c>
      <c r="O754" s="1">
        <f>Table1[[#This Row],[Gross Value]]*(1-Table1[[#This Row],[Discount]])</f>
        <v>388</v>
      </c>
      <c r="P754" s="2">
        <v>0.2</v>
      </c>
      <c r="Q754" s="1">
        <f>Table1[[#This Row],[Revenue]]*Table1[[#This Row],[VAT Rate]]</f>
        <v>77.600000000000009</v>
      </c>
      <c r="R754" s="1">
        <f>Table1[[#This Row],[Revenue]]+Table1[[#This Row],[VAT Charged]]</f>
        <v>465.6</v>
      </c>
      <c r="S754" s="1" cm="1">
        <f t="array" ref="S754">_xlfn.SWITCH(Table1[[#This Row],[Product ID]],"P001",140,"P002",80,"P003",72,"P004",30,"P005",110,"P006",24,"P007",14,"P008",12,"P009",115,"P010",360)</f>
        <v>12</v>
      </c>
      <c r="T754" s="1" cm="1">
        <f t="array" ref="T754">(_xlfn.SWITCH(Table1[[#This Row],[Product ID]],"P001",140,"P002",80,"P003",72,"P004",30,"P005",110,"P006",24,"P007",14,"P008",12,"P009",115,"P010",360))*Table1[[#This Row],[Quantity]]</f>
        <v>240</v>
      </c>
      <c r="U754" s="1" cm="1">
        <f t="array" ref="U754">_xlfn.SWITCH(Table1[[#This Row],[Product ID]],"P001",15,"P002",0,"P003",8,"P004",8,"P005",0,"P006",7,"P007",7,"P008",6,"P009",45,"P010",60)</f>
        <v>6</v>
      </c>
      <c r="V754" s="1">
        <f>Table1[[#This Row],[Shipping per Unit]]*Table1[[#This Row],[Quantity]]</f>
        <v>120</v>
      </c>
      <c r="W754" s="2">
        <f>IF(Table1[[#This Row],[Total Shipping]]&gt;0.1,0.2,0)</f>
        <v>0.2</v>
      </c>
      <c r="X754" s="4">
        <f>Table1[[#This Row],[Total Shipping]]*Table1[[#This Row],[VAT on Shipping]]</f>
        <v>24</v>
      </c>
      <c r="Y754" s="1">
        <f>Table1[[#This Row],[Revenue]]-Table1[[#This Row],[COGS]]</f>
        <v>148</v>
      </c>
      <c r="Z754" s="3">
        <f>(Table1[[#This Row],[Profit]]/Table1[[#This Row],[Revenue]])</f>
        <v>0.38144329896907214</v>
      </c>
      <c r="AA754" s="1">
        <f>Table1[[#This Row],[Profit]]-Table1[[#This Row],[Total Shipping]]</f>
        <v>28</v>
      </c>
      <c r="AB754" s="3">
        <f>Table1[[#This Row],[Operating Profit]]/Table1[[#This Row],[Revenue]]</f>
        <v>7.2164948453608241E-2</v>
      </c>
    </row>
    <row r="755" spans="1:28" x14ac:dyDescent="0.25">
      <c r="A755" t="s">
        <v>341</v>
      </c>
      <c r="B755">
        <v>204</v>
      </c>
      <c r="C755" t="s">
        <v>35</v>
      </c>
      <c r="D755" t="s">
        <v>57</v>
      </c>
      <c r="E755" t="s">
        <v>40</v>
      </c>
      <c r="F755" t="s">
        <v>37</v>
      </c>
      <c r="G755" t="str" cm="1">
        <f t="array" ref="G755">_xlfn.SWITCH(F755,"Acme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755" t="s">
        <v>33</v>
      </c>
      <c r="I755" t="s">
        <v>60</v>
      </c>
      <c r="J755" t="str" cm="1">
        <f t="array" ref="J755">_xlfn.SWITCH(I755,"P001","Laptop","P002","Server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755" s="1" cm="1">
        <f t="array" ref="K755">_xlfn.SWITCH(Table1[[#This Row],[Product ID]],"P001",220,"P002",150,"P003",130,"P004",70,"P005",200,"P006",40,"P007",25,"P008",20,"P009",190,"P010",530)</f>
        <v>25</v>
      </c>
      <c r="L755">
        <v>11</v>
      </c>
      <c r="M755" s="1">
        <f>Table1[[#This Row],[Unit Price]]*Table1[[#This Row],[Quantity]]</f>
        <v>275</v>
      </c>
      <c r="N755" s="2">
        <v>0.08</v>
      </c>
      <c r="O755" s="1">
        <f>Table1[[#This Row],[Gross Value]]*(1-Table1[[#This Row],[Discount]])</f>
        <v>253</v>
      </c>
      <c r="P755" s="2">
        <v>0.2</v>
      </c>
      <c r="Q755" s="1">
        <f>Table1[[#This Row],[Revenue]]*Table1[[#This Row],[VAT Rate]]</f>
        <v>50.6</v>
      </c>
      <c r="R755" s="1">
        <f>Table1[[#This Row],[Revenue]]+Table1[[#This Row],[VAT Charged]]</f>
        <v>303.60000000000002</v>
      </c>
      <c r="S755" s="1" cm="1">
        <f t="array" ref="S755">_xlfn.SWITCH(Table1[[#This Row],[Product ID]],"P001",140,"P002",80,"P003",72,"P004",30,"P005",110,"P006",24,"P007",14,"P008",12,"P009",115,"P010",360)</f>
        <v>14</v>
      </c>
      <c r="T755" s="1" cm="1">
        <f t="array" ref="T755">(_xlfn.SWITCH(Table1[[#This Row],[Product ID]],"P001",140,"P002",80,"P003",72,"P004",30,"P005",110,"P006",24,"P007",14,"P008",12,"P009",115,"P010",360))*Table1[[#This Row],[Quantity]]</f>
        <v>154</v>
      </c>
      <c r="U755" s="1" cm="1">
        <f t="array" ref="U755">_xlfn.SWITCH(Table1[[#This Row],[Product ID]],"P001",15,"P002",0,"P003",8,"P004",8,"P005",0,"P006",7,"P007",7,"P008",6,"P009",45,"P010",60)</f>
        <v>7</v>
      </c>
      <c r="V755" s="1">
        <f>Table1[[#This Row],[Shipping per Unit]]*Table1[[#This Row],[Quantity]]</f>
        <v>77</v>
      </c>
      <c r="W755" s="2">
        <f>IF(Table1[[#This Row],[Total Shipping]]&gt;0.1,0.2,0)</f>
        <v>0.2</v>
      </c>
      <c r="X755" s="4">
        <f>Table1[[#This Row],[Total Shipping]]*Table1[[#This Row],[VAT on Shipping]]</f>
        <v>15.4</v>
      </c>
      <c r="Y755" s="1">
        <f>Table1[[#This Row],[Revenue]]-Table1[[#This Row],[COGS]]</f>
        <v>99</v>
      </c>
      <c r="Z755" s="3">
        <f>(Table1[[#This Row],[Profit]]/Table1[[#This Row],[Revenue]])</f>
        <v>0.39130434782608697</v>
      </c>
      <c r="AA755" s="1">
        <f>Table1[[#This Row],[Profit]]-Table1[[#This Row],[Total Shipping]]</f>
        <v>22</v>
      </c>
      <c r="AB755" s="3">
        <f>Table1[[#This Row],[Operating Profit]]/Table1[[#This Row],[Revenue]]</f>
        <v>8.6956521739130432E-2</v>
      </c>
    </row>
    <row r="756" spans="1:28" x14ac:dyDescent="0.25">
      <c r="A756" t="s">
        <v>341</v>
      </c>
      <c r="B756">
        <v>226</v>
      </c>
      <c r="C756" t="s">
        <v>38</v>
      </c>
      <c r="D756" t="s">
        <v>30</v>
      </c>
      <c r="E756" t="s">
        <v>40</v>
      </c>
      <c r="F756" t="s">
        <v>59</v>
      </c>
      <c r="G756" t="str" cm="1">
        <f t="array" ref="G756">_xlfn.SWITCH(F756,"Acme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56" t="s">
        <v>33</v>
      </c>
      <c r="I756" t="s">
        <v>70</v>
      </c>
      <c r="J756" t="str" cm="1">
        <f t="array" ref="J756">_xlfn.SWITCH(I756,"P001","Laptop","P002","Server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756" s="1" cm="1">
        <f t="array" ref="K756">_xlfn.SWITCH(Table1[[#This Row],[Product ID]],"P001",220,"P002",150,"P003",130,"P004",70,"P005",200,"P006",40,"P007",25,"P008",20,"P009",190,"P010",530)</f>
        <v>150</v>
      </c>
      <c r="L756">
        <v>17</v>
      </c>
      <c r="M756" s="1">
        <f>Table1[[#This Row],[Unit Price]]*Table1[[#This Row],[Quantity]]</f>
        <v>2550</v>
      </c>
      <c r="N756" s="2">
        <v>0.03</v>
      </c>
      <c r="O756" s="1">
        <f>Table1[[#This Row],[Gross Value]]*(1-Table1[[#This Row],[Discount]])</f>
        <v>2473.5</v>
      </c>
      <c r="P756" s="2">
        <v>0.2</v>
      </c>
      <c r="Q756" s="1">
        <f>Table1[[#This Row],[Revenue]]*Table1[[#This Row],[VAT Rate]]</f>
        <v>494.70000000000005</v>
      </c>
      <c r="R756" s="1">
        <f>Table1[[#This Row],[Revenue]]+Table1[[#This Row],[VAT Charged]]</f>
        <v>2968.2</v>
      </c>
      <c r="S756" s="1" cm="1">
        <f t="array" ref="S756">_xlfn.SWITCH(Table1[[#This Row],[Product ID]],"P001",140,"P002",80,"P003",72,"P004",30,"P005",110,"P006",24,"P007",14,"P008",12,"P009",115,"P010",360)</f>
        <v>80</v>
      </c>
      <c r="T756" s="1" cm="1">
        <f t="array" ref="T756">(_xlfn.SWITCH(Table1[[#This Row],[Product ID]],"P001",140,"P002",80,"P003",72,"P004",30,"P005",110,"P006",24,"P007",14,"P008",12,"P009",115,"P010",360))*Table1[[#This Row],[Quantity]]</f>
        <v>1360</v>
      </c>
      <c r="U756" s="1" cm="1">
        <f t="array" ref="U756">_xlfn.SWITCH(Table1[[#This Row],[Product ID]],"P001",15,"P002",0,"P003",8,"P004",8,"P005",0,"P006",7,"P007",7,"P008",6,"P009",45,"P010",60)</f>
        <v>0</v>
      </c>
      <c r="V756" s="1">
        <f>Table1[[#This Row],[Shipping per Unit]]*Table1[[#This Row],[Quantity]]</f>
        <v>0</v>
      </c>
      <c r="W756" s="2">
        <f>IF(Table1[[#This Row],[Total Shipping]]&gt;0.1,0.2,0)</f>
        <v>0</v>
      </c>
      <c r="X756" s="4">
        <f>Table1[[#This Row],[Total Shipping]]*Table1[[#This Row],[VAT on Shipping]]</f>
        <v>0</v>
      </c>
      <c r="Y756" s="1">
        <f>Table1[[#This Row],[Revenue]]-Table1[[#This Row],[COGS]]</f>
        <v>1113.5</v>
      </c>
      <c r="Z756" s="3">
        <f>(Table1[[#This Row],[Profit]]/Table1[[#This Row],[Revenue]])</f>
        <v>0.45017182130584193</v>
      </c>
      <c r="AA756" s="1">
        <f>Table1[[#This Row],[Profit]]-Table1[[#This Row],[Total Shipping]]</f>
        <v>1113.5</v>
      </c>
      <c r="AB756" s="3">
        <f>Table1[[#This Row],[Operating Profit]]/Table1[[#This Row],[Revenue]]</f>
        <v>0.45017182130584193</v>
      </c>
    </row>
    <row r="757" spans="1:28" x14ac:dyDescent="0.25">
      <c r="A757" t="s">
        <v>341</v>
      </c>
      <c r="B757">
        <v>273</v>
      </c>
      <c r="C757" t="s">
        <v>65</v>
      </c>
      <c r="D757" t="s">
        <v>57</v>
      </c>
      <c r="E757" t="s">
        <v>49</v>
      </c>
      <c r="F757" t="s">
        <v>102</v>
      </c>
      <c r="G757" t="str" cm="1">
        <f t="array" ref="G757">_xlfn.SWITCH(F757,"Acme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757" t="s">
        <v>58</v>
      </c>
      <c r="I757" t="s">
        <v>52</v>
      </c>
      <c r="J757" t="str" cm="1">
        <f t="array" ref="J757">_xlfn.SWITCH(I757,"P001","Laptop","P002","Server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757" s="1" cm="1">
        <f t="array" ref="K757">_xlfn.SWITCH(Table1[[#This Row],[Product ID]],"P001",220,"P002",150,"P003",130,"P004",70,"P005",200,"P006",40,"P007",25,"P008",20,"P009",190,"P010",530)</f>
        <v>130</v>
      </c>
      <c r="L757">
        <v>5</v>
      </c>
      <c r="M757" s="1">
        <f>Table1[[#This Row],[Unit Price]]*Table1[[#This Row],[Quantity]]</f>
        <v>650</v>
      </c>
      <c r="N757" s="2">
        <v>0.1</v>
      </c>
      <c r="O757" s="1">
        <f>Table1[[#This Row],[Gross Value]]*(1-Table1[[#This Row],[Discount]])</f>
        <v>585</v>
      </c>
      <c r="P757" s="2">
        <v>0.2</v>
      </c>
      <c r="Q757" s="1">
        <f>Table1[[#This Row],[Revenue]]*Table1[[#This Row],[VAT Rate]]</f>
        <v>117</v>
      </c>
      <c r="R757" s="1">
        <f>Table1[[#This Row],[Revenue]]+Table1[[#This Row],[VAT Charged]]</f>
        <v>702</v>
      </c>
      <c r="S757" s="1" cm="1">
        <f t="array" ref="S757">_xlfn.SWITCH(Table1[[#This Row],[Product ID]],"P001",140,"P002",80,"P003",72,"P004",30,"P005",110,"P006",24,"P007",14,"P008",12,"P009",115,"P010",360)</f>
        <v>72</v>
      </c>
      <c r="T757" s="1" cm="1">
        <f t="array" ref="T757">(_xlfn.SWITCH(Table1[[#This Row],[Product ID]],"P001",140,"P002",80,"P003",72,"P004",30,"P005",110,"P006",24,"P007",14,"P008",12,"P009",115,"P010",360))*Table1[[#This Row],[Quantity]]</f>
        <v>360</v>
      </c>
      <c r="U757" s="1" cm="1">
        <f t="array" ref="U757">_xlfn.SWITCH(Table1[[#This Row],[Product ID]],"P001",15,"P002",0,"P003",8,"P004",8,"P005",0,"P006",7,"P007",7,"P008",6,"P009",45,"P010",60)</f>
        <v>8</v>
      </c>
      <c r="V757" s="1">
        <f>Table1[[#This Row],[Shipping per Unit]]*Table1[[#This Row],[Quantity]]</f>
        <v>40</v>
      </c>
      <c r="W757" s="2">
        <f>IF(Table1[[#This Row],[Total Shipping]]&gt;0.1,0.2,0)</f>
        <v>0.2</v>
      </c>
      <c r="X757" s="4">
        <f>Table1[[#This Row],[Total Shipping]]*Table1[[#This Row],[VAT on Shipping]]</f>
        <v>8</v>
      </c>
      <c r="Y757" s="1">
        <f>Table1[[#This Row],[Revenue]]-Table1[[#This Row],[COGS]]</f>
        <v>225</v>
      </c>
      <c r="Z757" s="3">
        <f>(Table1[[#This Row],[Profit]]/Table1[[#This Row],[Revenue]])</f>
        <v>0.38461538461538464</v>
      </c>
      <c r="AA757" s="1">
        <f>Table1[[#This Row],[Profit]]-Table1[[#This Row],[Total Shipping]]</f>
        <v>185</v>
      </c>
      <c r="AB757" s="3">
        <f>Table1[[#This Row],[Operating Profit]]/Table1[[#This Row],[Revenue]]</f>
        <v>0.31623931623931623</v>
      </c>
    </row>
    <row r="758" spans="1:28" x14ac:dyDescent="0.25">
      <c r="A758" t="s">
        <v>341</v>
      </c>
      <c r="B758">
        <v>944</v>
      </c>
      <c r="C758" t="s">
        <v>56</v>
      </c>
      <c r="D758" t="s">
        <v>39</v>
      </c>
      <c r="E758" t="s">
        <v>49</v>
      </c>
      <c r="F758" t="s">
        <v>90</v>
      </c>
      <c r="G758" t="str" cm="1">
        <f t="array" ref="G758">_xlfn.SWITCH(F758,"Acme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758" t="s">
        <v>104</v>
      </c>
      <c r="I758" t="s">
        <v>52</v>
      </c>
      <c r="J758" t="str" cm="1">
        <f t="array" ref="J758">_xlfn.SWITCH(I758,"P001","Laptop","P002","Server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758" s="1" cm="1">
        <f t="array" ref="K758">_xlfn.SWITCH(Table1[[#This Row],[Product ID]],"P001",220,"P002",150,"P003",130,"P004",70,"P005",200,"P006",40,"P007",25,"P008",20,"P009",190,"P010",530)</f>
        <v>130</v>
      </c>
      <c r="L758">
        <v>5</v>
      </c>
      <c r="M758" s="1">
        <f>Table1[[#This Row],[Unit Price]]*Table1[[#This Row],[Quantity]]</f>
        <v>650</v>
      </c>
      <c r="N758" s="2">
        <v>0.05</v>
      </c>
      <c r="O758" s="1">
        <f>Table1[[#This Row],[Gross Value]]*(1-Table1[[#This Row],[Discount]])</f>
        <v>617.5</v>
      </c>
      <c r="P758" s="2">
        <v>0.2</v>
      </c>
      <c r="Q758" s="1">
        <f>Table1[[#This Row],[Revenue]]*Table1[[#This Row],[VAT Rate]]</f>
        <v>123.5</v>
      </c>
      <c r="R758" s="1">
        <f>Table1[[#This Row],[Revenue]]+Table1[[#This Row],[VAT Charged]]</f>
        <v>741</v>
      </c>
      <c r="S758" s="1" cm="1">
        <f t="array" ref="S758">_xlfn.SWITCH(Table1[[#This Row],[Product ID]],"P001",140,"P002",80,"P003",72,"P004",30,"P005",110,"P006",24,"P007",14,"P008",12,"P009",115,"P010",360)</f>
        <v>72</v>
      </c>
      <c r="T758" s="1" cm="1">
        <f t="array" ref="T758">(_xlfn.SWITCH(Table1[[#This Row],[Product ID]],"P001",140,"P002",80,"P003",72,"P004",30,"P005",110,"P006",24,"P007",14,"P008",12,"P009",115,"P010",360))*Table1[[#This Row],[Quantity]]</f>
        <v>360</v>
      </c>
      <c r="U758" s="1" cm="1">
        <f t="array" ref="U758">_xlfn.SWITCH(Table1[[#This Row],[Product ID]],"P001",15,"P002",0,"P003",8,"P004",8,"P005",0,"P006",7,"P007",7,"P008",6,"P009",45,"P010",60)</f>
        <v>8</v>
      </c>
      <c r="V758" s="1">
        <f>Table1[[#This Row],[Shipping per Unit]]*Table1[[#This Row],[Quantity]]</f>
        <v>40</v>
      </c>
      <c r="W758" s="2">
        <f>IF(Table1[[#This Row],[Total Shipping]]&gt;0.1,0.2,0)</f>
        <v>0.2</v>
      </c>
      <c r="X758" s="4">
        <f>Table1[[#This Row],[Total Shipping]]*Table1[[#This Row],[VAT on Shipping]]</f>
        <v>8</v>
      </c>
      <c r="Y758" s="1">
        <f>Table1[[#This Row],[Revenue]]-Table1[[#This Row],[COGS]]</f>
        <v>257.5</v>
      </c>
      <c r="Z758" s="3">
        <f>(Table1[[#This Row],[Profit]]/Table1[[#This Row],[Revenue]])</f>
        <v>0.41700404858299595</v>
      </c>
      <c r="AA758" s="1">
        <f>Table1[[#This Row],[Profit]]-Table1[[#This Row],[Total Shipping]]</f>
        <v>217.5</v>
      </c>
      <c r="AB758" s="3">
        <f>Table1[[#This Row],[Operating Profit]]/Table1[[#This Row],[Revenue]]</f>
        <v>0.35222672064777327</v>
      </c>
    </row>
    <row r="759" spans="1:28" x14ac:dyDescent="0.25">
      <c r="A759" t="s">
        <v>342</v>
      </c>
      <c r="B759">
        <v>501</v>
      </c>
      <c r="C759" t="s">
        <v>71</v>
      </c>
      <c r="D759" t="s">
        <v>53</v>
      </c>
      <c r="E759" t="s">
        <v>31</v>
      </c>
      <c r="F759" t="s">
        <v>92</v>
      </c>
      <c r="G759" t="str" cm="1">
        <f t="array" ref="G759">_xlfn.SWITCH(F759,"Acme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759" t="s">
        <v>33</v>
      </c>
      <c r="I759" t="s">
        <v>42</v>
      </c>
      <c r="J759" t="str" cm="1">
        <f t="array" ref="J759">_xlfn.SWITCH(I759,"P001","Laptop","P002","Server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59" s="1" cm="1">
        <f t="array" ref="K759">_xlfn.SWITCH(Table1[[#This Row],[Product ID]],"P001",220,"P002",150,"P003",130,"P004",70,"P005",200,"P006",40,"P007",25,"P008",20,"P009",190,"P010",530)</f>
        <v>40</v>
      </c>
      <c r="L759">
        <v>4</v>
      </c>
      <c r="M759" s="1">
        <f>Table1[[#This Row],[Unit Price]]*Table1[[#This Row],[Quantity]]</f>
        <v>160</v>
      </c>
      <c r="N759" s="2">
        <v>0.12</v>
      </c>
      <c r="O759" s="1">
        <f>Table1[[#This Row],[Gross Value]]*(1-Table1[[#This Row],[Discount]])</f>
        <v>140.80000000000001</v>
      </c>
      <c r="P759" s="2">
        <v>0.2</v>
      </c>
      <c r="Q759" s="1">
        <f>Table1[[#This Row],[Revenue]]*Table1[[#This Row],[VAT Rate]]</f>
        <v>28.160000000000004</v>
      </c>
      <c r="R759" s="1">
        <f>Table1[[#This Row],[Revenue]]+Table1[[#This Row],[VAT Charged]]</f>
        <v>168.96</v>
      </c>
      <c r="S759" s="1" cm="1">
        <f t="array" ref="S759">_xlfn.SWITCH(Table1[[#This Row],[Product ID]],"P001",140,"P002",80,"P003",72,"P004",30,"P005",110,"P006",24,"P007",14,"P008",12,"P009",115,"P010",360)</f>
        <v>24</v>
      </c>
      <c r="T759" s="1" cm="1">
        <f t="array" ref="T759">(_xlfn.SWITCH(Table1[[#This Row],[Product ID]],"P001",140,"P002",80,"P003",72,"P004",30,"P005",110,"P006",24,"P007",14,"P008",12,"P009",115,"P010",360))*Table1[[#This Row],[Quantity]]</f>
        <v>96</v>
      </c>
      <c r="U759" s="1" cm="1">
        <f t="array" ref="U759">_xlfn.SWITCH(Table1[[#This Row],[Product ID]],"P001",15,"P002",0,"P003",8,"P004",8,"P005",0,"P006",7,"P007",7,"P008",6,"P009",45,"P010",60)</f>
        <v>7</v>
      </c>
      <c r="V759" s="1">
        <f>Table1[[#This Row],[Shipping per Unit]]*Table1[[#This Row],[Quantity]]</f>
        <v>28</v>
      </c>
      <c r="W759" s="2">
        <f>IF(Table1[[#This Row],[Total Shipping]]&gt;0.1,0.2,0)</f>
        <v>0.2</v>
      </c>
      <c r="X759" s="4">
        <f>Table1[[#This Row],[Total Shipping]]*Table1[[#This Row],[VAT on Shipping]]</f>
        <v>5.6000000000000005</v>
      </c>
      <c r="Y759" s="1">
        <f>Table1[[#This Row],[Revenue]]-Table1[[#This Row],[COGS]]</f>
        <v>44.800000000000011</v>
      </c>
      <c r="Z759" s="3">
        <f>(Table1[[#This Row],[Profit]]/Table1[[#This Row],[Revenue]])</f>
        <v>0.31818181818181823</v>
      </c>
      <c r="AA759" s="1">
        <f>Table1[[#This Row],[Profit]]-Table1[[#This Row],[Total Shipping]]</f>
        <v>16.800000000000011</v>
      </c>
      <c r="AB759" s="3">
        <f>Table1[[#This Row],[Operating Profit]]/Table1[[#This Row],[Revenue]]</f>
        <v>0.11931818181818189</v>
      </c>
    </row>
    <row r="760" spans="1:28" x14ac:dyDescent="0.25">
      <c r="A760" t="s">
        <v>342</v>
      </c>
      <c r="B760">
        <v>893</v>
      </c>
      <c r="C760" t="s">
        <v>35</v>
      </c>
      <c r="D760" t="s">
        <v>67</v>
      </c>
      <c r="E760" t="s">
        <v>31</v>
      </c>
      <c r="F760" t="s">
        <v>97</v>
      </c>
      <c r="G760" t="str" cm="1">
        <f t="array" ref="G760">_xlfn.SWITCH(F760,"Acme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760" t="s">
        <v>51</v>
      </c>
      <c r="I760" t="s">
        <v>34</v>
      </c>
      <c r="J760" t="str" cm="1">
        <f t="array" ref="J760">_xlfn.SWITCH(I760,"P001","Laptop","P002","Server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60" s="1" cm="1">
        <f t="array" ref="K760">_xlfn.SWITCH(Table1[[#This Row],[Product ID]],"P001",220,"P002",150,"P003",130,"P004",70,"P005",200,"P006",40,"P007",25,"P008",20,"P009",190,"P010",530)</f>
        <v>20</v>
      </c>
      <c r="L760">
        <v>5</v>
      </c>
      <c r="M760" s="1">
        <f>Table1[[#This Row],[Unit Price]]*Table1[[#This Row],[Quantity]]</f>
        <v>100</v>
      </c>
      <c r="N760" s="2">
        <v>0.1</v>
      </c>
      <c r="O760" s="1">
        <f>Table1[[#This Row],[Gross Value]]*(1-Table1[[#This Row],[Discount]])</f>
        <v>90</v>
      </c>
      <c r="P760" s="2">
        <v>0.2</v>
      </c>
      <c r="Q760" s="1">
        <f>Table1[[#This Row],[Revenue]]*Table1[[#This Row],[VAT Rate]]</f>
        <v>18</v>
      </c>
      <c r="R760" s="1">
        <f>Table1[[#This Row],[Revenue]]+Table1[[#This Row],[VAT Charged]]</f>
        <v>108</v>
      </c>
      <c r="S760" s="1" cm="1">
        <f t="array" ref="S760">_xlfn.SWITCH(Table1[[#This Row],[Product ID]],"P001",140,"P002",80,"P003",72,"P004",30,"P005",110,"P006",24,"P007",14,"P008",12,"P009",115,"P010",360)</f>
        <v>12</v>
      </c>
      <c r="T760" s="1" cm="1">
        <f t="array" ref="T760">(_xlfn.SWITCH(Table1[[#This Row],[Product ID]],"P001",140,"P002",80,"P003",72,"P004",30,"P005",110,"P006",24,"P007",14,"P008",12,"P009",115,"P010",360))*Table1[[#This Row],[Quantity]]</f>
        <v>60</v>
      </c>
      <c r="U760" s="1" cm="1">
        <f t="array" ref="U760">_xlfn.SWITCH(Table1[[#This Row],[Product ID]],"P001",15,"P002",0,"P003",8,"P004",8,"P005",0,"P006",7,"P007",7,"P008",6,"P009",45,"P010",60)</f>
        <v>6</v>
      </c>
      <c r="V760" s="1">
        <f>Table1[[#This Row],[Shipping per Unit]]*Table1[[#This Row],[Quantity]]</f>
        <v>30</v>
      </c>
      <c r="W760" s="2">
        <f>IF(Table1[[#This Row],[Total Shipping]]&gt;0.1,0.2,0)</f>
        <v>0.2</v>
      </c>
      <c r="X760" s="4">
        <f>Table1[[#This Row],[Total Shipping]]*Table1[[#This Row],[VAT on Shipping]]</f>
        <v>6</v>
      </c>
      <c r="Y760" s="1">
        <f>Table1[[#This Row],[Revenue]]-Table1[[#This Row],[COGS]]</f>
        <v>30</v>
      </c>
      <c r="Z760" s="3">
        <f>(Table1[[#This Row],[Profit]]/Table1[[#This Row],[Revenue]])</f>
        <v>0.33333333333333331</v>
      </c>
      <c r="AA760" s="1">
        <f>Table1[[#This Row],[Profit]]-Table1[[#This Row],[Total Shipping]]</f>
        <v>0</v>
      </c>
      <c r="AB760" s="3">
        <f>Table1[[#This Row],[Operating Profit]]/Table1[[#This Row],[Revenue]]</f>
        <v>0</v>
      </c>
    </row>
    <row r="761" spans="1:28" x14ac:dyDescent="0.25">
      <c r="A761" t="s">
        <v>343</v>
      </c>
      <c r="B761">
        <v>313</v>
      </c>
      <c r="C761" t="s">
        <v>65</v>
      </c>
      <c r="D761" t="s">
        <v>57</v>
      </c>
      <c r="E761" t="s">
        <v>31</v>
      </c>
      <c r="F761" t="s">
        <v>59</v>
      </c>
      <c r="G761" t="str" cm="1">
        <f t="array" ref="G761">_xlfn.SWITCH(F761,"Acme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61" t="s">
        <v>45</v>
      </c>
      <c r="I761" t="s">
        <v>55</v>
      </c>
      <c r="J761" t="str" cm="1">
        <f t="array" ref="J761">_xlfn.SWITCH(I761,"P001","Laptop","P002","Server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61" s="1" cm="1">
        <f t="array" ref="K761">_xlfn.SWITCH(Table1[[#This Row],[Product ID]],"P001",220,"P002",150,"P003",130,"P004",70,"P005",200,"P006",40,"P007",25,"P008",20,"P009",190,"P010",530)</f>
        <v>70</v>
      </c>
      <c r="L761">
        <v>19</v>
      </c>
      <c r="M761" s="1">
        <f>Table1[[#This Row],[Unit Price]]*Table1[[#This Row],[Quantity]]</f>
        <v>1330</v>
      </c>
      <c r="N761" s="2">
        <v>0.05</v>
      </c>
      <c r="O761" s="1">
        <f>Table1[[#This Row],[Gross Value]]*(1-Table1[[#This Row],[Discount]])</f>
        <v>1263.5</v>
      </c>
      <c r="P761" s="2">
        <v>0.2</v>
      </c>
      <c r="Q761" s="1">
        <f>Table1[[#This Row],[Revenue]]*Table1[[#This Row],[VAT Rate]]</f>
        <v>252.70000000000002</v>
      </c>
      <c r="R761" s="1">
        <f>Table1[[#This Row],[Revenue]]+Table1[[#This Row],[VAT Charged]]</f>
        <v>1516.2</v>
      </c>
      <c r="S761" s="1" cm="1">
        <f t="array" ref="S761">_xlfn.SWITCH(Table1[[#This Row],[Product ID]],"P001",140,"P002",80,"P003",72,"P004",30,"P005",110,"P006",24,"P007",14,"P008",12,"P009",115,"P010",360)</f>
        <v>30</v>
      </c>
      <c r="T761" s="1" cm="1">
        <f t="array" ref="T761">(_xlfn.SWITCH(Table1[[#This Row],[Product ID]],"P001",140,"P002",80,"P003",72,"P004",30,"P005",110,"P006",24,"P007",14,"P008",12,"P009",115,"P010",360))*Table1[[#This Row],[Quantity]]</f>
        <v>570</v>
      </c>
      <c r="U761" s="1" cm="1">
        <f t="array" ref="U761">_xlfn.SWITCH(Table1[[#This Row],[Product ID]],"P001",15,"P002",0,"P003",8,"P004",8,"P005",0,"P006",7,"P007",7,"P008",6,"P009",45,"P010",60)</f>
        <v>8</v>
      </c>
      <c r="V761" s="1">
        <f>Table1[[#This Row],[Shipping per Unit]]*Table1[[#This Row],[Quantity]]</f>
        <v>152</v>
      </c>
      <c r="W761" s="2">
        <f>IF(Table1[[#This Row],[Total Shipping]]&gt;0.1,0.2,0)</f>
        <v>0.2</v>
      </c>
      <c r="X761" s="4">
        <f>Table1[[#This Row],[Total Shipping]]*Table1[[#This Row],[VAT on Shipping]]</f>
        <v>30.400000000000002</v>
      </c>
      <c r="Y761" s="1">
        <f>Table1[[#This Row],[Revenue]]-Table1[[#This Row],[COGS]]</f>
        <v>693.5</v>
      </c>
      <c r="Z761" s="3">
        <f>(Table1[[#This Row],[Profit]]/Table1[[#This Row],[Revenue]])</f>
        <v>0.54887218045112784</v>
      </c>
      <c r="AA761" s="1">
        <f>Table1[[#This Row],[Profit]]-Table1[[#This Row],[Total Shipping]]</f>
        <v>541.5</v>
      </c>
      <c r="AB761" s="3">
        <f>Table1[[#This Row],[Operating Profit]]/Table1[[#This Row],[Revenue]]</f>
        <v>0.42857142857142855</v>
      </c>
    </row>
    <row r="762" spans="1:28" x14ac:dyDescent="0.25">
      <c r="A762" t="s">
        <v>343</v>
      </c>
      <c r="B762">
        <v>952</v>
      </c>
      <c r="C762" t="s">
        <v>29</v>
      </c>
      <c r="D762" t="s">
        <v>72</v>
      </c>
      <c r="E762" t="s">
        <v>40</v>
      </c>
      <c r="F762" t="s">
        <v>79</v>
      </c>
      <c r="G762" t="str" cm="1">
        <f t="array" ref="G762">_xlfn.SWITCH(F762,"Acme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762" t="s">
        <v>51</v>
      </c>
      <c r="I762" t="s">
        <v>91</v>
      </c>
      <c r="J762" t="str" cm="1">
        <f t="array" ref="J762">_xlfn.SWITCH(I762,"P001","Laptop","P002","Server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762" s="1" cm="1">
        <f t="array" ref="K762">_xlfn.SWITCH(Table1[[#This Row],[Product ID]],"P001",220,"P002",150,"P003",130,"P004",70,"P005",200,"P006",40,"P007",25,"P008",20,"P009",190,"P010",530)</f>
        <v>190</v>
      </c>
      <c r="L762">
        <v>18</v>
      </c>
      <c r="M762" s="1">
        <f>Table1[[#This Row],[Unit Price]]*Table1[[#This Row],[Quantity]]</f>
        <v>3420</v>
      </c>
      <c r="N762" s="2">
        <v>0.04</v>
      </c>
      <c r="O762" s="1">
        <f>Table1[[#This Row],[Gross Value]]*(1-Table1[[#This Row],[Discount]])</f>
        <v>3283.2</v>
      </c>
      <c r="P762" s="2">
        <v>0.2</v>
      </c>
      <c r="Q762" s="1">
        <f>Table1[[#This Row],[Revenue]]*Table1[[#This Row],[VAT Rate]]</f>
        <v>656.64</v>
      </c>
      <c r="R762" s="1">
        <f>Table1[[#This Row],[Revenue]]+Table1[[#This Row],[VAT Charged]]</f>
        <v>3939.8399999999997</v>
      </c>
      <c r="S762" s="1" cm="1">
        <f t="array" ref="S762">_xlfn.SWITCH(Table1[[#This Row],[Product ID]],"P001",140,"P002",80,"P003",72,"P004",30,"P005",110,"P006",24,"P007",14,"P008",12,"P009",115,"P010",360)</f>
        <v>115</v>
      </c>
      <c r="T762" s="1" cm="1">
        <f t="array" ref="T762">(_xlfn.SWITCH(Table1[[#This Row],[Product ID]],"P001",140,"P002",80,"P003",72,"P004",30,"P005",110,"P006",24,"P007",14,"P008",12,"P009",115,"P010",360))*Table1[[#This Row],[Quantity]]</f>
        <v>2070</v>
      </c>
      <c r="U762" s="1" cm="1">
        <f t="array" ref="U762">_xlfn.SWITCH(Table1[[#This Row],[Product ID]],"P001",15,"P002",0,"P003",8,"P004",8,"P005",0,"P006",7,"P007",7,"P008",6,"P009",45,"P010",60)</f>
        <v>45</v>
      </c>
      <c r="V762" s="1">
        <f>Table1[[#This Row],[Shipping per Unit]]*Table1[[#This Row],[Quantity]]</f>
        <v>810</v>
      </c>
      <c r="W762" s="2">
        <f>IF(Table1[[#This Row],[Total Shipping]]&gt;0.1,0.2,0)</f>
        <v>0.2</v>
      </c>
      <c r="X762" s="4">
        <f>Table1[[#This Row],[Total Shipping]]*Table1[[#This Row],[VAT on Shipping]]</f>
        <v>162</v>
      </c>
      <c r="Y762" s="1">
        <f>Table1[[#This Row],[Revenue]]-Table1[[#This Row],[COGS]]</f>
        <v>1213.1999999999998</v>
      </c>
      <c r="Z762" s="3">
        <f>(Table1[[#This Row],[Profit]]/Table1[[#This Row],[Revenue]])</f>
        <v>0.36951754385964908</v>
      </c>
      <c r="AA762" s="1">
        <f>Table1[[#This Row],[Profit]]-Table1[[#This Row],[Total Shipping]]</f>
        <v>403.19999999999982</v>
      </c>
      <c r="AB762" s="3">
        <f>Table1[[#This Row],[Operating Profit]]/Table1[[#This Row],[Revenue]]</f>
        <v>0.1228070175438596</v>
      </c>
    </row>
    <row r="763" spans="1:28" x14ac:dyDescent="0.25">
      <c r="A763" t="s">
        <v>344</v>
      </c>
      <c r="B763">
        <v>174</v>
      </c>
      <c r="C763" t="s">
        <v>38</v>
      </c>
      <c r="D763" t="s">
        <v>30</v>
      </c>
      <c r="E763" t="s">
        <v>31</v>
      </c>
      <c r="F763" t="s">
        <v>59</v>
      </c>
      <c r="G763" t="str" cm="1">
        <f t="array" ref="G763">_xlfn.SWITCH(F763,"Acme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63" t="s">
        <v>33</v>
      </c>
      <c r="I763" t="s">
        <v>42</v>
      </c>
      <c r="J763" t="str" cm="1">
        <f t="array" ref="J763">_xlfn.SWITCH(I763,"P001","Laptop","P002","Server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63" s="1" cm="1">
        <f t="array" ref="K763">_xlfn.SWITCH(Table1[[#This Row],[Product ID]],"P001",220,"P002",150,"P003",130,"P004",70,"P005",200,"P006",40,"P007",25,"P008",20,"P009",190,"P010",530)</f>
        <v>40</v>
      </c>
      <c r="L763">
        <v>14</v>
      </c>
      <c r="M763" s="1">
        <f>Table1[[#This Row],[Unit Price]]*Table1[[#This Row],[Quantity]]</f>
        <v>560</v>
      </c>
      <c r="N763" s="2">
        <v>0.06</v>
      </c>
      <c r="O763" s="1">
        <f>Table1[[#This Row],[Gross Value]]*(1-Table1[[#This Row],[Discount]])</f>
        <v>526.4</v>
      </c>
      <c r="P763" s="2">
        <v>0.2</v>
      </c>
      <c r="Q763" s="1">
        <f>Table1[[#This Row],[Revenue]]*Table1[[#This Row],[VAT Rate]]</f>
        <v>105.28</v>
      </c>
      <c r="R763" s="1">
        <f>Table1[[#This Row],[Revenue]]+Table1[[#This Row],[VAT Charged]]</f>
        <v>631.67999999999995</v>
      </c>
      <c r="S763" s="1" cm="1">
        <f t="array" ref="S763">_xlfn.SWITCH(Table1[[#This Row],[Product ID]],"P001",140,"P002",80,"P003",72,"P004",30,"P005",110,"P006",24,"P007",14,"P008",12,"P009",115,"P010",360)</f>
        <v>24</v>
      </c>
      <c r="T763" s="1" cm="1">
        <f t="array" ref="T763">(_xlfn.SWITCH(Table1[[#This Row],[Product ID]],"P001",140,"P002",80,"P003",72,"P004",30,"P005",110,"P006",24,"P007",14,"P008",12,"P009",115,"P010",360))*Table1[[#This Row],[Quantity]]</f>
        <v>336</v>
      </c>
      <c r="U763" s="1" cm="1">
        <f t="array" ref="U763">_xlfn.SWITCH(Table1[[#This Row],[Product ID]],"P001",15,"P002",0,"P003",8,"P004",8,"P005",0,"P006",7,"P007",7,"P008",6,"P009",45,"P010",60)</f>
        <v>7</v>
      </c>
      <c r="V763" s="1">
        <f>Table1[[#This Row],[Shipping per Unit]]*Table1[[#This Row],[Quantity]]</f>
        <v>98</v>
      </c>
      <c r="W763" s="2">
        <f>IF(Table1[[#This Row],[Total Shipping]]&gt;0.1,0.2,0)</f>
        <v>0.2</v>
      </c>
      <c r="X763" s="4">
        <f>Table1[[#This Row],[Total Shipping]]*Table1[[#This Row],[VAT on Shipping]]</f>
        <v>19.600000000000001</v>
      </c>
      <c r="Y763" s="1">
        <f>Table1[[#This Row],[Revenue]]-Table1[[#This Row],[COGS]]</f>
        <v>190.39999999999998</v>
      </c>
      <c r="Z763" s="3">
        <f>(Table1[[#This Row],[Profit]]/Table1[[#This Row],[Revenue]])</f>
        <v>0.36170212765957444</v>
      </c>
      <c r="AA763" s="1">
        <f>Table1[[#This Row],[Profit]]-Table1[[#This Row],[Total Shipping]]</f>
        <v>92.399999999999977</v>
      </c>
      <c r="AB763" s="3">
        <f>Table1[[#This Row],[Operating Profit]]/Table1[[#This Row],[Revenue]]</f>
        <v>0.175531914893617</v>
      </c>
    </row>
    <row r="764" spans="1:28" x14ac:dyDescent="0.25">
      <c r="A764" t="s">
        <v>344</v>
      </c>
      <c r="B764">
        <v>295</v>
      </c>
      <c r="C764" t="s">
        <v>35</v>
      </c>
      <c r="D764" t="s">
        <v>63</v>
      </c>
      <c r="E764" t="s">
        <v>40</v>
      </c>
      <c r="F764" t="s">
        <v>59</v>
      </c>
      <c r="G764" t="str" cm="1">
        <f t="array" ref="G764">_xlfn.SWITCH(F764,"Acme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64" t="s">
        <v>45</v>
      </c>
      <c r="I764" t="s">
        <v>42</v>
      </c>
      <c r="J764" t="str" cm="1">
        <f t="array" ref="J764">_xlfn.SWITCH(I764,"P001","Laptop","P002","Server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64" s="1" cm="1">
        <f t="array" ref="K764">_xlfn.SWITCH(Table1[[#This Row],[Product ID]],"P001",220,"P002",150,"P003",130,"P004",70,"P005",200,"P006",40,"P007",25,"P008",20,"P009",190,"P010",530)</f>
        <v>40</v>
      </c>
      <c r="L764">
        <v>9</v>
      </c>
      <c r="M764" s="1">
        <f>Table1[[#This Row],[Unit Price]]*Table1[[#This Row],[Quantity]]</f>
        <v>360</v>
      </c>
      <c r="N764" s="2">
        <v>0.08</v>
      </c>
      <c r="O764" s="1">
        <f>Table1[[#This Row],[Gross Value]]*(1-Table1[[#This Row],[Discount]])</f>
        <v>331.2</v>
      </c>
      <c r="P764" s="2">
        <v>0.2</v>
      </c>
      <c r="Q764" s="1">
        <f>Table1[[#This Row],[Revenue]]*Table1[[#This Row],[VAT Rate]]</f>
        <v>66.239999999999995</v>
      </c>
      <c r="R764" s="1">
        <f>Table1[[#This Row],[Revenue]]+Table1[[#This Row],[VAT Charged]]</f>
        <v>397.44</v>
      </c>
      <c r="S764" s="1" cm="1">
        <f t="array" ref="S764">_xlfn.SWITCH(Table1[[#This Row],[Product ID]],"P001",140,"P002",80,"P003",72,"P004",30,"P005",110,"P006",24,"P007",14,"P008",12,"P009",115,"P010",360)</f>
        <v>24</v>
      </c>
      <c r="T764" s="1" cm="1">
        <f t="array" ref="T764">(_xlfn.SWITCH(Table1[[#This Row],[Product ID]],"P001",140,"P002",80,"P003",72,"P004",30,"P005",110,"P006",24,"P007",14,"P008",12,"P009",115,"P010",360))*Table1[[#This Row],[Quantity]]</f>
        <v>216</v>
      </c>
      <c r="U764" s="1" cm="1">
        <f t="array" ref="U764">_xlfn.SWITCH(Table1[[#This Row],[Product ID]],"P001",15,"P002",0,"P003",8,"P004",8,"P005",0,"P006",7,"P007",7,"P008",6,"P009",45,"P010",60)</f>
        <v>7</v>
      </c>
      <c r="V764" s="1">
        <f>Table1[[#This Row],[Shipping per Unit]]*Table1[[#This Row],[Quantity]]</f>
        <v>63</v>
      </c>
      <c r="W764" s="2">
        <f>IF(Table1[[#This Row],[Total Shipping]]&gt;0.1,0.2,0)</f>
        <v>0.2</v>
      </c>
      <c r="X764" s="4">
        <f>Table1[[#This Row],[Total Shipping]]*Table1[[#This Row],[VAT on Shipping]]</f>
        <v>12.600000000000001</v>
      </c>
      <c r="Y764" s="1">
        <f>Table1[[#This Row],[Revenue]]-Table1[[#This Row],[COGS]]</f>
        <v>115.19999999999999</v>
      </c>
      <c r="Z764" s="3">
        <f>(Table1[[#This Row],[Profit]]/Table1[[#This Row],[Revenue]])</f>
        <v>0.34782608695652173</v>
      </c>
      <c r="AA764" s="1">
        <f>Table1[[#This Row],[Profit]]-Table1[[#This Row],[Total Shipping]]</f>
        <v>52.199999999999989</v>
      </c>
      <c r="AB764" s="3">
        <f>Table1[[#This Row],[Operating Profit]]/Table1[[#This Row],[Revenue]]</f>
        <v>0.15760869565217389</v>
      </c>
    </row>
    <row r="765" spans="1:28" x14ac:dyDescent="0.25">
      <c r="A765" t="s">
        <v>344</v>
      </c>
      <c r="B765">
        <v>363</v>
      </c>
      <c r="C765" t="s">
        <v>65</v>
      </c>
      <c r="D765" t="s">
        <v>57</v>
      </c>
      <c r="E765" t="s">
        <v>40</v>
      </c>
      <c r="F765" t="s">
        <v>76</v>
      </c>
      <c r="G765" t="str" cm="1">
        <f t="array" ref="G765">_xlfn.SWITCH(F765,"Acme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765" t="s">
        <v>58</v>
      </c>
      <c r="I765" t="s">
        <v>60</v>
      </c>
      <c r="J765" t="str" cm="1">
        <f t="array" ref="J765">_xlfn.SWITCH(I765,"P001","Laptop","P002","Server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765" s="1" cm="1">
        <f t="array" ref="K765">_xlfn.SWITCH(Table1[[#This Row],[Product ID]],"P001",220,"P002",150,"P003",130,"P004",70,"P005",200,"P006",40,"P007",25,"P008",20,"P009",190,"P010",530)</f>
        <v>25</v>
      </c>
      <c r="L765">
        <v>12</v>
      </c>
      <c r="M765" s="1">
        <f>Table1[[#This Row],[Unit Price]]*Table1[[#This Row],[Quantity]]</f>
        <v>300</v>
      </c>
      <c r="N765" s="2">
        <v>0.04</v>
      </c>
      <c r="O765" s="1">
        <f>Table1[[#This Row],[Gross Value]]*(1-Table1[[#This Row],[Discount]])</f>
        <v>288</v>
      </c>
      <c r="P765" s="2">
        <v>0.2</v>
      </c>
      <c r="Q765" s="1">
        <f>Table1[[#This Row],[Revenue]]*Table1[[#This Row],[VAT Rate]]</f>
        <v>57.6</v>
      </c>
      <c r="R765" s="1">
        <f>Table1[[#This Row],[Revenue]]+Table1[[#This Row],[VAT Charged]]</f>
        <v>345.6</v>
      </c>
      <c r="S765" s="1" cm="1">
        <f t="array" ref="S765">_xlfn.SWITCH(Table1[[#This Row],[Product ID]],"P001",140,"P002",80,"P003",72,"P004",30,"P005",110,"P006",24,"P007",14,"P008",12,"P009",115,"P010",360)</f>
        <v>14</v>
      </c>
      <c r="T765" s="1" cm="1">
        <f t="array" ref="T765">(_xlfn.SWITCH(Table1[[#This Row],[Product ID]],"P001",140,"P002",80,"P003",72,"P004",30,"P005",110,"P006",24,"P007",14,"P008",12,"P009",115,"P010",360))*Table1[[#This Row],[Quantity]]</f>
        <v>168</v>
      </c>
      <c r="U765" s="1" cm="1">
        <f t="array" ref="U765">_xlfn.SWITCH(Table1[[#This Row],[Product ID]],"P001",15,"P002",0,"P003",8,"P004",8,"P005",0,"P006",7,"P007",7,"P008",6,"P009",45,"P010",60)</f>
        <v>7</v>
      </c>
      <c r="V765" s="1">
        <f>Table1[[#This Row],[Shipping per Unit]]*Table1[[#This Row],[Quantity]]</f>
        <v>84</v>
      </c>
      <c r="W765" s="2">
        <f>IF(Table1[[#This Row],[Total Shipping]]&gt;0.1,0.2,0)</f>
        <v>0.2</v>
      </c>
      <c r="X765" s="4">
        <f>Table1[[#This Row],[Total Shipping]]*Table1[[#This Row],[VAT on Shipping]]</f>
        <v>16.8</v>
      </c>
      <c r="Y765" s="1">
        <f>Table1[[#This Row],[Revenue]]-Table1[[#This Row],[COGS]]</f>
        <v>120</v>
      </c>
      <c r="Z765" s="3">
        <f>(Table1[[#This Row],[Profit]]/Table1[[#This Row],[Revenue]])</f>
        <v>0.41666666666666669</v>
      </c>
      <c r="AA765" s="1">
        <f>Table1[[#This Row],[Profit]]-Table1[[#This Row],[Total Shipping]]</f>
        <v>36</v>
      </c>
      <c r="AB765" s="3">
        <f>Table1[[#This Row],[Operating Profit]]/Table1[[#This Row],[Revenue]]</f>
        <v>0.125</v>
      </c>
    </row>
    <row r="766" spans="1:28" x14ac:dyDescent="0.25">
      <c r="A766" t="s">
        <v>344</v>
      </c>
      <c r="B766">
        <v>428</v>
      </c>
      <c r="C766" t="s">
        <v>35</v>
      </c>
      <c r="D766" t="s">
        <v>53</v>
      </c>
      <c r="E766" t="s">
        <v>31</v>
      </c>
      <c r="F766" t="s">
        <v>78</v>
      </c>
      <c r="G766" t="str" cm="1">
        <f t="array" ref="G766">_xlfn.SWITCH(F766,"Acme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766" t="s">
        <v>45</v>
      </c>
      <c r="I766" t="s">
        <v>34</v>
      </c>
      <c r="J766" t="str" cm="1">
        <f t="array" ref="J766">_xlfn.SWITCH(I766,"P001","Laptop","P002","Server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66" s="1" cm="1">
        <f t="array" ref="K766">_xlfn.SWITCH(Table1[[#This Row],[Product ID]],"P001",220,"P002",150,"P003",130,"P004",70,"P005",200,"P006",40,"P007",25,"P008",20,"P009",190,"P010",530)</f>
        <v>20</v>
      </c>
      <c r="L766">
        <v>13</v>
      </c>
      <c r="M766" s="1">
        <f>Table1[[#This Row],[Unit Price]]*Table1[[#This Row],[Quantity]]</f>
        <v>260</v>
      </c>
      <c r="N766" s="2">
        <v>0.1</v>
      </c>
      <c r="O766" s="1">
        <f>Table1[[#This Row],[Gross Value]]*(1-Table1[[#This Row],[Discount]])</f>
        <v>234</v>
      </c>
      <c r="P766" s="2">
        <v>0.2</v>
      </c>
      <c r="Q766" s="1">
        <f>Table1[[#This Row],[Revenue]]*Table1[[#This Row],[VAT Rate]]</f>
        <v>46.800000000000004</v>
      </c>
      <c r="R766" s="1">
        <f>Table1[[#This Row],[Revenue]]+Table1[[#This Row],[VAT Charged]]</f>
        <v>280.8</v>
      </c>
      <c r="S766" s="1" cm="1">
        <f t="array" ref="S766">_xlfn.SWITCH(Table1[[#This Row],[Product ID]],"P001",140,"P002",80,"P003",72,"P004",30,"P005",110,"P006",24,"P007",14,"P008",12,"P009",115,"P010",360)</f>
        <v>12</v>
      </c>
      <c r="T766" s="1" cm="1">
        <f t="array" ref="T766">(_xlfn.SWITCH(Table1[[#This Row],[Product ID]],"P001",140,"P002",80,"P003",72,"P004",30,"P005",110,"P006",24,"P007",14,"P008",12,"P009",115,"P010",360))*Table1[[#This Row],[Quantity]]</f>
        <v>156</v>
      </c>
      <c r="U766" s="1" cm="1">
        <f t="array" ref="U766">_xlfn.SWITCH(Table1[[#This Row],[Product ID]],"P001",15,"P002",0,"P003",8,"P004",8,"P005",0,"P006",7,"P007",7,"P008",6,"P009",45,"P010",60)</f>
        <v>6</v>
      </c>
      <c r="V766" s="1">
        <f>Table1[[#This Row],[Shipping per Unit]]*Table1[[#This Row],[Quantity]]</f>
        <v>78</v>
      </c>
      <c r="W766" s="2">
        <f>IF(Table1[[#This Row],[Total Shipping]]&gt;0.1,0.2,0)</f>
        <v>0.2</v>
      </c>
      <c r="X766" s="4">
        <f>Table1[[#This Row],[Total Shipping]]*Table1[[#This Row],[VAT on Shipping]]</f>
        <v>15.600000000000001</v>
      </c>
      <c r="Y766" s="1">
        <f>Table1[[#This Row],[Revenue]]-Table1[[#This Row],[COGS]]</f>
        <v>78</v>
      </c>
      <c r="Z766" s="3">
        <f>(Table1[[#This Row],[Profit]]/Table1[[#This Row],[Revenue]])</f>
        <v>0.33333333333333331</v>
      </c>
      <c r="AA766" s="1">
        <f>Table1[[#This Row],[Profit]]-Table1[[#This Row],[Total Shipping]]</f>
        <v>0</v>
      </c>
      <c r="AB766" s="3">
        <f>Table1[[#This Row],[Operating Profit]]/Table1[[#This Row],[Revenue]]</f>
        <v>0</v>
      </c>
    </row>
    <row r="767" spans="1:28" x14ac:dyDescent="0.25">
      <c r="A767" t="s">
        <v>344</v>
      </c>
      <c r="B767">
        <v>478</v>
      </c>
      <c r="C767" t="s">
        <v>62</v>
      </c>
      <c r="D767" t="s">
        <v>30</v>
      </c>
      <c r="E767" t="s">
        <v>49</v>
      </c>
      <c r="F767" t="s">
        <v>113</v>
      </c>
      <c r="G767" t="str" cm="1">
        <f t="array" ref="G767">_xlfn.SWITCH(F767,"Acme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767" t="s">
        <v>58</v>
      </c>
      <c r="I767" t="s">
        <v>42</v>
      </c>
      <c r="J767" t="str" cm="1">
        <f t="array" ref="J767">_xlfn.SWITCH(I767,"P001","Laptop","P002","Server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67" s="1" cm="1">
        <f t="array" ref="K767">_xlfn.SWITCH(Table1[[#This Row],[Product ID]],"P001",220,"P002",150,"P003",130,"P004",70,"P005",200,"P006",40,"P007",25,"P008",20,"P009",190,"P010",530)</f>
        <v>40</v>
      </c>
      <c r="L767">
        <v>10</v>
      </c>
      <c r="M767" s="1">
        <f>Table1[[#This Row],[Unit Price]]*Table1[[#This Row],[Quantity]]</f>
        <v>400</v>
      </c>
      <c r="N767" s="2">
        <v>0.03</v>
      </c>
      <c r="O767" s="1">
        <f>Table1[[#This Row],[Gross Value]]*(1-Table1[[#This Row],[Discount]])</f>
        <v>388</v>
      </c>
      <c r="P767" s="2">
        <v>0.2</v>
      </c>
      <c r="Q767" s="1">
        <f>Table1[[#This Row],[Revenue]]*Table1[[#This Row],[VAT Rate]]</f>
        <v>77.600000000000009</v>
      </c>
      <c r="R767" s="1">
        <f>Table1[[#This Row],[Revenue]]+Table1[[#This Row],[VAT Charged]]</f>
        <v>465.6</v>
      </c>
      <c r="S767" s="1" cm="1">
        <f t="array" ref="S767">_xlfn.SWITCH(Table1[[#This Row],[Product ID]],"P001",140,"P002",80,"P003",72,"P004",30,"P005",110,"P006",24,"P007",14,"P008",12,"P009",115,"P010",360)</f>
        <v>24</v>
      </c>
      <c r="T767" s="1" cm="1">
        <f t="array" ref="T767">(_xlfn.SWITCH(Table1[[#This Row],[Product ID]],"P001",140,"P002",80,"P003",72,"P004",30,"P005",110,"P006",24,"P007",14,"P008",12,"P009",115,"P010",360))*Table1[[#This Row],[Quantity]]</f>
        <v>240</v>
      </c>
      <c r="U767" s="1" cm="1">
        <f t="array" ref="U767">_xlfn.SWITCH(Table1[[#This Row],[Product ID]],"P001",15,"P002",0,"P003",8,"P004",8,"P005",0,"P006",7,"P007",7,"P008",6,"P009",45,"P010",60)</f>
        <v>7</v>
      </c>
      <c r="V767" s="1">
        <f>Table1[[#This Row],[Shipping per Unit]]*Table1[[#This Row],[Quantity]]</f>
        <v>70</v>
      </c>
      <c r="W767" s="2">
        <f>IF(Table1[[#This Row],[Total Shipping]]&gt;0.1,0.2,0)</f>
        <v>0.2</v>
      </c>
      <c r="X767" s="4">
        <f>Table1[[#This Row],[Total Shipping]]*Table1[[#This Row],[VAT on Shipping]]</f>
        <v>14</v>
      </c>
      <c r="Y767" s="1">
        <f>Table1[[#This Row],[Revenue]]-Table1[[#This Row],[COGS]]</f>
        <v>148</v>
      </c>
      <c r="Z767" s="3">
        <f>(Table1[[#This Row],[Profit]]/Table1[[#This Row],[Revenue]])</f>
        <v>0.38144329896907214</v>
      </c>
      <c r="AA767" s="1">
        <f>Table1[[#This Row],[Profit]]-Table1[[#This Row],[Total Shipping]]</f>
        <v>78</v>
      </c>
      <c r="AB767" s="3">
        <f>Table1[[#This Row],[Operating Profit]]/Table1[[#This Row],[Revenue]]</f>
        <v>0.20103092783505155</v>
      </c>
    </row>
    <row r="768" spans="1:28" x14ac:dyDescent="0.25">
      <c r="A768" t="s">
        <v>344</v>
      </c>
      <c r="B768">
        <v>513</v>
      </c>
      <c r="C768" t="s">
        <v>38</v>
      </c>
      <c r="D768" t="s">
        <v>72</v>
      </c>
      <c r="E768" t="s">
        <v>49</v>
      </c>
      <c r="F768" t="s">
        <v>119</v>
      </c>
      <c r="G768" t="str" cm="1">
        <f t="array" ref="G768">_xlfn.SWITCH(F768,"Acme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768" t="s">
        <v>33</v>
      </c>
      <c r="I768" t="s">
        <v>55</v>
      </c>
      <c r="J768" t="str" cm="1">
        <f t="array" ref="J768">_xlfn.SWITCH(I768,"P001","Laptop","P002","Server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68" s="1" cm="1">
        <f t="array" ref="K768">_xlfn.SWITCH(Table1[[#This Row],[Product ID]],"P001",220,"P002",150,"P003",130,"P004",70,"P005",200,"P006",40,"P007",25,"P008",20,"P009",190,"P010",530)</f>
        <v>70</v>
      </c>
      <c r="L768">
        <v>8</v>
      </c>
      <c r="M768" s="1">
        <f>Table1[[#This Row],[Unit Price]]*Table1[[#This Row],[Quantity]]</f>
        <v>560</v>
      </c>
      <c r="N768" s="2">
        <v>7.0000000000000007E-2</v>
      </c>
      <c r="O768" s="1">
        <f>Table1[[#This Row],[Gross Value]]*(1-Table1[[#This Row],[Discount]])</f>
        <v>520.79999999999995</v>
      </c>
      <c r="P768" s="2">
        <v>0.2</v>
      </c>
      <c r="Q768" s="1">
        <f>Table1[[#This Row],[Revenue]]*Table1[[#This Row],[VAT Rate]]</f>
        <v>104.16</v>
      </c>
      <c r="R768" s="1">
        <f>Table1[[#This Row],[Revenue]]+Table1[[#This Row],[VAT Charged]]</f>
        <v>624.95999999999992</v>
      </c>
      <c r="S768" s="1" cm="1">
        <f t="array" ref="S768">_xlfn.SWITCH(Table1[[#This Row],[Product ID]],"P001",140,"P002",80,"P003",72,"P004",30,"P005",110,"P006",24,"P007",14,"P008",12,"P009",115,"P010",360)</f>
        <v>30</v>
      </c>
      <c r="T768" s="1" cm="1">
        <f t="array" ref="T768">(_xlfn.SWITCH(Table1[[#This Row],[Product ID]],"P001",140,"P002",80,"P003",72,"P004",30,"P005",110,"P006",24,"P007",14,"P008",12,"P009",115,"P010",360))*Table1[[#This Row],[Quantity]]</f>
        <v>240</v>
      </c>
      <c r="U768" s="1" cm="1">
        <f t="array" ref="U768">_xlfn.SWITCH(Table1[[#This Row],[Product ID]],"P001",15,"P002",0,"P003",8,"P004",8,"P005",0,"P006",7,"P007",7,"P008",6,"P009",45,"P010",60)</f>
        <v>8</v>
      </c>
      <c r="V768" s="1">
        <f>Table1[[#This Row],[Shipping per Unit]]*Table1[[#This Row],[Quantity]]</f>
        <v>64</v>
      </c>
      <c r="W768" s="2">
        <f>IF(Table1[[#This Row],[Total Shipping]]&gt;0.1,0.2,0)</f>
        <v>0.2</v>
      </c>
      <c r="X768" s="4">
        <f>Table1[[#This Row],[Total Shipping]]*Table1[[#This Row],[VAT on Shipping]]</f>
        <v>12.8</v>
      </c>
      <c r="Y768" s="1">
        <f>Table1[[#This Row],[Revenue]]-Table1[[#This Row],[COGS]]</f>
        <v>280.79999999999995</v>
      </c>
      <c r="Z768" s="3">
        <f>(Table1[[#This Row],[Profit]]/Table1[[#This Row],[Revenue]])</f>
        <v>0.53917050691244239</v>
      </c>
      <c r="AA768" s="1">
        <f>Table1[[#This Row],[Profit]]-Table1[[#This Row],[Total Shipping]]</f>
        <v>216.79999999999995</v>
      </c>
      <c r="AB768" s="3">
        <f>Table1[[#This Row],[Operating Profit]]/Table1[[#This Row],[Revenue]]</f>
        <v>0.41628264208909366</v>
      </c>
    </row>
    <row r="769" spans="1:28" x14ac:dyDescent="0.25">
      <c r="A769" t="s">
        <v>345</v>
      </c>
      <c r="B769">
        <v>328</v>
      </c>
      <c r="C769" t="s">
        <v>71</v>
      </c>
      <c r="D769" t="s">
        <v>53</v>
      </c>
      <c r="E769" t="s">
        <v>40</v>
      </c>
      <c r="F769" t="s">
        <v>102</v>
      </c>
      <c r="G769" t="str" cm="1">
        <f t="array" ref="G769">_xlfn.SWITCH(F769,"Acme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769" t="s">
        <v>51</v>
      </c>
      <c r="I769" t="s">
        <v>70</v>
      </c>
      <c r="J769" t="str" cm="1">
        <f t="array" ref="J769">_xlfn.SWITCH(I769,"P001","Laptop","P002","Server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769" s="1" cm="1">
        <f t="array" ref="K769">_xlfn.SWITCH(Table1[[#This Row],[Product ID]],"P001",220,"P002",150,"P003",130,"P004",70,"P005",200,"P006",40,"P007",25,"P008",20,"P009",190,"P010",530)</f>
        <v>150</v>
      </c>
      <c r="L769">
        <v>1</v>
      </c>
      <c r="M769" s="1">
        <f>Table1[[#This Row],[Unit Price]]*Table1[[#This Row],[Quantity]]</f>
        <v>150</v>
      </c>
      <c r="N769" s="2">
        <v>0.08</v>
      </c>
      <c r="O769" s="1">
        <f>Table1[[#This Row],[Gross Value]]*(1-Table1[[#This Row],[Discount]])</f>
        <v>138</v>
      </c>
      <c r="P769" s="2">
        <v>0.2</v>
      </c>
      <c r="Q769" s="1">
        <f>Table1[[#This Row],[Revenue]]*Table1[[#This Row],[VAT Rate]]</f>
        <v>27.6</v>
      </c>
      <c r="R769" s="1">
        <f>Table1[[#This Row],[Revenue]]+Table1[[#This Row],[VAT Charged]]</f>
        <v>165.6</v>
      </c>
      <c r="S769" s="1" cm="1">
        <f t="array" ref="S769">_xlfn.SWITCH(Table1[[#This Row],[Product ID]],"P001",140,"P002",80,"P003",72,"P004",30,"P005",110,"P006",24,"P007",14,"P008",12,"P009",115,"P010",360)</f>
        <v>80</v>
      </c>
      <c r="T769" s="1" cm="1">
        <f t="array" ref="T769">(_xlfn.SWITCH(Table1[[#This Row],[Product ID]],"P001",140,"P002",80,"P003",72,"P004",30,"P005",110,"P006",24,"P007",14,"P008",12,"P009",115,"P010",360))*Table1[[#This Row],[Quantity]]</f>
        <v>80</v>
      </c>
      <c r="U769" s="1" cm="1">
        <f t="array" ref="U769">_xlfn.SWITCH(Table1[[#This Row],[Product ID]],"P001",15,"P002",0,"P003",8,"P004",8,"P005",0,"P006",7,"P007",7,"P008",6,"P009",45,"P010",60)</f>
        <v>0</v>
      </c>
      <c r="V769" s="1">
        <f>Table1[[#This Row],[Shipping per Unit]]*Table1[[#This Row],[Quantity]]</f>
        <v>0</v>
      </c>
      <c r="W769" s="2">
        <f>IF(Table1[[#This Row],[Total Shipping]]&gt;0.1,0.2,0)</f>
        <v>0</v>
      </c>
      <c r="X769" s="4">
        <f>Table1[[#This Row],[Total Shipping]]*Table1[[#This Row],[VAT on Shipping]]</f>
        <v>0</v>
      </c>
      <c r="Y769" s="1">
        <f>Table1[[#This Row],[Revenue]]-Table1[[#This Row],[COGS]]</f>
        <v>58</v>
      </c>
      <c r="Z769" s="3">
        <f>(Table1[[#This Row],[Profit]]/Table1[[#This Row],[Revenue]])</f>
        <v>0.42028985507246375</v>
      </c>
      <c r="AA769" s="1">
        <f>Table1[[#This Row],[Profit]]-Table1[[#This Row],[Total Shipping]]</f>
        <v>58</v>
      </c>
      <c r="AB769" s="3">
        <f>Table1[[#This Row],[Operating Profit]]/Table1[[#This Row],[Revenue]]</f>
        <v>0.42028985507246375</v>
      </c>
    </row>
    <row r="770" spans="1:28" x14ac:dyDescent="0.25">
      <c r="A770" t="s">
        <v>346</v>
      </c>
      <c r="B770">
        <v>439</v>
      </c>
      <c r="C770" t="s">
        <v>29</v>
      </c>
      <c r="D770" t="s">
        <v>53</v>
      </c>
      <c r="E770" t="s">
        <v>31</v>
      </c>
      <c r="F770" t="s">
        <v>66</v>
      </c>
      <c r="G770" t="str" cm="1">
        <f t="array" ref="G770">_xlfn.SWITCH(F770,"Acme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770" t="s">
        <v>58</v>
      </c>
      <c r="I770" t="s">
        <v>42</v>
      </c>
      <c r="J770" t="str" cm="1">
        <f t="array" ref="J770">_xlfn.SWITCH(I770,"P001","Laptop","P002","Server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70" s="1" cm="1">
        <f t="array" ref="K770">_xlfn.SWITCH(Table1[[#This Row],[Product ID]],"P001",220,"P002",150,"P003",130,"P004",70,"P005",200,"P006",40,"P007",25,"P008",20,"P009",190,"P010",530)</f>
        <v>40</v>
      </c>
      <c r="L770">
        <v>11</v>
      </c>
      <c r="M770" s="1">
        <f>Table1[[#This Row],[Unit Price]]*Table1[[#This Row],[Quantity]]</f>
        <v>440</v>
      </c>
      <c r="N770" s="2">
        <v>0.12</v>
      </c>
      <c r="O770" s="1">
        <f>Table1[[#This Row],[Gross Value]]*(1-Table1[[#This Row],[Discount]])</f>
        <v>387.2</v>
      </c>
      <c r="P770" s="2">
        <v>0.2</v>
      </c>
      <c r="Q770" s="1">
        <f>Table1[[#This Row],[Revenue]]*Table1[[#This Row],[VAT Rate]]</f>
        <v>77.44</v>
      </c>
      <c r="R770" s="1">
        <f>Table1[[#This Row],[Revenue]]+Table1[[#This Row],[VAT Charged]]</f>
        <v>464.64</v>
      </c>
      <c r="S770" s="1" cm="1">
        <f t="array" ref="S770">_xlfn.SWITCH(Table1[[#This Row],[Product ID]],"P001",140,"P002",80,"P003",72,"P004",30,"P005",110,"P006",24,"P007",14,"P008",12,"P009",115,"P010",360)</f>
        <v>24</v>
      </c>
      <c r="T770" s="1" cm="1">
        <f t="array" ref="T770">(_xlfn.SWITCH(Table1[[#This Row],[Product ID]],"P001",140,"P002",80,"P003",72,"P004",30,"P005",110,"P006",24,"P007",14,"P008",12,"P009",115,"P010",360))*Table1[[#This Row],[Quantity]]</f>
        <v>264</v>
      </c>
      <c r="U770" s="1" cm="1">
        <f t="array" ref="U770">_xlfn.SWITCH(Table1[[#This Row],[Product ID]],"P001",15,"P002",0,"P003",8,"P004",8,"P005",0,"P006",7,"P007",7,"P008",6,"P009",45,"P010",60)</f>
        <v>7</v>
      </c>
      <c r="V770" s="1">
        <f>Table1[[#This Row],[Shipping per Unit]]*Table1[[#This Row],[Quantity]]</f>
        <v>77</v>
      </c>
      <c r="W770" s="2">
        <f>IF(Table1[[#This Row],[Total Shipping]]&gt;0.1,0.2,0)</f>
        <v>0.2</v>
      </c>
      <c r="X770" s="4">
        <f>Table1[[#This Row],[Total Shipping]]*Table1[[#This Row],[VAT on Shipping]]</f>
        <v>15.4</v>
      </c>
      <c r="Y770" s="1">
        <f>Table1[[#This Row],[Revenue]]-Table1[[#This Row],[COGS]]</f>
        <v>123.19999999999999</v>
      </c>
      <c r="Z770" s="3">
        <f>(Table1[[#This Row],[Profit]]/Table1[[#This Row],[Revenue]])</f>
        <v>0.31818181818181818</v>
      </c>
      <c r="AA770" s="1">
        <f>Table1[[#This Row],[Profit]]-Table1[[#This Row],[Total Shipping]]</f>
        <v>46.199999999999989</v>
      </c>
      <c r="AB770" s="3">
        <f>Table1[[#This Row],[Operating Profit]]/Table1[[#This Row],[Revenue]]</f>
        <v>0.1193181818181818</v>
      </c>
    </row>
    <row r="771" spans="1:28" x14ac:dyDescent="0.25">
      <c r="A771" t="s">
        <v>346</v>
      </c>
      <c r="B771">
        <v>482</v>
      </c>
      <c r="C771" t="s">
        <v>62</v>
      </c>
      <c r="D771" t="s">
        <v>53</v>
      </c>
      <c r="E771" t="s">
        <v>49</v>
      </c>
      <c r="F771" t="s">
        <v>79</v>
      </c>
      <c r="G771" t="str" cm="1">
        <f t="array" ref="G771">_xlfn.SWITCH(F771,"Acme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771" t="s">
        <v>45</v>
      </c>
      <c r="I771" t="s">
        <v>68</v>
      </c>
      <c r="J771" t="str" cm="1">
        <f t="array" ref="J771">_xlfn.SWITCH(I771,"P001","Laptop","P002","Server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771" s="1" cm="1">
        <f t="array" ref="K771">_xlfn.SWITCH(Table1[[#This Row],[Product ID]],"P001",220,"P002",150,"P003",130,"P004",70,"P005",200,"P006",40,"P007",25,"P008",20,"P009",190,"P010",530)</f>
        <v>220</v>
      </c>
      <c r="L771">
        <v>7</v>
      </c>
      <c r="M771" s="1">
        <f>Table1[[#This Row],[Unit Price]]*Table1[[#This Row],[Quantity]]</f>
        <v>1540</v>
      </c>
      <c r="N771" s="2">
        <v>7.0000000000000007E-2</v>
      </c>
      <c r="O771" s="1">
        <f>Table1[[#This Row],[Gross Value]]*(1-Table1[[#This Row],[Discount]])</f>
        <v>1432.1999999999998</v>
      </c>
      <c r="P771" s="2">
        <v>0.2</v>
      </c>
      <c r="Q771" s="1">
        <f>Table1[[#This Row],[Revenue]]*Table1[[#This Row],[VAT Rate]]</f>
        <v>286.44</v>
      </c>
      <c r="R771" s="1">
        <f>Table1[[#This Row],[Revenue]]+Table1[[#This Row],[VAT Charged]]</f>
        <v>1718.6399999999999</v>
      </c>
      <c r="S771" s="1" cm="1">
        <f t="array" ref="S771">_xlfn.SWITCH(Table1[[#This Row],[Product ID]],"P001",140,"P002",80,"P003",72,"P004",30,"P005",110,"P006",24,"P007",14,"P008",12,"P009",115,"P010",360)</f>
        <v>140</v>
      </c>
      <c r="T771" s="1" cm="1">
        <f t="array" ref="T771">(_xlfn.SWITCH(Table1[[#This Row],[Product ID]],"P001",140,"P002",80,"P003",72,"P004",30,"P005",110,"P006",24,"P007",14,"P008",12,"P009",115,"P010",360))*Table1[[#This Row],[Quantity]]</f>
        <v>980</v>
      </c>
      <c r="U771" s="1" cm="1">
        <f t="array" ref="U771">_xlfn.SWITCH(Table1[[#This Row],[Product ID]],"P001",15,"P002",0,"P003",8,"P004",8,"P005",0,"P006",7,"P007",7,"P008",6,"P009",45,"P010",60)</f>
        <v>15</v>
      </c>
      <c r="V771" s="1">
        <f>Table1[[#This Row],[Shipping per Unit]]*Table1[[#This Row],[Quantity]]</f>
        <v>105</v>
      </c>
      <c r="W771" s="2">
        <f>IF(Table1[[#This Row],[Total Shipping]]&gt;0.1,0.2,0)</f>
        <v>0.2</v>
      </c>
      <c r="X771" s="4">
        <f>Table1[[#This Row],[Total Shipping]]*Table1[[#This Row],[VAT on Shipping]]</f>
        <v>21</v>
      </c>
      <c r="Y771" s="1">
        <f>Table1[[#This Row],[Revenue]]-Table1[[#This Row],[COGS]]</f>
        <v>452.19999999999982</v>
      </c>
      <c r="Z771" s="3">
        <f>(Table1[[#This Row],[Profit]]/Table1[[#This Row],[Revenue]])</f>
        <v>0.31573802541544466</v>
      </c>
      <c r="AA771" s="1">
        <f>Table1[[#This Row],[Profit]]-Table1[[#This Row],[Total Shipping]]</f>
        <v>347.19999999999982</v>
      </c>
      <c r="AB771" s="3">
        <f>Table1[[#This Row],[Operating Profit]]/Table1[[#This Row],[Revenue]]</f>
        <v>0.24242424242424232</v>
      </c>
    </row>
    <row r="772" spans="1:28" x14ac:dyDescent="0.25">
      <c r="A772" t="s">
        <v>346</v>
      </c>
      <c r="B772">
        <v>509</v>
      </c>
      <c r="C772" t="s">
        <v>65</v>
      </c>
      <c r="D772" t="s">
        <v>48</v>
      </c>
      <c r="E772" t="s">
        <v>40</v>
      </c>
      <c r="F772" t="s">
        <v>113</v>
      </c>
      <c r="G772" t="str" cm="1">
        <f t="array" ref="G772">_xlfn.SWITCH(F772,"Acme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772" t="s">
        <v>51</v>
      </c>
      <c r="I772" t="s">
        <v>91</v>
      </c>
      <c r="J772" t="str" cm="1">
        <f t="array" ref="J772">_xlfn.SWITCH(I772,"P001","Laptop","P002","Server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772" s="1" cm="1">
        <f t="array" ref="K772">_xlfn.SWITCH(Table1[[#This Row],[Product ID]],"P001",220,"P002",150,"P003",130,"P004",70,"P005",200,"P006",40,"P007",25,"P008",20,"P009",190,"P010",530)</f>
        <v>190</v>
      </c>
      <c r="L772">
        <v>6</v>
      </c>
      <c r="M772" s="1">
        <f>Table1[[#This Row],[Unit Price]]*Table1[[#This Row],[Quantity]]</f>
        <v>1140</v>
      </c>
      <c r="N772" s="2">
        <v>0.03</v>
      </c>
      <c r="O772" s="1">
        <f>Table1[[#This Row],[Gross Value]]*(1-Table1[[#This Row],[Discount]])</f>
        <v>1105.8</v>
      </c>
      <c r="P772" s="2">
        <v>0.2</v>
      </c>
      <c r="Q772" s="1">
        <f>Table1[[#This Row],[Revenue]]*Table1[[#This Row],[VAT Rate]]</f>
        <v>221.16</v>
      </c>
      <c r="R772" s="1">
        <f>Table1[[#This Row],[Revenue]]+Table1[[#This Row],[VAT Charged]]</f>
        <v>1326.96</v>
      </c>
      <c r="S772" s="1" cm="1">
        <f t="array" ref="S772">_xlfn.SWITCH(Table1[[#This Row],[Product ID]],"P001",140,"P002",80,"P003",72,"P004",30,"P005",110,"P006",24,"P007",14,"P008",12,"P009",115,"P010",360)</f>
        <v>115</v>
      </c>
      <c r="T772" s="1" cm="1">
        <f t="array" ref="T772">(_xlfn.SWITCH(Table1[[#This Row],[Product ID]],"P001",140,"P002",80,"P003",72,"P004",30,"P005",110,"P006",24,"P007",14,"P008",12,"P009",115,"P010",360))*Table1[[#This Row],[Quantity]]</f>
        <v>690</v>
      </c>
      <c r="U772" s="1" cm="1">
        <f t="array" ref="U772">_xlfn.SWITCH(Table1[[#This Row],[Product ID]],"P001",15,"P002",0,"P003",8,"P004",8,"P005",0,"P006",7,"P007",7,"P008",6,"P009",45,"P010",60)</f>
        <v>45</v>
      </c>
      <c r="V772" s="1">
        <f>Table1[[#This Row],[Shipping per Unit]]*Table1[[#This Row],[Quantity]]</f>
        <v>270</v>
      </c>
      <c r="W772" s="2">
        <f>IF(Table1[[#This Row],[Total Shipping]]&gt;0.1,0.2,0)</f>
        <v>0.2</v>
      </c>
      <c r="X772" s="4">
        <f>Table1[[#This Row],[Total Shipping]]*Table1[[#This Row],[VAT on Shipping]]</f>
        <v>54</v>
      </c>
      <c r="Y772" s="1">
        <f>Table1[[#This Row],[Revenue]]-Table1[[#This Row],[COGS]]</f>
        <v>415.79999999999995</v>
      </c>
      <c r="Z772" s="3">
        <f>(Table1[[#This Row],[Profit]]/Table1[[#This Row],[Revenue]])</f>
        <v>0.37601736299511662</v>
      </c>
      <c r="AA772" s="1">
        <f>Table1[[#This Row],[Profit]]-Table1[[#This Row],[Total Shipping]]</f>
        <v>145.79999999999995</v>
      </c>
      <c r="AB772" s="3">
        <f>Table1[[#This Row],[Operating Profit]]/Table1[[#This Row],[Revenue]]</f>
        <v>0.1318502441671188</v>
      </c>
    </row>
    <row r="773" spans="1:28" x14ac:dyDescent="0.25">
      <c r="A773" t="s">
        <v>347</v>
      </c>
      <c r="B773">
        <v>802</v>
      </c>
      <c r="C773" t="s">
        <v>83</v>
      </c>
      <c r="D773" t="s">
        <v>63</v>
      </c>
      <c r="E773" t="s">
        <v>49</v>
      </c>
      <c r="F773" t="s">
        <v>119</v>
      </c>
      <c r="G773" t="str" cm="1">
        <f t="array" ref="G773">_xlfn.SWITCH(F773,"Acme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773" t="s">
        <v>33</v>
      </c>
      <c r="I773" t="s">
        <v>42</v>
      </c>
      <c r="J773" t="str" cm="1">
        <f t="array" ref="J773">_xlfn.SWITCH(I773,"P001","Laptop","P002","Server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73" s="1" cm="1">
        <f t="array" ref="K773">_xlfn.SWITCH(Table1[[#This Row],[Product ID]],"P001",220,"P002",150,"P003",130,"P004",70,"P005",200,"P006",40,"P007",25,"P008",20,"P009",190,"P010",530)</f>
        <v>40</v>
      </c>
      <c r="L773">
        <v>10</v>
      </c>
      <c r="M773" s="1">
        <f>Table1[[#This Row],[Unit Price]]*Table1[[#This Row],[Quantity]]</f>
        <v>400</v>
      </c>
      <c r="N773" s="2">
        <v>0.03</v>
      </c>
      <c r="O773" s="1">
        <f>Table1[[#This Row],[Gross Value]]*(1-Table1[[#This Row],[Discount]])</f>
        <v>388</v>
      </c>
      <c r="P773" s="2">
        <v>0.2</v>
      </c>
      <c r="Q773" s="1">
        <f>Table1[[#This Row],[Revenue]]*Table1[[#This Row],[VAT Rate]]</f>
        <v>77.600000000000009</v>
      </c>
      <c r="R773" s="1">
        <f>Table1[[#This Row],[Revenue]]+Table1[[#This Row],[VAT Charged]]</f>
        <v>465.6</v>
      </c>
      <c r="S773" s="1" cm="1">
        <f t="array" ref="S773">_xlfn.SWITCH(Table1[[#This Row],[Product ID]],"P001",140,"P002",80,"P003",72,"P004",30,"P005",110,"P006",24,"P007",14,"P008",12,"P009",115,"P010",360)</f>
        <v>24</v>
      </c>
      <c r="T773" s="1" cm="1">
        <f t="array" ref="T773">(_xlfn.SWITCH(Table1[[#This Row],[Product ID]],"P001",140,"P002",80,"P003",72,"P004",30,"P005",110,"P006",24,"P007",14,"P008",12,"P009",115,"P010",360))*Table1[[#This Row],[Quantity]]</f>
        <v>240</v>
      </c>
      <c r="U773" s="1" cm="1">
        <f t="array" ref="U773">_xlfn.SWITCH(Table1[[#This Row],[Product ID]],"P001",15,"P002",0,"P003",8,"P004",8,"P005",0,"P006",7,"P007",7,"P008",6,"P009",45,"P010",60)</f>
        <v>7</v>
      </c>
      <c r="V773" s="1">
        <f>Table1[[#This Row],[Shipping per Unit]]*Table1[[#This Row],[Quantity]]</f>
        <v>70</v>
      </c>
      <c r="W773" s="2">
        <f>IF(Table1[[#This Row],[Total Shipping]]&gt;0.1,0.2,0)</f>
        <v>0.2</v>
      </c>
      <c r="X773" s="4">
        <f>Table1[[#This Row],[Total Shipping]]*Table1[[#This Row],[VAT on Shipping]]</f>
        <v>14</v>
      </c>
      <c r="Y773" s="1">
        <f>Table1[[#This Row],[Revenue]]-Table1[[#This Row],[COGS]]</f>
        <v>148</v>
      </c>
      <c r="Z773" s="3">
        <f>(Table1[[#This Row],[Profit]]/Table1[[#This Row],[Revenue]])</f>
        <v>0.38144329896907214</v>
      </c>
      <c r="AA773" s="1">
        <f>Table1[[#This Row],[Profit]]-Table1[[#This Row],[Total Shipping]]</f>
        <v>78</v>
      </c>
      <c r="AB773" s="3">
        <f>Table1[[#This Row],[Operating Profit]]/Table1[[#This Row],[Revenue]]</f>
        <v>0.20103092783505155</v>
      </c>
    </row>
    <row r="774" spans="1:28" x14ac:dyDescent="0.25">
      <c r="A774" t="s">
        <v>348</v>
      </c>
      <c r="B774">
        <v>123</v>
      </c>
      <c r="C774" t="s">
        <v>65</v>
      </c>
      <c r="D774" t="s">
        <v>39</v>
      </c>
      <c r="E774" t="s">
        <v>31</v>
      </c>
      <c r="F774" t="s">
        <v>59</v>
      </c>
      <c r="G774" t="str" cm="1">
        <f t="array" ref="G774">_xlfn.SWITCH(F774,"Acme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74" t="s">
        <v>33</v>
      </c>
      <c r="I774" t="s">
        <v>68</v>
      </c>
      <c r="J774" t="str" cm="1">
        <f t="array" ref="J774">_xlfn.SWITCH(I774,"P001","Laptop","P002","Server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774" s="1" cm="1">
        <f t="array" ref="K774">_xlfn.SWITCH(Table1[[#This Row],[Product ID]],"P001",220,"P002",150,"P003",130,"P004",70,"P005",200,"P006",40,"P007",25,"P008",20,"P009",190,"P010",530)</f>
        <v>220</v>
      </c>
      <c r="L774">
        <v>12</v>
      </c>
      <c r="M774" s="1">
        <f>Table1[[#This Row],[Unit Price]]*Table1[[#This Row],[Quantity]]</f>
        <v>2640</v>
      </c>
      <c r="N774" s="2">
        <v>0.06</v>
      </c>
      <c r="O774" s="1">
        <f>Table1[[#This Row],[Gross Value]]*(1-Table1[[#This Row],[Discount]])</f>
        <v>2481.6</v>
      </c>
      <c r="P774" s="2">
        <v>0.2</v>
      </c>
      <c r="Q774" s="1">
        <f>Table1[[#This Row],[Revenue]]*Table1[[#This Row],[VAT Rate]]</f>
        <v>496.32</v>
      </c>
      <c r="R774" s="1">
        <f>Table1[[#This Row],[Revenue]]+Table1[[#This Row],[VAT Charged]]</f>
        <v>2977.92</v>
      </c>
      <c r="S774" s="1" cm="1">
        <f t="array" ref="S774">_xlfn.SWITCH(Table1[[#This Row],[Product ID]],"P001",140,"P002",80,"P003",72,"P004",30,"P005",110,"P006",24,"P007",14,"P008",12,"P009",115,"P010",360)</f>
        <v>140</v>
      </c>
      <c r="T774" s="1" cm="1">
        <f t="array" ref="T774">(_xlfn.SWITCH(Table1[[#This Row],[Product ID]],"P001",140,"P002",80,"P003",72,"P004",30,"P005",110,"P006",24,"P007",14,"P008",12,"P009",115,"P010",360))*Table1[[#This Row],[Quantity]]</f>
        <v>1680</v>
      </c>
      <c r="U774" s="1" cm="1">
        <f t="array" ref="U774">_xlfn.SWITCH(Table1[[#This Row],[Product ID]],"P001",15,"P002",0,"P003",8,"P004",8,"P005",0,"P006",7,"P007",7,"P008",6,"P009",45,"P010",60)</f>
        <v>15</v>
      </c>
      <c r="V774" s="1">
        <f>Table1[[#This Row],[Shipping per Unit]]*Table1[[#This Row],[Quantity]]</f>
        <v>180</v>
      </c>
      <c r="W774" s="2">
        <f>IF(Table1[[#This Row],[Total Shipping]]&gt;0.1,0.2,0)</f>
        <v>0.2</v>
      </c>
      <c r="X774" s="4">
        <f>Table1[[#This Row],[Total Shipping]]*Table1[[#This Row],[VAT on Shipping]]</f>
        <v>36</v>
      </c>
      <c r="Y774" s="1">
        <f>Table1[[#This Row],[Revenue]]-Table1[[#This Row],[COGS]]</f>
        <v>801.59999999999991</v>
      </c>
      <c r="Z774" s="3">
        <f>(Table1[[#This Row],[Profit]]/Table1[[#This Row],[Revenue]])</f>
        <v>0.32301740812379109</v>
      </c>
      <c r="AA774" s="1">
        <f>Table1[[#This Row],[Profit]]-Table1[[#This Row],[Total Shipping]]</f>
        <v>621.59999999999991</v>
      </c>
      <c r="AB774" s="3">
        <f>Table1[[#This Row],[Operating Profit]]/Table1[[#This Row],[Revenue]]</f>
        <v>0.25048355899419728</v>
      </c>
    </row>
    <row r="775" spans="1:28" x14ac:dyDescent="0.25">
      <c r="A775" t="s">
        <v>348</v>
      </c>
      <c r="B775">
        <v>278</v>
      </c>
      <c r="C775" t="s">
        <v>38</v>
      </c>
      <c r="D775" t="s">
        <v>57</v>
      </c>
      <c r="E775" t="s">
        <v>31</v>
      </c>
      <c r="F775" t="s">
        <v>97</v>
      </c>
      <c r="G775" t="str" cm="1">
        <f t="array" ref="G775">_xlfn.SWITCH(F775,"Acme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775" t="s">
        <v>45</v>
      </c>
      <c r="I775" t="s">
        <v>46</v>
      </c>
      <c r="J775" t="str" cm="1">
        <f t="array" ref="J775">_xlfn.SWITCH(I775,"P001","Laptop","P002","Server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775" s="1" cm="1">
        <f t="array" ref="K775">_xlfn.SWITCH(Table1[[#This Row],[Product ID]],"P001",220,"P002",150,"P003",130,"P004",70,"P005",200,"P006",40,"P007",25,"P008",20,"P009",190,"P010",530)</f>
        <v>530</v>
      </c>
      <c r="L775">
        <v>17</v>
      </c>
      <c r="M775" s="1">
        <f>Table1[[#This Row],[Unit Price]]*Table1[[#This Row],[Quantity]]</f>
        <v>9010</v>
      </c>
      <c r="N775" s="2">
        <v>0.06</v>
      </c>
      <c r="O775" s="1">
        <f>Table1[[#This Row],[Gross Value]]*(1-Table1[[#This Row],[Discount]])</f>
        <v>8469.4</v>
      </c>
      <c r="P775" s="2">
        <v>0.2</v>
      </c>
      <c r="Q775" s="1">
        <f>Table1[[#This Row],[Revenue]]*Table1[[#This Row],[VAT Rate]]</f>
        <v>1693.88</v>
      </c>
      <c r="R775" s="1">
        <f>Table1[[#This Row],[Revenue]]+Table1[[#This Row],[VAT Charged]]</f>
        <v>10163.279999999999</v>
      </c>
      <c r="S775" s="1" cm="1">
        <f t="array" ref="S775">_xlfn.SWITCH(Table1[[#This Row],[Product ID]],"P001",140,"P002",80,"P003",72,"P004",30,"P005",110,"P006",24,"P007",14,"P008",12,"P009",115,"P010",360)</f>
        <v>360</v>
      </c>
      <c r="T775" s="1" cm="1">
        <f t="array" ref="T775">(_xlfn.SWITCH(Table1[[#This Row],[Product ID]],"P001",140,"P002",80,"P003",72,"P004",30,"P005",110,"P006",24,"P007",14,"P008",12,"P009",115,"P010",360))*Table1[[#This Row],[Quantity]]</f>
        <v>6120</v>
      </c>
      <c r="U775" s="1" cm="1">
        <f t="array" ref="U775">_xlfn.SWITCH(Table1[[#This Row],[Product ID]],"P001",15,"P002",0,"P003",8,"P004",8,"P005",0,"P006",7,"P007",7,"P008",6,"P009",45,"P010",60)</f>
        <v>60</v>
      </c>
      <c r="V775" s="1">
        <f>Table1[[#This Row],[Shipping per Unit]]*Table1[[#This Row],[Quantity]]</f>
        <v>1020</v>
      </c>
      <c r="W775" s="2">
        <f>IF(Table1[[#This Row],[Total Shipping]]&gt;0.1,0.2,0)</f>
        <v>0.2</v>
      </c>
      <c r="X775" s="4">
        <f>Table1[[#This Row],[Total Shipping]]*Table1[[#This Row],[VAT on Shipping]]</f>
        <v>204</v>
      </c>
      <c r="Y775" s="1">
        <f>Table1[[#This Row],[Revenue]]-Table1[[#This Row],[COGS]]</f>
        <v>2349.3999999999996</v>
      </c>
      <c r="Z775" s="3">
        <f>(Table1[[#This Row],[Profit]]/Table1[[#This Row],[Revenue]])</f>
        <v>0.27739863508631069</v>
      </c>
      <c r="AA775" s="1">
        <f>Table1[[#This Row],[Profit]]-Table1[[#This Row],[Total Shipping]]</f>
        <v>1329.3999999999996</v>
      </c>
      <c r="AB775" s="3">
        <f>Table1[[#This Row],[Operating Profit]]/Table1[[#This Row],[Revenue]]</f>
        <v>0.15696507426736248</v>
      </c>
    </row>
    <row r="776" spans="1:28" x14ac:dyDescent="0.25">
      <c r="A776" t="s">
        <v>348</v>
      </c>
      <c r="B776">
        <v>432</v>
      </c>
      <c r="C776" t="s">
        <v>65</v>
      </c>
      <c r="D776" t="s">
        <v>53</v>
      </c>
      <c r="E776" t="s">
        <v>49</v>
      </c>
      <c r="F776" t="s">
        <v>74</v>
      </c>
      <c r="G776" t="str" cm="1">
        <f t="array" ref="G776">_xlfn.SWITCH(F776,"Acme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776" t="s">
        <v>45</v>
      </c>
      <c r="I776" t="s">
        <v>60</v>
      </c>
      <c r="J776" t="str" cm="1">
        <f t="array" ref="J776">_xlfn.SWITCH(I776,"P001","Laptop","P002","Server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776" s="1" cm="1">
        <f t="array" ref="K776">_xlfn.SWITCH(Table1[[#This Row],[Product ID]],"P001",220,"P002",150,"P003",130,"P004",70,"P005",200,"P006",40,"P007",25,"P008",20,"P009",190,"P010",530)</f>
        <v>25</v>
      </c>
      <c r="L776">
        <v>8</v>
      </c>
      <c r="M776" s="1">
        <f>Table1[[#This Row],[Unit Price]]*Table1[[#This Row],[Quantity]]</f>
        <v>200</v>
      </c>
      <c r="N776" s="2">
        <v>0.06</v>
      </c>
      <c r="O776" s="1">
        <f>Table1[[#This Row],[Gross Value]]*(1-Table1[[#This Row],[Discount]])</f>
        <v>188</v>
      </c>
      <c r="P776" s="2">
        <v>0.2</v>
      </c>
      <c r="Q776" s="1">
        <f>Table1[[#This Row],[Revenue]]*Table1[[#This Row],[VAT Rate]]</f>
        <v>37.6</v>
      </c>
      <c r="R776" s="1">
        <f>Table1[[#This Row],[Revenue]]+Table1[[#This Row],[VAT Charged]]</f>
        <v>225.6</v>
      </c>
      <c r="S776" s="1" cm="1">
        <f t="array" ref="S776">_xlfn.SWITCH(Table1[[#This Row],[Product ID]],"P001",140,"P002",80,"P003",72,"P004",30,"P005",110,"P006",24,"P007",14,"P008",12,"P009",115,"P010",360)</f>
        <v>14</v>
      </c>
      <c r="T776" s="1" cm="1">
        <f t="array" ref="T776">(_xlfn.SWITCH(Table1[[#This Row],[Product ID]],"P001",140,"P002",80,"P003",72,"P004",30,"P005",110,"P006",24,"P007",14,"P008",12,"P009",115,"P010",360))*Table1[[#This Row],[Quantity]]</f>
        <v>112</v>
      </c>
      <c r="U776" s="1" cm="1">
        <f t="array" ref="U776">_xlfn.SWITCH(Table1[[#This Row],[Product ID]],"P001",15,"P002",0,"P003",8,"P004",8,"P005",0,"P006",7,"P007",7,"P008",6,"P009",45,"P010",60)</f>
        <v>7</v>
      </c>
      <c r="V776" s="1">
        <f>Table1[[#This Row],[Shipping per Unit]]*Table1[[#This Row],[Quantity]]</f>
        <v>56</v>
      </c>
      <c r="W776" s="2">
        <f>IF(Table1[[#This Row],[Total Shipping]]&gt;0.1,0.2,0)</f>
        <v>0.2</v>
      </c>
      <c r="X776" s="4">
        <f>Table1[[#This Row],[Total Shipping]]*Table1[[#This Row],[VAT on Shipping]]</f>
        <v>11.200000000000001</v>
      </c>
      <c r="Y776" s="1">
        <f>Table1[[#This Row],[Revenue]]-Table1[[#This Row],[COGS]]</f>
        <v>76</v>
      </c>
      <c r="Z776" s="3">
        <f>(Table1[[#This Row],[Profit]]/Table1[[#This Row],[Revenue]])</f>
        <v>0.40425531914893614</v>
      </c>
      <c r="AA776" s="1">
        <f>Table1[[#This Row],[Profit]]-Table1[[#This Row],[Total Shipping]]</f>
        <v>20</v>
      </c>
      <c r="AB776" s="3">
        <f>Table1[[#This Row],[Operating Profit]]/Table1[[#This Row],[Revenue]]</f>
        <v>0.10638297872340426</v>
      </c>
    </row>
    <row r="777" spans="1:28" x14ac:dyDescent="0.25">
      <c r="A777" t="s">
        <v>348</v>
      </c>
      <c r="B777">
        <v>452</v>
      </c>
      <c r="C777" t="s">
        <v>29</v>
      </c>
      <c r="D777" t="s">
        <v>39</v>
      </c>
      <c r="E777" t="s">
        <v>49</v>
      </c>
      <c r="F777" t="s">
        <v>41</v>
      </c>
      <c r="G777" t="str" cm="1">
        <f t="array" ref="G777">_xlfn.SWITCH(F777,"Acme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777" t="s">
        <v>58</v>
      </c>
      <c r="I777" t="s">
        <v>55</v>
      </c>
      <c r="J777" t="str" cm="1">
        <f t="array" ref="J777">_xlfn.SWITCH(I777,"P001","Laptop","P002","Server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77" s="1" cm="1">
        <f t="array" ref="K777">_xlfn.SWITCH(Table1[[#This Row],[Product ID]],"P001",220,"P002",150,"P003",130,"P004",70,"P005",200,"P006",40,"P007",25,"P008",20,"P009",190,"P010",530)</f>
        <v>70</v>
      </c>
      <c r="L777">
        <v>9</v>
      </c>
      <c r="M777" s="1">
        <f>Table1[[#This Row],[Unit Price]]*Table1[[#This Row],[Quantity]]</f>
        <v>630</v>
      </c>
      <c r="N777" s="2">
        <v>0.08</v>
      </c>
      <c r="O777" s="1">
        <f>Table1[[#This Row],[Gross Value]]*(1-Table1[[#This Row],[Discount]])</f>
        <v>579.6</v>
      </c>
      <c r="P777" s="2">
        <v>0.2</v>
      </c>
      <c r="Q777" s="1">
        <f>Table1[[#This Row],[Revenue]]*Table1[[#This Row],[VAT Rate]]</f>
        <v>115.92000000000002</v>
      </c>
      <c r="R777" s="1">
        <f>Table1[[#This Row],[Revenue]]+Table1[[#This Row],[VAT Charged]]</f>
        <v>695.52</v>
      </c>
      <c r="S777" s="1" cm="1">
        <f t="array" ref="S777">_xlfn.SWITCH(Table1[[#This Row],[Product ID]],"P001",140,"P002",80,"P003",72,"P004",30,"P005",110,"P006",24,"P007",14,"P008",12,"P009",115,"P010",360)</f>
        <v>30</v>
      </c>
      <c r="T777" s="1" cm="1">
        <f t="array" ref="T777">(_xlfn.SWITCH(Table1[[#This Row],[Product ID]],"P001",140,"P002",80,"P003",72,"P004",30,"P005",110,"P006",24,"P007",14,"P008",12,"P009",115,"P010",360))*Table1[[#This Row],[Quantity]]</f>
        <v>270</v>
      </c>
      <c r="U777" s="1" cm="1">
        <f t="array" ref="U777">_xlfn.SWITCH(Table1[[#This Row],[Product ID]],"P001",15,"P002",0,"P003",8,"P004",8,"P005",0,"P006",7,"P007",7,"P008",6,"P009",45,"P010",60)</f>
        <v>8</v>
      </c>
      <c r="V777" s="1">
        <f>Table1[[#This Row],[Shipping per Unit]]*Table1[[#This Row],[Quantity]]</f>
        <v>72</v>
      </c>
      <c r="W777" s="2">
        <f>IF(Table1[[#This Row],[Total Shipping]]&gt;0.1,0.2,0)</f>
        <v>0.2</v>
      </c>
      <c r="X777" s="4">
        <f>Table1[[#This Row],[Total Shipping]]*Table1[[#This Row],[VAT on Shipping]]</f>
        <v>14.4</v>
      </c>
      <c r="Y777" s="1">
        <f>Table1[[#This Row],[Revenue]]-Table1[[#This Row],[COGS]]</f>
        <v>309.60000000000002</v>
      </c>
      <c r="Z777" s="3">
        <f>(Table1[[#This Row],[Profit]]/Table1[[#This Row],[Revenue]])</f>
        <v>0.53416149068322982</v>
      </c>
      <c r="AA777" s="1">
        <f>Table1[[#This Row],[Profit]]-Table1[[#This Row],[Total Shipping]]</f>
        <v>237.60000000000002</v>
      </c>
      <c r="AB777" s="3">
        <f>Table1[[#This Row],[Operating Profit]]/Table1[[#This Row],[Revenue]]</f>
        <v>0.40993788819875776</v>
      </c>
    </row>
    <row r="778" spans="1:28" x14ac:dyDescent="0.25">
      <c r="A778" t="s">
        <v>348</v>
      </c>
      <c r="B778">
        <v>683</v>
      </c>
      <c r="C778" t="s">
        <v>71</v>
      </c>
      <c r="D778" t="s">
        <v>95</v>
      </c>
      <c r="E778" t="s">
        <v>31</v>
      </c>
      <c r="F778" t="s">
        <v>79</v>
      </c>
      <c r="G778" t="str" cm="1">
        <f t="array" ref="G778">_xlfn.SWITCH(F778,"Acme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778" t="s">
        <v>45</v>
      </c>
      <c r="I778" t="s">
        <v>55</v>
      </c>
      <c r="J778" t="str" cm="1">
        <f t="array" ref="J778">_xlfn.SWITCH(I778,"P001","Laptop","P002","Server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78" s="1" cm="1">
        <f t="array" ref="K778">_xlfn.SWITCH(Table1[[#This Row],[Product ID]],"P001",220,"P002",150,"P003",130,"P004",70,"P005",200,"P006",40,"P007",25,"P008",20,"P009",190,"P010",530)</f>
        <v>70</v>
      </c>
      <c r="L778">
        <v>8</v>
      </c>
      <c r="M778" s="1">
        <f>Table1[[#This Row],[Unit Price]]*Table1[[#This Row],[Quantity]]</f>
        <v>560</v>
      </c>
      <c r="N778" s="2">
        <v>0.02</v>
      </c>
      <c r="O778" s="1">
        <f>Table1[[#This Row],[Gross Value]]*(1-Table1[[#This Row],[Discount]])</f>
        <v>548.79999999999995</v>
      </c>
      <c r="P778" s="2">
        <v>0.2</v>
      </c>
      <c r="Q778" s="1">
        <f>Table1[[#This Row],[Revenue]]*Table1[[#This Row],[VAT Rate]]</f>
        <v>109.75999999999999</v>
      </c>
      <c r="R778" s="1">
        <f>Table1[[#This Row],[Revenue]]+Table1[[#This Row],[VAT Charged]]</f>
        <v>658.56</v>
      </c>
      <c r="S778" s="1" cm="1">
        <f t="array" ref="S778">_xlfn.SWITCH(Table1[[#This Row],[Product ID]],"P001",140,"P002",80,"P003",72,"P004",30,"P005",110,"P006",24,"P007",14,"P008",12,"P009",115,"P010",360)</f>
        <v>30</v>
      </c>
      <c r="T778" s="1" cm="1">
        <f t="array" ref="T778">(_xlfn.SWITCH(Table1[[#This Row],[Product ID]],"P001",140,"P002",80,"P003",72,"P004",30,"P005",110,"P006",24,"P007",14,"P008",12,"P009",115,"P010",360))*Table1[[#This Row],[Quantity]]</f>
        <v>240</v>
      </c>
      <c r="U778" s="1" cm="1">
        <f t="array" ref="U778">_xlfn.SWITCH(Table1[[#This Row],[Product ID]],"P001",15,"P002",0,"P003",8,"P004",8,"P005",0,"P006",7,"P007",7,"P008",6,"P009",45,"P010",60)</f>
        <v>8</v>
      </c>
      <c r="V778" s="1">
        <f>Table1[[#This Row],[Shipping per Unit]]*Table1[[#This Row],[Quantity]]</f>
        <v>64</v>
      </c>
      <c r="W778" s="2">
        <f>IF(Table1[[#This Row],[Total Shipping]]&gt;0.1,0.2,0)</f>
        <v>0.2</v>
      </c>
      <c r="X778" s="4">
        <f>Table1[[#This Row],[Total Shipping]]*Table1[[#This Row],[VAT on Shipping]]</f>
        <v>12.8</v>
      </c>
      <c r="Y778" s="1">
        <f>Table1[[#This Row],[Revenue]]-Table1[[#This Row],[COGS]]</f>
        <v>308.79999999999995</v>
      </c>
      <c r="Z778" s="3">
        <f>(Table1[[#This Row],[Profit]]/Table1[[#This Row],[Revenue]])</f>
        <v>0.56268221574344024</v>
      </c>
      <c r="AA778" s="1">
        <f>Table1[[#This Row],[Profit]]-Table1[[#This Row],[Total Shipping]]</f>
        <v>244.79999999999995</v>
      </c>
      <c r="AB778" s="3">
        <f>Table1[[#This Row],[Operating Profit]]/Table1[[#This Row],[Revenue]]</f>
        <v>0.44606413994169092</v>
      </c>
    </row>
    <row r="779" spans="1:28" x14ac:dyDescent="0.25">
      <c r="A779" t="s">
        <v>348</v>
      </c>
      <c r="B779">
        <v>924</v>
      </c>
      <c r="C779" t="s">
        <v>35</v>
      </c>
      <c r="D779" t="s">
        <v>57</v>
      </c>
      <c r="E779" t="s">
        <v>40</v>
      </c>
      <c r="F779" t="s">
        <v>64</v>
      </c>
      <c r="G779" t="str" cm="1">
        <f t="array" ref="G779">_xlfn.SWITCH(F779,"Acme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779" t="s">
        <v>58</v>
      </c>
      <c r="I779" t="s">
        <v>70</v>
      </c>
      <c r="J779" t="str" cm="1">
        <f t="array" ref="J779">_xlfn.SWITCH(I779,"P001","Laptop","P002","Server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779" s="1" cm="1">
        <f t="array" ref="K779">_xlfn.SWITCH(Table1[[#This Row],[Product ID]],"P001",220,"P002",150,"P003",130,"P004",70,"P005",200,"P006",40,"P007",25,"P008",20,"P009",190,"P010",530)</f>
        <v>150</v>
      </c>
      <c r="L779">
        <v>5</v>
      </c>
      <c r="M779" s="1">
        <f>Table1[[#This Row],[Unit Price]]*Table1[[#This Row],[Quantity]]</f>
        <v>750</v>
      </c>
      <c r="N779" s="2">
        <v>0.1</v>
      </c>
      <c r="O779" s="1">
        <f>Table1[[#This Row],[Gross Value]]*(1-Table1[[#This Row],[Discount]])</f>
        <v>675</v>
      </c>
      <c r="P779" s="2">
        <v>0.2</v>
      </c>
      <c r="Q779" s="1">
        <f>Table1[[#This Row],[Revenue]]*Table1[[#This Row],[VAT Rate]]</f>
        <v>135</v>
      </c>
      <c r="R779" s="1">
        <f>Table1[[#This Row],[Revenue]]+Table1[[#This Row],[VAT Charged]]</f>
        <v>810</v>
      </c>
      <c r="S779" s="1" cm="1">
        <f t="array" ref="S779">_xlfn.SWITCH(Table1[[#This Row],[Product ID]],"P001",140,"P002",80,"P003",72,"P004",30,"P005",110,"P006",24,"P007",14,"P008",12,"P009",115,"P010",360)</f>
        <v>80</v>
      </c>
      <c r="T779" s="1" cm="1">
        <f t="array" ref="T779">(_xlfn.SWITCH(Table1[[#This Row],[Product ID]],"P001",140,"P002",80,"P003",72,"P004",30,"P005",110,"P006",24,"P007",14,"P008",12,"P009",115,"P010",360))*Table1[[#This Row],[Quantity]]</f>
        <v>400</v>
      </c>
      <c r="U779" s="1" cm="1">
        <f t="array" ref="U779">_xlfn.SWITCH(Table1[[#This Row],[Product ID]],"P001",15,"P002",0,"P003",8,"P004",8,"P005",0,"P006",7,"P007",7,"P008",6,"P009",45,"P010",60)</f>
        <v>0</v>
      </c>
      <c r="V779" s="1">
        <f>Table1[[#This Row],[Shipping per Unit]]*Table1[[#This Row],[Quantity]]</f>
        <v>0</v>
      </c>
      <c r="W779" s="2">
        <f>IF(Table1[[#This Row],[Total Shipping]]&gt;0.1,0.2,0)</f>
        <v>0</v>
      </c>
      <c r="X779" s="4">
        <f>Table1[[#This Row],[Total Shipping]]*Table1[[#This Row],[VAT on Shipping]]</f>
        <v>0</v>
      </c>
      <c r="Y779" s="1">
        <f>Table1[[#This Row],[Revenue]]-Table1[[#This Row],[COGS]]</f>
        <v>275</v>
      </c>
      <c r="Z779" s="3">
        <f>(Table1[[#This Row],[Profit]]/Table1[[#This Row],[Revenue]])</f>
        <v>0.40740740740740738</v>
      </c>
      <c r="AA779" s="1">
        <f>Table1[[#This Row],[Profit]]-Table1[[#This Row],[Total Shipping]]</f>
        <v>275</v>
      </c>
      <c r="AB779" s="3">
        <f>Table1[[#This Row],[Operating Profit]]/Table1[[#This Row],[Revenue]]</f>
        <v>0.40740740740740738</v>
      </c>
    </row>
    <row r="780" spans="1:28" x14ac:dyDescent="0.25">
      <c r="A780" t="s">
        <v>349</v>
      </c>
      <c r="B780">
        <v>521</v>
      </c>
      <c r="C780" t="s">
        <v>56</v>
      </c>
      <c r="D780" t="s">
        <v>72</v>
      </c>
      <c r="E780" t="s">
        <v>49</v>
      </c>
      <c r="F780" t="s">
        <v>50</v>
      </c>
      <c r="G780" t="str" cm="1">
        <f t="array" ref="G780">_xlfn.SWITCH(F780,"Acme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780" t="s">
        <v>51</v>
      </c>
      <c r="I780" t="s">
        <v>55</v>
      </c>
      <c r="J780" t="str" cm="1">
        <f t="array" ref="J780">_xlfn.SWITCH(I780,"P001","Laptop","P002","Server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80" s="1" cm="1">
        <f t="array" ref="K780">_xlfn.SWITCH(Table1[[#This Row],[Product ID]],"P001",220,"P002",150,"P003",130,"P004",70,"P005",200,"P006",40,"P007",25,"P008",20,"P009",190,"P010",530)</f>
        <v>70</v>
      </c>
      <c r="L780">
        <v>14</v>
      </c>
      <c r="M780" s="1">
        <f>Table1[[#This Row],[Unit Price]]*Table1[[#This Row],[Quantity]]</f>
        <v>980</v>
      </c>
      <c r="N780" s="2">
        <v>0.1</v>
      </c>
      <c r="O780" s="1">
        <f>Table1[[#This Row],[Gross Value]]*(1-Table1[[#This Row],[Discount]])</f>
        <v>882</v>
      </c>
      <c r="P780" s="2">
        <v>0.2</v>
      </c>
      <c r="Q780" s="1">
        <f>Table1[[#This Row],[Revenue]]*Table1[[#This Row],[VAT Rate]]</f>
        <v>176.4</v>
      </c>
      <c r="R780" s="1">
        <f>Table1[[#This Row],[Revenue]]+Table1[[#This Row],[VAT Charged]]</f>
        <v>1058.4000000000001</v>
      </c>
      <c r="S780" s="1" cm="1">
        <f t="array" ref="S780">_xlfn.SWITCH(Table1[[#This Row],[Product ID]],"P001",140,"P002",80,"P003",72,"P004",30,"P005",110,"P006",24,"P007",14,"P008",12,"P009",115,"P010",360)</f>
        <v>30</v>
      </c>
      <c r="T780" s="1" cm="1">
        <f t="array" ref="T780">(_xlfn.SWITCH(Table1[[#This Row],[Product ID]],"P001",140,"P002",80,"P003",72,"P004",30,"P005",110,"P006",24,"P007",14,"P008",12,"P009",115,"P010",360))*Table1[[#This Row],[Quantity]]</f>
        <v>420</v>
      </c>
      <c r="U780" s="1" cm="1">
        <f t="array" ref="U780">_xlfn.SWITCH(Table1[[#This Row],[Product ID]],"P001",15,"P002",0,"P003",8,"P004",8,"P005",0,"P006",7,"P007",7,"P008",6,"P009",45,"P010",60)</f>
        <v>8</v>
      </c>
      <c r="V780" s="1">
        <f>Table1[[#This Row],[Shipping per Unit]]*Table1[[#This Row],[Quantity]]</f>
        <v>112</v>
      </c>
      <c r="W780" s="2">
        <f>IF(Table1[[#This Row],[Total Shipping]]&gt;0.1,0.2,0)</f>
        <v>0.2</v>
      </c>
      <c r="X780" s="4">
        <f>Table1[[#This Row],[Total Shipping]]*Table1[[#This Row],[VAT on Shipping]]</f>
        <v>22.400000000000002</v>
      </c>
      <c r="Y780" s="1">
        <f>Table1[[#This Row],[Revenue]]-Table1[[#This Row],[COGS]]</f>
        <v>462</v>
      </c>
      <c r="Z780" s="3">
        <f>(Table1[[#This Row],[Profit]]/Table1[[#This Row],[Revenue]])</f>
        <v>0.52380952380952384</v>
      </c>
      <c r="AA780" s="1">
        <f>Table1[[#This Row],[Profit]]-Table1[[#This Row],[Total Shipping]]</f>
        <v>350</v>
      </c>
      <c r="AB780" s="3">
        <f>Table1[[#This Row],[Operating Profit]]/Table1[[#This Row],[Revenue]]</f>
        <v>0.3968253968253968</v>
      </c>
    </row>
    <row r="781" spans="1:28" x14ac:dyDescent="0.25">
      <c r="A781" t="s">
        <v>349</v>
      </c>
      <c r="B781">
        <v>756</v>
      </c>
      <c r="C781" t="s">
        <v>29</v>
      </c>
      <c r="D781" t="s">
        <v>63</v>
      </c>
      <c r="E781" t="s">
        <v>40</v>
      </c>
      <c r="F781" t="s">
        <v>32</v>
      </c>
      <c r="G781" t="str" cm="1">
        <f t="array" ref="G781">_xlfn.SWITCH(F781,"Acme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781" t="s">
        <v>58</v>
      </c>
      <c r="I781" t="s">
        <v>91</v>
      </c>
      <c r="J781" t="str" cm="1">
        <f t="array" ref="J781">_xlfn.SWITCH(I781,"P001","Laptop","P002","Server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781" s="1" cm="1">
        <f t="array" ref="K781">_xlfn.SWITCH(Table1[[#This Row],[Product ID]],"P001",220,"P002",150,"P003",130,"P004",70,"P005",200,"P006",40,"P007",25,"P008",20,"P009",190,"P010",530)</f>
        <v>190</v>
      </c>
      <c r="L781">
        <v>18</v>
      </c>
      <c r="M781" s="1">
        <f>Table1[[#This Row],[Unit Price]]*Table1[[#This Row],[Quantity]]</f>
        <v>3420</v>
      </c>
      <c r="N781" s="2">
        <v>0.01</v>
      </c>
      <c r="O781" s="1">
        <f>Table1[[#This Row],[Gross Value]]*(1-Table1[[#This Row],[Discount]])</f>
        <v>3385.8</v>
      </c>
      <c r="P781" s="2">
        <v>0.2</v>
      </c>
      <c r="Q781" s="1">
        <f>Table1[[#This Row],[Revenue]]*Table1[[#This Row],[VAT Rate]]</f>
        <v>677.16000000000008</v>
      </c>
      <c r="R781" s="1">
        <f>Table1[[#This Row],[Revenue]]+Table1[[#This Row],[VAT Charged]]</f>
        <v>4062.96</v>
      </c>
      <c r="S781" s="1" cm="1">
        <f t="array" ref="S781">_xlfn.SWITCH(Table1[[#This Row],[Product ID]],"P001",140,"P002",80,"P003",72,"P004",30,"P005",110,"P006",24,"P007",14,"P008",12,"P009",115,"P010",360)</f>
        <v>115</v>
      </c>
      <c r="T781" s="1" cm="1">
        <f t="array" ref="T781">(_xlfn.SWITCH(Table1[[#This Row],[Product ID]],"P001",140,"P002",80,"P003",72,"P004",30,"P005",110,"P006",24,"P007",14,"P008",12,"P009",115,"P010",360))*Table1[[#This Row],[Quantity]]</f>
        <v>2070</v>
      </c>
      <c r="U781" s="1" cm="1">
        <f t="array" ref="U781">_xlfn.SWITCH(Table1[[#This Row],[Product ID]],"P001",15,"P002",0,"P003",8,"P004",8,"P005",0,"P006",7,"P007",7,"P008",6,"P009",45,"P010",60)</f>
        <v>45</v>
      </c>
      <c r="V781" s="1">
        <f>Table1[[#This Row],[Shipping per Unit]]*Table1[[#This Row],[Quantity]]</f>
        <v>810</v>
      </c>
      <c r="W781" s="2">
        <f>IF(Table1[[#This Row],[Total Shipping]]&gt;0.1,0.2,0)</f>
        <v>0.2</v>
      </c>
      <c r="X781" s="4">
        <f>Table1[[#This Row],[Total Shipping]]*Table1[[#This Row],[VAT on Shipping]]</f>
        <v>162</v>
      </c>
      <c r="Y781" s="1">
        <f>Table1[[#This Row],[Revenue]]-Table1[[#This Row],[COGS]]</f>
        <v>1315.8000000000002</v>
      </c>
      <c r="Z781" s="3">
        <f>(Table1[[#This Row],[Profit]]/Table1[[#This Row],[Revenue]])</f>
        <v>0.3886230728335992</v>
      </c>
      <c r="AA781" s="1">
        <f>Table1[[#This Row],[Profit]]-Table1[[#This Row],[Total Shipping]]</f>
        <v>505.80000000000018</v>
      </c>
      <c r="AB781" s="3">
        <f>Table1[[#This Row],[Operating Profit]]/Table1[[#This Row],[Revenue]]</f>
        <v>0.14938862307283365</v>
      </c>
    </row>
    <row r="782" spans="1:28" x14ac:dyDescent="0.25">
      <c r="A782" t="s">
        <v>350</v>
      </c>
      <c r="B782">
        <v>835</v>
      </c>
      <c r="C782" t="s">
        <v>56</v>
      </c>
      <c r="D782" t="s">
        <v>95</v>
      </c>
      <c r="E782" t="s">
        <v>49</v>
      </c>
      <c r="F782" t="s">
        <v>113</v>
      </c>
      <c r="G782" t="str" cm="1">
        <f t="array" ref="G782">_xlfn.SWITCH(F782,"Acme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782" t="s">
        <v>104</v>
      </c>
      <c r="I782" t="s">
        <v>42</v>
      </c>
      <c r="J782" t="str" cm="1">
        <f t="array" ref="J782">_xlfn.SWITCH(I782,"P001","Laptop","P002","Server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82" s="1" cm="1">
        <f t="array" ref="K782">_xlfn.SWITCH(Table1[[#This Row],[Product ID]],"P001",220,"P002",150,"P003",130,"P004",70,"P005",200,"P006",40,"P007",25,"P008",20,"P009",190,"P010",530)</f>
        <v>40</v>
      </c>
      <c r="L782">
        <v>14</v>
      </c>
      <c r="M782" s="1">
        <f>Table1[[#This Row],[Unit Price]]*Table1[[#This Row],[Quantity]]</f>
        <v>560</v>
      </c>
      <c r="N782" s="2">
        <v>0.06</v>
      </c>
      <c r="O782" s="1">
        <f>Table1[[#This Row],[Gross Value]]*(1-Table1[[#This Row],[Discount]])</f>
        <v>526.4</v>
      </c>
      <c r="P782" s="2">
        <v>0.2</v>
      </c>
      <c r="Q782" s="1">
        <f>Table1[[#This Row],[Revenue]]*Table1[[#This Row],[VAT Rate]]</f>
        <v>105.28</v>
      </c>
      <c r="R782" s="1">
        <f>Table1[[#This Row],[Revenue]]+Table1[[#This Row],[VAT Charged]]</f>
        <v>631.67999999999995</v>
      </c>
      <c r="S782" s="1" cm="1">
        <f t="array" ref="S782">_xlfn.SWITCH(Table1[[#This Row],[Product ID]],"P001",140,"P002",80,"P003",72,"P004",30,"P005",110,"P006",24,"P007",14,"P008",12,"P009",115,"P010",360)</f>
        <v>24</v>
      </c>
      <c r="T782" s="1" cm="1">
        <f t="array" ref="T782">(_xlfn.SWITCH(Table1[[#This Row],[Product ID]],"P001",140,"P002",80,"P003",72,"P004",30,"P005",110,"P006",24,"P007",14,"P008",12,"P009",115,"P010",360))*Table1[[#This Row],[Quantity]]</f>
        <v>336</v>
      </c>
      <c r="U782" s="1" cm="1">
        <f t="array" ref="U782">_xlfn.SWITCH(Table1[[#This Row],[Product ID]],"P001",15,"P002",0,"P003",8,"P004",8,"P005",0,"P006",7,"P007",7,"P008",6,"P009",45,"P010",60)</f>
        <v>7</v>
      </c>
      <c r="V782" s="1">
        <f>Table1[[#This Row],[Shipping per Unit]]*Table1[[#This Row],[Quantity]]</f>
        <v>98</v>
      </c>
      <c r="W782" s="2">
        <f>IF(Table1[[#This Row],[Total Shipping]]&gt;0.1,0.2,0)</f>
        <v>0.2</v>
      </c>
      <c r="X782" s="4">
        <f>Table1[[#This Row],[Total Shipping]]*Table1[[#This Row],[VAT on Shipping]]</f>
        <v>19.600000000000001</v>
      </c>
      <c r="Y782" s="1">
        <f>Table1[[#This Row],[Revenue]]-Table1[[#This Row],[COGS]]</f>
        <v>190.39999999999998</v>
      </c>
      <c r="Z782" s="3">
        <f>(Table1[[#This Row],[Profit]]/Table1[[#This Row],[Revenue]])</f>
        <v>0.36170212765957444</v>
      </c>
      <c r="AA782" s="1">
        <f>Table1[[#This Row],[Profit]]-Table1[[#This Row],[Total Shipping]]</f>
        <v>92.399999999999977</v>
      </c>
      <c r="AB782" s="3">
        <f>Table1[[#This Row],[Operating Profit]]/Table1[[#This Row],[Revenue]]</f>
        <v>0.175531914893617</v>
      </c>
    </row>
    <row r="783" spans="1:28" x14ac:dyDescent="0.25">
      <c r="A783" t="s">
        <v>351</v>
      </c>
      <c r="B783">
        <v>34</v>
      </c>
      <c r="C783" t="s">
        <v>62</v>
      </c>
      <c r="D783" t="s">
        <v>39</v>
      </c>
      <c r="E783" t="s">
        <v>40</v>
      </c>
      <c r="F783" t="s">
        <v>59</v>
      </c>
      <c r="G783" t="str" cm="1">
        <f t="array" ref="G783">_xlfn.SWITCH(F783,"Acme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83" t="s">
        <v>45</v>
      </c>
      <c r="I783" t="s">
        <v>70</v>
      </c>
      <c r="J783" t="str" cm="1">
        <f t="array" ref="J783">_xlfn.SWITCH(I783,"P001","Laptop","P002","Server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783" s="1" cm="1">
        <f t="array" ref="K783">_xlfn.SWITCH(Table1[[#This Row],[Product ID]],"P001",220,"P002",150,"P003",130,"P004",70,"P005",200,"P006",40,"P007",25,"P008",20,"P009",190,"P010",530)</f>
        <v>150</v>
      </c>
      <c r="L783">
        <v>4</v>
      </c>
      <c r="M783" s="1">
        <f>Table1[[#This Row],[Unit Price]]*Table1[[#This Row],[Quantity]]</f>
        <v>600</v>
      </c>
      <c r="N783" s="2">
        <v>0.05</v>
      </c>
      <c r="O783" s="1">
        <f>Table1[[#This Row],[Gross Value]]*(1-Table1[[#This Row],[Discount]])</f>
        <v>570</v>
      </c>
      <c r="P783" s="2">
        <v>0.2</v>
      </c>
      <c r="Q783" s="1">
        <f>Table1[[#This Row],[Revenue]]*Table1[[#This Row],[VAT Rate]]</f>
        <v>114</v>
      </c>
      <c r="R783" s="1">
        <f>Table1[[#This Row],[Revenue]]+Table1[[#This Row],[VAT Charged]]</f>
        <v>684</v>
      </c>
      <c r="S783" s="1" cm="1">
        <f t="array" ref="S783">_xlfn.SWITCH(Table1[[#This Row],[Product ID]],"P001",140,"P002",80,"P003",72,"P004",30,"P005",110,"P006",24,"P007",14,"P008",12,"P009",115,"P010",360)</f>
        <v>80</v>
      </c>
      <c r="T783" s="1" cm="1">
        <f t="array" ref="T783">(_xlfn.SWITCH(Table1[[#This Row],[Product ID]],"P001",140,"P002",80,"P003",72,"P004",30,"P005",110,"P006",24,"P007",14,"P008",12,"P009",115,"P010",360))*Table1[[#This Row],[Quantity]]</f>
        <v>320</v>
      </c>
      <c r="U783" s="1" cm="1">
        <f t="array" ref="U783">_xlfn.SWITCH(Table1[[#This Row],[Product ID]],"P001",15,"P002",0,"P003",8,"P004",8,"P005",0,"P006",7,"P007",7,"P008",6,"P009",45,"P010",60)</f>
        <v>0</v>
      </c>
      <c r="V783" s="1">
        <f>Table1[[#This Row],[Shipping per Unit]]*Table1[[#This Row],[Quantity]]</f>
        <v>0</v>
      </c>
      <c r="W783" s="2">
        <f>IF(Table1[[#This Row],[Total Shipping]]&gt;0.1,0.2,0)</f>
        <v>0</v>
      </c>
      <c r="X783" s="4">
        <f>Table1[[#This Row],[Total Shipping]]*Table1[[#This Row],[VAT on Shipping]]</f>
        <v>0</v>
      </c>
      <c r="Y783" s="1">
        <f>Table1[[#This Row],[Revenue]]-Table1[[#This Row],[COGS]]</f>
        <v>250</v>
      </c>
      <c r="Z783" s="3">
        <f>(Table1[[#This Row],[Profit]]/Table1[[#This Row],[Revenue]])</f>
        <v>0.43859649122807015</v>
      </c>
      <c r="AA783" s="1">
        <f>Table1[[#This Row],[Profit]]-Table1[[#This Row],[Total Shipping]]</f>
        <v>250</v>
      </c>
      <c r="AB783" s="3">
        <f>Table1[[#This Row],[Operating Profit]]/Table1[[#This Row],[Revenue]]</f>
        <v>0.43859649122807015</v>
      </c>
    </row>
    <row r="784" spans="1:28" x14ac:dyDescent="0.25">
      <c r="A784" t="s">
        <v>351</v>
      </c>
      <c r="B784">
        <v>82</v>
      </c>
      <c r="C784" t="s">
        <v>65</v>
      </c>
      <c r="D784" t="s">
        <v>48</v>
      </c>
      <c r="E784" t="s">
        <v>31</v>
      </c>
      <c r="F784" t="s">
        <v>119</v>
      </c>
      <c r="G784" t="str" cm="1">
        <f t="array" ref="G784">_xlfn.SWITCH(F784,"Acme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784" t="s">
        <v>51</v>
      </c>
      <c r="I784" t="s">
        <v>34</v>
      </c>
      <c r="J784" t="str" cm="1">
        <f t="array" ref="J784">_xlfn.SWITCH(I784,"P001","Laptop","P002","Server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84" s="1" cm="1">
        <f t="array" ref="K784">_xlfn.SWITCH(Table1[[#This Row],[Product ID]],"P001",220,"P002",150,"P003",130,"P004",70,"P005",200,"P006",40,"P007",25,"P008",20,"P009",190,"P010",530)</f>
        <v>20</v>
      </c>
      <c r="L784">
        <v>6</v>
      </c>
      <c r="M784" s="1">
        <f>Table1[[#This Row],[Unit Price]]*Table1[[#This Row],[Quantity]]</f>
        <v>120</v>
      </c>
      <c r="N784" s="2">
        <v>0.05</v>
      </c>
      <c r="O784" s="1">
        <f>Table1[[#This Row],[Gross Value]]*(1-Table1[[#This Row],[Discount]])</f>
        <v>114</v>
      </c>
      <c r="P784" s="2">
        <v>0.2</v>
      </c>
      <c r="Q784" s="1">
        <f>Table1[[#This Row],[Revenue]]*Table1[[#This Row],[VAT Rate]]</f>
        <v>22.8</v>
      </c>
      <c r="R784" s="1">
        <f>Table1[[#This Row],[Revenue]]+Table1[[#This Row],[VAT Charged]]</f>
        <v>136.80000000000001</v>
      </c>
      <c r="S784" s="1" cm="1">
        <f t="array" ref="S784">_xlfn.SWITCH(Table1[[#This Row],[Product ID]],"P001",140,"P002",80,"P003",72,"P004",30,"P005",110,"P006",24,"P007",14,"P008",12,"P009",115,"P010",360)</f>
        <v>12</v>
      </c>
      <c r="T784" s="1" cm="1">
        <f t="array" ref="T784">(_xlfn.SWITCH(Table1[[#This Row],[Product ID]],"P001",140,"P002",80,"P003",72,"P004",30,"P005",110,"P006",24,"P007",14,"P008",12,"P009",115,"P010",360))*Table1[[#This Row],[Quantity]]</f>
        <v>72</v>
      </c>
      <c r="U784" s="1" cm="1">
        <f t="array" ref="U784">_xlfn.SWITCH(Table1[[#This Row],[Product ID]],"P001",15,"P002",0,"P003",8,"P004",8,"P005",0,"P006",7,"P007",7,"P008",6,"P009",45,"P010",60)</f>
        <v>6</v>
      </c>
      <c r="V784" s="1">
        <f>Table1[[#This Row],[Shipping per Unit]]*Table1[[#This Row],[Quantity]]</f>
        <v>36</v>
      </c>
      <c r="W784" s="2">
        <f>IF(Table1[[#This Row],[Total Shipping]]&gt;0.1,0.2,0)</f>
        <v>0.2</v>
      </c>
      <c r="X784" s="4">
        <f>Table1[[#This Row],[Total Shipping]]*Table1[[#This Row],[VAT on Shipping]]</f>
        <v>7.2</v>
      </c>
      <c r="Y784" s="1">
        <f>Table1[[#This Row],[Revenue]]-Table1[[#This Row],[COGS]]</f>
        <v>42</v>
      </c>
      <c r="Z784" s="3">
        <f>(Table1[[#This Row],[Profit]]/Table1[[#This Row],[Revenue]])</f>
        <v>0.36842105263157893</v>
      </c>
      <c r="AA784" s="1">
        <f>Table1[[#This Row],[Profit]]-Table1[[#This Row],[Total Shipping]]</f>
        <v>6</v>
      </c>
      <c r="AB784" s="3">
        <f>Table1[[#This Row],[Operating Profit]]/Table1[[#This Row],[Revenue]]</f>
        <v>5.2631578947368418E-2</v>
      </c>
    </row>
    <row r="785" spans="1:28" x14ac:dyDescent="0.25">
      <c r="A785" t="s">
        <v>351</v>
      </c>
      <c r="B785">
        <v>489</v>
      </c>
      <c r="C785" t="s">
        <v>83</v>
      </c>
      <c r="D785" t="s">
        <v>36</v>
      </c>
      <c r="E785" t="s">
        <v>49</v>
      </c>
      <c r="F785" t="s">
        <v>79</v>
      </c>
      <c r="G785" t="str" cm="1">
        <f t="array" ref="G785">_xlfn.SWITCH(F785,"Acme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785" t="s">
        <v>58</v>
      </c>
      <c r="I785" t="s">
        <v>55</v>
      </c>
      <c r="J785" t="str" cm="1">
        <f t="array" ref="J785">_xlfn.SWITCH(I785,"P001","Laptop","P002","Server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85" s="1" cm="1">
        <f t="array" ref="K785">_xlfn.SWITCH(Table1[[#This Row],[Product ID]],"P001",220,"P002",150,"P003",130,"P004",70,"P005",200,"P006",40,"P007",25,"P008",20,"P009",190,"P010",530)</f>
        <v>70</v>
      </c>
      <c r="L785">
        <v>11</v>
      </c>
      <c r="M785" s="1">
        <f>Table1[[#This Row],[Unit Price]]*Table1[[#This Row],[Quantity]]</f>
        <v>770</v>
      </c>
      <c r="N785" s="2">
        <v>0.02</v>
      </c>
      <c r="O785" s="1">
        <f>Table1[[#This Row],[Gross Value]]*(1-Table1[[#This Row],[Discount]])</f>
        <v>754.6</v>
      </c>
      <c r="P785" s="2">
        <v>0.2</v>
      </c>
      <c r="Q785" s="1">
        <f>Table1[[#This Row],[Revenue]]*Table1[[#This Row],[VAT Rate]]</f>
        <v>150.92000000000002</v>
      </c>
      <c r="R785" s="1">
        <f>Table1[[#This Row],[Revenue]]+Table1[[#This Row],[VAT Charged]]</f>
        <v>905.52</v>
      </c>
      <c r="S785" s="1" cm="1">
        <f t="array" ref="S785">_xlfn.SWITCH(Table1[[#This Row],[Product ID]],"P001",140,"P002",80,"P003",72,"P004",30,"P005",110,"P006",24,"P007",14,"P008",12,"P009",115,"P010",360)</f>
        <v>30</v>
      </c>
      <c r="T785" s="1" cm="1">
        <f t="array" ref="T785">(_xlfn.SWITCH(Table1[[#This Row],[Product ID]],"P001",140,"P002",80,"P003",72,"P004",30,"P005",110,"P006",24,"P007",14,"P008",12,"P009",115,"P010",360))*Table1[[#This Row],[Quantity]]</f>
        <v>330</v>
      </c>
      <c r="U785" s="1" cm="1">
        <f t="array" ref="U785">_xlfn.SWITCH(Table1[[#This Row],[Product ID]],"P001",15,"P002",0,"P003",8,"P004",8,"P005",0,"P006",7,"P007",7,"P008",6,"P009",45,"P010",60)</f>
        <v>8</v>
      </c>
      <c r="V785" s="1">
        <f>Table1[[#This Row],[Shipping per Unit]]*Table1[[#This Row],[Quantity]]</f>
        <v>88</v>
      </c>
      <c r="W785" s="2">
        <f>IF(Table1[[#This Row],[Total Shipping]]&gt;0.1,0.2,0)</f>
        <v>0.2</v>
      </c>
      <c r="X785" s="4">
        <f>Table1[[#This Row],[Total Shipping]]*Table1[[#This Row],[VAT on Shipping]]</f>
        <v>17.600000000000001</v>
      </c>
      <c r="Y785" s="1">
        <f>Table1[[#This Row],[Revenue]]-Table1[[#This Row],[COGS]]</f>
        <v>424.6</v>
      </c>
      <c r="Z785" s="3">
        <f>(Table1[[#This Row],[Profit]]/Table1[[#This Row],[Revenue]])</f>
        <v>0.56268221574344024</v>
      </c>
      <c r="AA785" s="1">
        <f>Table1[[#This Row],[Profit]]-Table1[[#This Row],[Total Shipping]]</f>
        <v>336.6</v>
      </c>
      <c r="AB785" s="3">
        <f>Table1[[#This Row],[Operating Profit]]/Table1[[#This Row],[Revenue]]</f>
        <v>0.44606413994169097</v>
      </c>
    </row>
    <row r="786" spans="1:28" x14ac:dyDescent="0.25">
      <c r="A786" t="s">
        <v>351</v>
      </c>
      <c r="B786">
        <v>680</v>
      </c>
      <c r="C786" t="s">
        <v>56</v>
      </c>
      <c r="D786" t="s">
        <v>30</v>
      </c>
      <c r="E786" t="s">
        <v>49</v>
      </c>
      <c r="F786" t="s">
        <v>90</v>
      </c>
      <c r="G786" t="str" cm="1">
        <f t="array" ref="G786">_xlfn.SWITCH(F786,"Acme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786" t="s">
        <v>45</v>
      </c>
      <c r="I786" t="s">
        <v>34</v>
      </c>
      <c r="J786" t="str" cm="1">
        <f t="array" ref="J786">_xlfn.SWITCH(I786,"P001","Laptop","P002","Server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86" s="1" cm="1">
        <f t="array" ref="K786">_xlfn.SWITCH(Table1[[#This Row],[Product ID]],"P001",220,"P002",150,"P003",130,"P004",70,"P005",200,"P006",40,"P007",25,"P008",20,"P009",190,"P010",530)</f>
        <v>20</v>
      </c>
      <c r="L786">
        <v>10</v>
      </c>
      <c r="M786" s="1">
        <f>Table1[[#This Row],[Unit Price]]*Table1[[#This Row],[Quantity]]</f>
        <v>200</v>
      </c>
      <c r="N786" s="2">
        <v>0.06</v>
      </c>
      <c r="O786" s="1">
        <f>Table1[[#This Row],[Gross Value]]*(1-Table1[[#This Row],[Discount]])</f>
        <v>188</v>
      </c>
      <c r="P786" s="2">
        <v>0.2</v>
      </c>
      <c r="Q786" s="1">
        <f>Table1[[#This Row],[Revenue]]*Table1[[#This Row],[VAT Rate]]</f>
        <v>37.6</v>
      </c>
      <c r="R786" s="1">
        <f>Table1[[#This Row],[Revenue]]+Table1[[#This Row],[VAT Charged]]</f>
        <v>225.6</v>
      </c>
      <c r="S786" s="1" cm="1">
        <f t="array" ref="S786">_xlfn.SWITCH(Table1[[#This Row],[Product ID]],"P001",140,"P002",80,"P003",72,"P004",30,"P005",110,"P006",24,"P007",14,"P008",12,"P009",115,"P010",360)</f>
        <v>12</v>
      </c>
      <c r="T786" s="1" cm="1">
        <f t="array" ref="T786">(_xlfn.SWITCH(Table1[[#This Row],[Product ID]],"P001",140,"P002",80,"P003",72,"P004",30,"P005",110,"P006",24,"P007",14,"P008",12,"P009",115,"P010",360))*Table1[[#This Row],[Quantity]]</f>
        <v>120</v>
      </c>
      <c r="U786" s="1" cm="1">
        <f t="array" ref="U786">_xlfn.SWITCH(Table1[[#This Row],[Product ID]],"P001",15,"P002",0,"P003",8,"P004",8,"P005",0,"P006",7,"P007",7,"P008",6,"P009",45,"P010",60)</f>
        <v>6</v>
      </c>
      <c r="V786" s="1">
        <f>Table1[[#This Row],[Shipping per Unit]]*Table1[[#This Row],[Quantity]]</f>
        <v>60</v>
      </c>
      <c r="W786" s="2">
        <f>IF(Table1[[#This Row],[Total Shipping]]&gt;0.1,0.2,0)</f>
        <v>0.2</v>
      </c>
      <c r="X786" s="4">
        <f>Table1[[#This Row],[Total Shipping]]*Table1[[#This Row],[VAT on Shipping]]</f>
        <v>12</v>
      </c>
      <c r="Y786" s="1">
        <f>Table1[[#This Row],[Revenue]]-Table1[[#This Row],[COGS]]</f>
        <v>68</v>
      </c>
      <c r="Z786" s="3">
        <f>(Table1[[#This Row],[Profit]]/Table1[[#This Row],[Revenue]])</f>
        <v>0.36170212765957449</v>
      </c>
      <c r="AA786" s="1">
        <f>Table1[[#This Row],[Profit]]-Table1[[#This Row],[Total Shipping]]</f>
        <v>8</v>
      </c>
      <c r="AB786" s="3">
        <f>Table1[[#This Row],[Operating Profit]]/Table1[[#This Row],[Revenue]]</f>
        <v>4.2553191489361701E-2</v>
      </c>
    </row>
    <row r="787" spans="1:28" x14ac:dyDescent="0.25">
      <c r="A787" t="s">
        <v>352</v>
      </c>
      <c r="B787">
        <v>235</v>
      </c>
      <c r="C787" t="s">
        <v>62</v>
      </c>
      <c r="D787" t="s">
        <v>53</v>
      </c>
      <c r="E787" t="s">
        <v>31</v>
      </c>
      <c r="F787" t="s">
        <v>113</v>
      </c>
      <c r="G787" t="str" cm="1">
        <f t="array" ref="G787">_xlfn.SWITCH(F787,"Acme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787" t="s">
        <v>33</v>
      </c>
      <c r="I787" t="s">
        <v>34</v>
      </c>
      <c r="J787" t="str" cm="1">
        <f t="array" ref="J787">_xlfn.SWITCH(I787,"P001","Laptop","P002","Server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87" s="1" cm="1">
        <f t="array" ref="K787">_xlfn.SWITCH(Table1[[#This Row],[Product ID]],"P001",220,"P002",150,"P003",130,"P004",70,"P005",200,"P006",40,"P007",25,"P008",20,"P009",190,"P010",530)</f>
        <v>20</v>
      </c>
      <c r="L787">
        <v>11</v>
      </c>
      <c r="M787" s="1">
        <f>Table1[[#This Row],[Unit Price]]*Table1[[#This Row],[Quantity]]</f>
        <v>220</v>
      </c>
      <c r="N787" s="2">
        <v>0.08</v>
      </c>
      <c r="O787" s="1">
        <f>Table1[[#This Row],[Gross Value]]*(1-Table1[[#This Row],[Discount]])</f>
        <v>202.4</v>
      </c>
      <c r="P787" s="2">
        <v>0.2</v>
      </c>
      <c r="Q787" s="1">
        <f>Table1[[#This Row],[Revenue]]*Table1[[#This Row],[VAT Rate]]</f>
        <v>40.480000000000004</v>
      </c>
      <c r="R787" s="1">
        <f>Table1[[#This Row],[Revenue]]+Table1[[#This Row],[VAT Charged]]</f>
        <v>242.88</v>
      </c>
      <c r="S787" s="1" cm="1">
        <f t="array" ref="S787">_xlfn.SWITCH(Table1[[#This Row],[Product ID]],"P001",140,"P002",80,"P003",72,"P004",30,"P005",110,"P006",24,"P007",14,"P008",12,"P009",115,"P010",360)</f>
        <v>12</v>
      </c>
      <c r="T787" s="1" cm="1">
        <f t="array" ref="T787">(_xlfn.SWITCH(Table1[[#This Row],[Product ID]],"P001",140,"P002",80,"P003",72,"P004",30,"P005",110,"P006",24,"P007",14,"P008",12,"P009",115,"P010",360))*Table1[[#This Row],[Quantity]]</f>
        <v>132</v>
      </c>
      <c r="U787" s="1" cm="1">
        <f t="array" ref="U787">_xlfn.SWITCH(Table1[[#This Row],[Product ID]],"P001",15,"P002",0,"P003",8,"P004",8,"P005",0,"P006",7,"P007",7,"P008",6,"P009",45,"P010",60)</f>
        <v>6</v>
      </c>
      <c r="V787" s="1">
        <f>Table1[[#This Row],[Shipping per Unit]]*Table1[[#This Row],[Quantity]]</f>
        <v>66</v>
      </c>
      <c r="W787" s="2">
        <f>IF(Table1[[#This Row],[Total Shipping]]&gt;0.1,0.2,0)</f>
        <v>0.2</v>
      </c>
      <c r="X787" s="4">
        <f>Table1[[#This Row],[Total Shipping]]*Table1[[#This Row],[VAT on Shipping]]</f>
        <v>13.200000000000001</v>
      </c>
      <c r="Y787" s="1">
        <f>Table1[[#This Row],[Revenue]]-Table1[[#This Row],[COGS]]</f>
        <v>70.400000000000006</v>
      </c>
      <c r="Z787" s="3">
        <f>(Table1[[#This Row],[Profit]]/Table1[[#This Row],[Revenue]])</f>
        <v>0.34782608695652178</v>
      </c>
      <c r="AA787" s="1">
        <f>Table1[[#This Row],[Profit]]-Table1[[#This Row],[Total Shipping]]</f>
        <v>4.4000000000000057</v>
      </c>
      <c r="AB787" s="3">
        <f>Table1[[#This Row],[Operating Profit]]/Table1[[#This Row],[Revenue]]</f>
        <v>2.1739130434782636E-2</v>
      </c>
    </row>
    <row r="788" spans="1:28" x14ac:dyDescent="0.25">
      <c r="A788" t="s">
        <v>352</v>
      </c>
      <c r="B788">
        <v>236</v>
      </c>
      <c r="C788" t="s">
        <v>65</v>
      </c>
      <c r="D788" t="s">
        <v>39</v>
      </c>
      <c r="E788" t="s">
        <v>49</v>
      </c>
      <c r="F788" t="s">
        <v>59</v>
      </c>
      <c r="G788" t="str" cm="1">
        <f t="array" ref="G788">_xlfn.SWITCH(F788,"Acme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788" t="s">
        <v>58</v>
      </c>
      <c r="I788" t="s">
        <v>42</v>
      </c>
      <c r="J788" t="str" cm="1">
        <f t="array" ref="J788">_xlfn.SWITCH(I788,"P001","Laptop","P002","Server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88" s="1" cm="1">
        <f t="array" ref="K788">_xlfn.SWITCH(Table1[[#This Row],[Product ID]],"P001",220,"P002",150,"P003",130,"P004",70,"P005",200,"P006",40,"P007",25,"P008",20,"P009",190,"P010",530)</f>
        <v>40</v>
      </c>
      <c r="L788">
        <v>6</v>
      </c>
      <c r="M788" s="1">
        <f>Table1[[#This Row],[Unit Price]]*Table1[[#This Row],[Quantity]]</f>
        <v>240</v>
      </c>
      <c r="N788" s="2">
        <v>0.06</v>
      </c>
      <c r="O788" s="1">
        <f>Table1[[#This Row],[Gross Value]]*(1-Table1[[#This Row],[Discount]])</f>
        <v>225.6</v>
      </c>
      <c r="P788" s="2">
        <v>0.2</v>
      </c>
      <c r="Q788" s="1">
        <f>Table1[[#This Row],[Revenue]]*Table1[[#This Row],[VAT Rate]]</f>
        <v>45.120000000000005</v>
      </c>
      <c r="R788" s="1">
        <f>Table1[[#This Row],[Revenue]]+Table1[[#This Row],[VAT Charged]]</f>
        <v>270.72000000000003</v>
      </c>
      <c r="S788" s="1" cm="1">
        <f t="array" ref="S788">_xlfn.SWITCH(Table1[[#This Row],[Product ID]],"P001",140,"P002",80,"P003",72,"P004",30,"P005",110,"P006",24,"P007",14,"P008",12,"P009",115,"P010",360)</f>
        <v>24</v>
      </c>
      <c r="T788" s="1" cm="1">
        <f t="array" ref="T788">(_xlfn.SWITCH(Table1[[#This Row],[Product ID]],"P001",140,"P002",80,"P003",72,"P004",30,"P005",110,"P006",24,"P007",14,"P008",12,"P009",115,"P010",360))*Table1[[#This Row],[Quantity]]</f>
        <v>144</v>
      </c>
      <c r="U788" s="1" cm="1">
        <f t="array" ref="U788">_xlfn.SWITCH(Table1[[#This Row],[Product ID]],"P001",15,"P002",0,"P003",8,"P004",8,"P005",0,"P006",7,"P007",7,"P008",6,"P009",45,"P010",60)</f>
        <v>7</v>
      </c>
      <c r="V788" s="1">
        <f>Table1[[#This Row],[Shipping per Unit]]*Table1[[#This Row],[Quantity]]</f>
        <v>42</v>
      </c>
      <c r="W788" s="2">
        <f>IF(Table1[[#This Row],[Total Shipping]]&gt;0.1,0.2,0)</f>
        <v>0.2</v>
      </c>
      <c r="X788" s="4">
        <f>Table1[[#This Row],[Total Shipping]]*Table1[[#This Row],[VAT on Shipping]]</f>
        <v>8.4</v>
      </c>
      <c r="Y788" s="1">
        <f>Table1[[#This Row],[Revenue]]-Table1[[#This Row],[COGS]]</f>
        <v>81.599999999999994</v>
      </c>
      <c r="Z788" s="3">
        <f>(Table1[[#This Row],[Profit]]/Table1[[#This Row],[Revenue]])</f>
        <v>0.36170212765957444</v>
      </c>
      <c r="AA788" s="1">
        <f>Table1[[#This Row],[Profit]]-Table1[[#This Row],[Total Shipping]]</f>
        <v>39.599999999999994</v>
      </c>
      <c r="AB788" s="3">
        <f>Table1[[#This Row],[Operating Profit]]/Table1[[#This Row],[Revenue]]</f>
        <v>0.175531914893617</v>
      </c>
    </row>
    <row r="789" spans="1:28" x14ac:dyDescent="0.25">
      <c r="A789" t="s">
        <v>352</v>
      </c>
      <c r="B789">
        <v>834</v>
      </c>
      <c r="C789" t="s">
        <v>71</v>
      </c>
      <c r="D789" t="s">
        <v>57</v>
      </c>
      <c r="E789" t="s">
        <v>40</v>
      </c>
      <c r="F789" t="s">
        <v>44</v>
      </c>
      <c r="G789" t="str" cm="1">
        <f t="array" ref="G789">_xlfn.SWITCH(F789,"Acme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789" t="s">
        <v>104</v>
      </c>
      <c r="I789" t="s">
        <v>55</v>
      </c>
      <c r="J789" t="str" cm="1">
        <f t="array" ref="J789">_xlfn.SWITCH(I789,"P001","Laptop","P002","Server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89" s="1" cm="1">
        <f t="array" ref="K789">_xlfn.SWITCH(Table1[[#This Row],[Product ID]],"P001",220,"P002",150,"P003",130,"P004",70,"P005",200,"P006",40,"P007",25,"P008",20,"P009",190,"P010",530)</f>
        <v>70</v>
      </c>
      <c r="L789">
        <v>6</v>
      </c>
      <c r="M789" s="1">
        <f>Table1[[#This Row],[Unit Price]]*Table1[[#This Row],[Quantity]]</f>
        <v>420</v>
      </c>
      <c r="N789" s="2">
        <v>0.05</v>
      </c>
      <c r="O789" s="1">
        <f>Table1[[#This Row],[Gross Value]]*(1-Table1[[#This Row],[Discount]])</f>
        <v>399</v>
      </c>
      <c r="P789" s="2">
        <v>0.2</v>
      </c>
      <c r="Q789" s="1">
        <f>Table1[[#This Row],[Revenue]]*Table1[[#This Row],[VAT Rate]]</f>
        <v>79.800000000000011</v>
      </c>
      <c r="R789" s="1">
        <f>Table1[[#This Row],[Revenue]]+Table1[[#This Row],[VAT Charged]]</f>
        <v>478.8</v>
      </c>
      <c r="S789" s="1" cm="1">
        <f t="array" ref="S789">_xlfn.SWITCH(Table1[[#This Row],[Product ID]],"P001",140,"P002",80,"P003",72,"P004",30,"P005",110,"P006",24,"P007",14,"P008",12,"P009",115,"P010",360)</f>
        <v>30</v>
      </c>
      <c r="T789" s="1" cm="1">
        <f t="array" ref="T789">(_xlfn.SWITCH(Table1[[#This Row],[Product ID]],"P001",140,"P002",80,"P003",72,"P004",30,"P005",110,"P006",24,"P007",14,"P008",12,"P009",115,"P010",360))*Table1[[#This Row],[Quantity]]</f>
        <v>180</v>
      </c>
      <c r="U789" s="1" cm="1">
        <f t="array" ref="U789">_xlfn.SWITCH(Table1[[#This Row],[Product ID]],"P001",15,"P002",0,"P003",8,"P004",8,"P005",0,"P006",7,"P007",7,"P008",6,"P009",45,"P010",60)</f>
        <v>8</v>
      </c>
      <c r="V789" s="1">
        <f>Table1[[#This Row],[Shipping per Unit]]*Table1[[#This Row],[Quantity]]</f>
        <v>48</v>
      </c>
      <c r="W789" s="2">
        <f>IF(Table1[[#This Row],[Total Shipping]]&gt;0.1,0.2,0)</f>
        <v>0.2</v>
      </c>
      <c r="X789" s="4">
        <f>Table1[[#This Row],[Total Shipping]]*Table1[[#This Row],[VAT on Shipping]]</f>
        <v>9.6000000000000014</v>
      </c>
      <c r="Y789" s="1">
        <f>Table1[[#This Row],[Revenue]]-Table1[[#This Row],[COGS]]</f>
        <v>219</v>
      </c>
      <c r="Z789" s="3">
        <f>(Table1[[#This Row],[Profit]]/Table1[[#This Row],[Revenue]])</f>
        <v>0.54887218045112784</v>
      </c>
      <c r="AA789" s="1">
        <f>Table1[[#This Row],[Profit]]-Table1[[#This Row],[Total Shipping]]</f>
        <v>171</v>
      </c>
      <c r="AB789" s="3">
        <f>Table1[[#This Row],[Operating Profit]]/Table1[[#This Row],[Revenue]]</f>
        <v>0.42857142857142855</v>
      </c>
    </row>
    <row r="790" spans="1:28" x14ac:dyDescent="0.25">
      <c r="A790" t="s">
        <v>352</v>
      </c>
      <c r="B790">
        <v>947</v>
      </c>
      <c r="C790" t="s">
        <v>62</v>
      </c>
      <c r="D790" t="s">
        <v>57</v>
      </c>
      <c r="E790" t="s">
        <v>49</v>
      </c>
      <c r="F790" t="s">
        <v>86</v>
      </c>
      <c r="G790" t="str" cm="1">
        <f t="array" ref="G790">_xlfn.SWITCH(F790,"Acme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790" t="s">
        <v>58</v>
      </c>
      <c r="I790" t="s">
        <v>60</v>
      </c>
      <c r="J790" t="str" cm="1">
        <f t="array" ref="J790">_xlfn.SWITCH(I790,"P001","Laptop","P002","Server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790" s="1" cm="1">
        <f t="array" ref="K790">_xlfn.SWITCH(Table1[[#This Row],[Product ID]],"P001",220,"P002",150,"P003",130,"P004",70,"P005",200,"P006",40,"P007",25,"P008",20,"P009",190,"P010",530)</f>
        <v>25</v>
      </c>
      <c r="L790">
        <v>17</v>
      </c>
      <c r="M790" s="1">
        <f>Table1[[#This Row],[Unit Price]]*Table1[[#This Row],[Quantity]]</f>
        <v>425</v>
      </c>
      <c r="N790" s="2">
        <v>7.0000000000000007E-2</v>
      </c>
      <c r="O790" s="1">
        <f>Table1[[#This Row],[Gross Value]]*(1-Table1[[#This Row],[Discount]])</f>
        <v>395.25</v>
      </c>
      <c r="P790" s="2">
        <v>0.2</v>
      </c>
      <c r="Q790" s="1">
        <f>Table1[[#This Row],[Revenue]]*Table1[[#This Row],[VAT Rate]]</f>
        <v>79.050000000000011</v>
      </c>
      <c r="R790" s="1">
        <f>Table1[[#This Row],[Revenue]]+Table1[[#This Row],[VAT Charged]]</f>
        <v>474.3</v>
      </c>
      <c r="S790" s="1" cm="1">
        <f t="array" ref="S790">_xlfn.SWITCH(Table1[[#This Row],[Product ID]],"P001",140,"P002",80,"P003",72,"P004",30,"P005",110,"P006",24,"P007",14,"P008",12,"P009",115,"P010",360)</f>
        <v>14</v>
      </c>
      <c r="T790" s="1" cm="1">
        <f t="array" ref="T790">(_xlfn.SWITCH(Table1[[#This Row],[Product ID]],"P001",140,"P002",80,"P003",72,"P004",30,"P005",110,"P006",24,"P007",14,"P008",12,"P009",115,"P010",360))*Table1[[#This Row],[Quantity]]</f>
        <v>238</v>
      </c>
      <c r="U790" s="1" cm="1">
        <f t="array" ref="U790">_xlfn.SWITCH(Table1[[#This Row],[Product ID]],"P001",15,"P002",0,"P003",8,"P004",8,"P005",0,"P006",7,"P007",7,"P008",6,"P009",45,"P010",60)</f>
        <v>7</v>
      </c>
      <c r="V790" s="1">
        <f>Table1[[#This Row],[Shipping per Unit]]*Table1[[#This Row],[Quantity]]</f>
        <v>119</v>
      </c>
      <c r="W790" s="2">
        <f>IF(Table1[[#This Row],[Total Shipping]]&gt;0.1,0.2,0)</f>
        <v>0.2</v>
      </c>
      <c r="X790" s="4">
        <f>Table1[[#This Row],[Total Shipping]]*Table1[[#This Row],[VAT on Shipping]]</f>
        <v>23.8</v>
      </c>
      <c r="Y790" s="1">
        <f>Table1[[#This Row],[Revenue]]-Table1[[#This Row],[COGS]]</f>
        <v>157.25</v>
      </c>
      <c r="Z790" s="3">
        <f>(Table1[[#This Row],[Profit]]/Table1[[#This Row],[Revenue]])</f>
        <v>0.39784946236559138</v>
      </c>
      <c r="AA790" s="1">
        <f>Table1[[#This Row],[Profit]]-Table1[[#This Row],[Total Shipping]]</f>
        <v>38.25</v>
      </c>
      <c r="AB790" s="3">
        <f>Table1[[#This Row],[Operating Profit]]/Table1[[#This Row],[Revenue]]</f>
        <v>9.6774193548387094E-2</v>
      </c>
    </row>
    <row r="791" spans="1:28" x14ac:dyDescent="0.25">
      <c r="A791" t="s">
        <v>353</v>
      </c>
      <c r="B791">
        <v>331</v>
      </c>
      <c r="C791" t="s">
        <v>62</v>
      </c>
      <c r="D791" t="s">
        <v>95</v>
      </c>
      <c r="E791" t="s">
        <v>49</v>
      </c>
      <c r="F791" t="s">
        <v>78</v>
      </c>
      <c r="G791" t="str" cm="1">
        <f t="array" ref="G791">_xlfn.SWITCH(F791,"Acme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791" t="s">
        <v>33</v>
      </c>
      <c r="I791" t="s">
        <v>75</v>
      </c>
      <c r="J791" t="str" cm="1">
        <f t="array" ref="J791">_xlfn.SWITCH(I791,"P001","Laptop","P002","Server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791" s="1" cm="1">
        <f t="array" ref="K791">_xlfn.SWITCH(Table1[[#This Row],[Product ID]],"P001",220,"P002",150,"P003",130,"P004",70,"P005",200,"P006",40,"P007",25,"P008",20,"P009",190,"P010",530)</f>
        <v>200</v>
      </c>
      <c r="L791">
        <v>9</v>
      </c>
      <c r="M791" s="1">
        <f>Table1[[#This Row],[Unit Price]]*Table1[[#This Row],[Quantity]]</f>
        <v>1800</v>
      </c>
      <c r="N791" s="2">
        <v>0.05</v>
      </c>
      <c r="O791" s="1">
        <f>Table1[[#This Row],[Gross Value]]*(1-Table1[[#This Row],[Discount]])</f>
        <v>1710</v>
      </c>
      <c r="P791" s="2">
        <v>0.2</v>
      </c>
      <c r="Q791" s="1">
        <f>Table1[[#This Row],[Revenue]]*Table1[[#This Row],[VAT Rate]]</f>
        <v>342</v>
      </c>
      <c r="R791" s="1">
        <f>Table1[[#This Row],[Revenue]]+Table1[[#This Row],[VAT Charged]]</f>
        <v>2052</v>
      </c>
      <c r="S791" s="1" cm="1">
        <f t="array" ref="S791">_xlfn.SWITCH(Table1[[#This Row],[Product ID]],"P001",140,"P002",80,"P003",72,"P004",30,"P005",110,"P006",24,"P007",14,"P008",12,"P009",115,"P010",360)</f>
        <v>110</v>
      </c>
      <c r="T791" s="1" cm="1">
        <f t="array" ref="T791">(_xlfn.SWITCH(Table1[[#This Row],[Product ID]],"P001",140,"P002",80,"P003",72,"P004",30,"P005",110,"P006",24,"P007",14,"P008",12,"P009",115,"P010",360))*Table1[[#This Row],[Quantity]]</f>
        <v>990</v>
      </c>
      <c r="U791" s="1" cm="1">
        <f t="array" ref="U791">_xlfn.SWITCH(Table1[[#This Row],[Product ID]],"P001",15,"P002",0,"P003",8,"P004",8,"P005",0,"P006",7,"P007",7,"P008",6,"P009",45,"P010",60)</f>
        <v>0</v>
      </c>
      <c r="V791" s="1">
        <f>Table1[[#This Row],[Shipping per Unit]]*Table1[[#This Row],[Quantity]]</f>
        <v>0</v>
      </c>
      <c r="W791" s="2">
        <f>IF(Table1[[#This Row],[Total Shipping]]&gt;0.1,0.2,0)</f>
        <v>0</v>
      </c>
      <c r="X791" s="4">
        <f>Table1[[#This Row],[Total Shipping]]*Table1[[#This Row],[VAT on Shipping]]</f>
        <v>0</v>
      </c>
      <c r="Y791" s="1">
        <f>Table1[[#This Row],[Revenue]]-Table1[[#This Row],[COGS]]</f>
        <v>720</v>
      </c>
      <c r="Z791" s="3">
        <f>(Table1[[#This Row],[Profit]]/Table1[[#This Row],[Revenue]])</f>
        <v>0.42105263157894735</v>
      </c>
      <c r="AA791" s="1">
        <f>Table1[[#This Row],[Profit]]-Table1[[#This Row],[Total Shipping]]</f>
        <v>720</v>
      </c>
      <c r="AB791" s="3">
        <f>Table1[[#This Row],[Operating Profit]]/Table1[[#This Row],[Revenue]]</f>
        <v>0.42105263157894735</v>
      </c>
    </row>
    <row r="792" spans="1:28" x14ac:dyDescent="0.25">
      <c r="A792" t="s">
        <v>353</v>
      </c>
      <c r="B792">
        <v>554</v>
      </c>
      <c r="C792" t="s">
        <v>38</v>
      </c>
      <c r="D792" t="s">
        <v>63</v>
      </c>
      <c r="E792" t="s">
        <v>31</v>
      </c>
      <c r="F792" t="s">
        <v>74</v>
      </c>
      <c r="G792" t="str" cm="1">
        <f t="array" ref="G792">_xlfn.SWITCH(F792,"Acme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792" t="s">
        <v>51</v>
      </c>
      <c r="I792" t="s">
        <v>34</v>
      </c>
      <c r="J792" t="str" cm="1">
        <f t="array" ref="J792">_xlfn.SWITCH(I792,"P001","Laptop","P002","Server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92" s="1" cm="1">
        <f t="array" ref="K792">_xlfn.SWITCH(Table1[[#This Row],[Product ID]],"P001",220,"P002",150,"P003",130,"P004",70,"P005",200,"P006",40,"P007",25,"P008",20,"P009",190,"P010",530)</f>
        <v>20</v>
      </c>
      <c r="L792">
        <v>8</v>
      </c>
      <c r="M792" s="1">
        <f>Table1[[#This Row],[Unit Price]]*Table1[[#This Row],[Quantity]]</f>
        <v>160</v>
      </c>
      <c r="N792" s="2">
        <v>0.03</v>
      </c>
      <c r="O792" s="1">
        <f>Table1[[#This Row],[Gross Value]]*(1-Table1[[#This Row],[Discount]])</f>
        <v>155.19999999999999</v>
      </c>
      <c r="P792" s="2">
        <v>0.2</v>
      </c>
      <c r="Q792" s="1">
        <f>Table1[[#This Row],[Revenue]]*Table1[[#This Row],[VAT Rate]]</f>
        <v>31.04</v>
      </c>
      <c r="R792" s="1">
        <f>Table1[[#This Row],[Revenue]]+Table1[[#This Row],[VAT Charged]]</f>
        <v>186.23999999999998</v>
      </c>
      <c r="S792" s="1" cm="1">
        <f t="array" ref="S792">_xlfn.SWITCH(Table1[[#This Row],[Product ID]],"P001",140,"P002",80,"P003",72,"P004",30,"P005",110,"P006",24,"P007",14,"P008",12,"P009",115,"P010",360)</f>
        <v>12</v>
      </c>
      <c r="T792" s="1" cm="1">
        <f t="array" ref="T792">(_xlfn.SWITCH(Table1[[#This Row],[Product ID]],"P001",140,"P002",80,"P003",72,"P004",30,"P005",110,"P006",24,"P007",14,"P008",12,"P009",115,"P010",360))*Table1[[#This Row],[Quantity]]</f>
        <v>96</v>
      </c>
      <c r="U792" s="1" cm="1">
        <f t="array" ref="U792">_xlfn.SWITCH(Table1[[#This Row],[Product ID]],"P001",15,"P002",0,"P003",8,"P004",8,"P005",0,"P006",7,"P007",7,"P008",6,"P009",45,"P010",60)</f>
        <v>6</v>
      </c>
      <c r="V792" s="1">
        <f>Table1[[#This Row],[Shipping per Unit]]*Table1[[#This Row],[Quantity]]</f>
        <v>48</v>
      </c>
      <c r="W792" s="2">
        <f>IF(Table1[[#This Row],[Total Shipping]]&gt;0.1,0.2,0)</f>
        <v>0.2</v>
      </c>
      <c r="X792" s="4">
        <f>Table1[[#This Row],[Total Shipping]]*Table1[[#This Row],[VAT on Shipping]]</f>
        <v>9.6000000000000014</v>
      </c>
      <c r="Y792" s="1">
        <f>Table1[[#This Row],[Revenue]]-Table1[[#This Row],[COGS]]</f>
        <v>59.199999999999989</v>
      </c>
      <c r="Z792" s="3">
        <f>(Table1[[#This Row],[Profit]]/Table1[[#This Row],[Revenue]])</f>
        <v>0.38144329896907214</v>
      </c>
      <c r="AA792" s="1">
        <f>Table1[[#This Row],[Profit]]-Table1[[#This Row],[Total Shipping]]</f>
        <v>11.199999999999989</v>
      </c>
      <c r="AB792" s="3">
        <f>Table1[[#This Row],[Operating Profit]]/Table1[[#This Row],[Revenue]]</f>
        <v>7.2164948453608185E-2</v>
      </c>
    </row>
    <row r="793" spans="1:28" x14ac:dyDescent="0.25">
      <c r="A793" t="s">
        <v>354</v>
      </c>
      <c r="B793">
        <v>822</v>
      </c>
      <c r="C793" t="s">
        <v>71</v>
      </c>
      <c r="D793" t="s">
        <v>39</v>
      </c>
      <c r="E793" t="s">
        <v>40</v>
      </c>
      <c r="F793" t="s">
        <v>90</v>
      </c>
      <c r="G793" t="str" cm="1">
        <f t="array" ref="G793">_xlfn.SWITCH(F793,"Acme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793" t="s">
        <v>45</v>
      </c>
      <c r="I793" t="s">
        <v>55</v>
      </c>
      <c r="J793" t="str" cm="1">
        <f t="array" ref="J793">_xlfn.SWITCH(I793,"P001","Laptop","P002","Server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93" s="1" cm="1">
        <f t="array" ref="K793">_xlfn.SWITCH(Table1[[#This Row],[Product ID]],"P001",220,"P002",150,"P003",130,"P004",70,"P005",200,"P006",40,"P007",25,"P008",20,"P009",190,"P010",530)</f>
        <v>70</v>
      </c>
      <c r="L793">
        <v>5</v>
      </c>
      <c r="M793" s="1">
        <f>Table1[[#This Row],[Unit Price]]*Table1[[#This Row],[Quantity]]</f>
        <v>350</v>
      </c>
      <c r="N793" s="2">
        <v>0.08</v>
      </c>
      <c r="O793" s="1">
        <f>Table1[[#This Row],[Gross Value]]*(1-Table1[[#This Row],[Discount]])</f>
        <v>322</v>
      </c>
      <c r="P793" s="2">
        <v>0.2</v>
      </c>
      <c r="Q793" s="1">
        <f>Table1[[#This Row],[Revenue]]*Table1[[#This Row],[VAT Rate]]</f>
        <v>64.400000000000006</v>
      </c>
      <c r="R793" s="1">
        <f>Table1[[#This Row],[Revenue]]+Table1[[#This Row],[VAT Charged]]</f>
        <v>386.4</v>
      </c>
      <c r="S793" s="1" cm="1">
        <f t="array" ref="S793">_xlfn.SWITCH(Table1[[#This Row],[Product ID]],"P001",140,"P002",80,"P003",72,"P004",30,"P005",110,"P006",24,"P007",14,"P008",12,"P009",115,"P010",360)</f>
        <v>30</v>
      </c>
      <c r="T793" s="1" cm="1">
        <f t="array" ref="T793">(_xlfn.SWITCH(Table1[[#This Row],[Product ID]],"P001",140,"P002",80,"P003",72,"P004",30,"P005",110,"P006",24,"P007",14,"P008",12,"P009",115,"P010",360))*Table1[[#This Row],[Quantity]]</f>
        <v>150</v>
      </c>
      <c r="U793" s="1" cm="1">
        <f t="array" ref="U793">_xlfn.SWITCH(Table1[[#This Row],[Product ID]],"P001",15,"P002",0,"P003",8,"P004",8,"P005",0,"P006",7,"P007",7,"P008",6,"P009",45,"P010",60)</f>
        <v>8</v>
      </c>
      <c r="V793" s="1">
        <f>Table1[[#This Row],[Shipping per Unit]]*Table1[[#This Row],[Quantity]]</f>
        <v>40</v>
      </c>
      <c r="W793" s="2">
        <f>IF(Table1[[#This Row],[Total Shipping]]&gt;0.1,0.2,0)</f>
        <v>0.2</v>
      </c>
      <c r="X793" s="4">
        <f>Table1[[#This Row],[Total Shipping]]*Table1[[#This Row],[VAT on Shipping]]</f>
        <v>8</v>
      </c>
      <c r="Y793" s="1">
        <f>Table1[[#This Row],[Revenue]]-Table1[[#This Row],[COGS]]</f>
        <v>172</v>
      </c>
      <c r="Z793" s="3">
        <f>(Table1[[#This Row],[Profit]]/Table1[[#This Row],[Revenue]])</f>
        <v>0.53416149068322982</v>
      </c>
      <c r="AA793" s="1">
        <f>Table1[[#This Row],[Profit]]-Table1[[#This Row],[Total Shipping]]</f>
        <v>132</v>
      </c>
      <c r="AB793" s="3">
        <f>Table1[[#This Row],[Operating Profit]]/Table1[[#This Row],[Revenue]]</f>
        <v>0.40993788819875776</v>
      </c>
    </row>
    <row r="794" spans="1:28" x14ac:dyDescent="0.25">
      <c r="A794" t="s">
        <v>354</v>
      </c>
      <c r="B794">
        <v>936</v>
      </c>
      <c r="C794" t="s">
        <v>62</v>
      </c>
      <c r="D794" t="s">
        <v>39</v>
      </c>
      <c r="E794" t="s">
        <v>49</v>
      </c>
      <c r="F794" t="s">
        <v>64</v>
      </c>
      <c r="G794" t="str" cm="1">
        <f t="array" ref="G794">_xlfn.SWITCH(F794,"Acme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794" t="s">
        <v>45</v>
      </c>
      <c r="I794" t="s">
        <v>42</v>
      </c>
      <c r="J794" t="str" cm="1">
        <f t="array" ref="J794">_xlfn.SWITCH(I794,"P001","Laptop","P002","Server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794" s="1" cm="1">
        <f t="array" ref="K794">_xlfn.SWITCH(Table1[[#This Row],[Product ID]],"P001",220,"P002",150,"P003",130,"P004",70,"P005",200,"P006",40,"P007",25,"P008",20,"P009",190,"P010",530)</f>
        <v>40</v>
      </c>
      <c r="L794">
        <v>4</v>
      </c>
      <c r="M794" s="1">
        <f>Table1[[#This Row],[Unit Price]]*Table1[[#This Row],[Quantity]]</f>
        <v>160</v>
      </c>
      <c r="N794" s="2">
        <v>0.08</v>
      </c>
      <c r="O794" s="1">
        <f>Table1[[#This Row],[Gross Value]]*(1-Table1[[#This Row],[Discount]])</f>
        <v>147.20000000000002</v>
      </c>
      <c r="P794" s="2">
        <v>0.2</v>
      </c>
      <c r="Q794" s="1">
        <f>Table1[[#This Row],[Revenue]]*Table1[[#This Row],[VAT Rate]]</f>
        <v>29.440000000000005</v>
      </c>
      <c r="R794" s="1">
        <f>Table1[[#This Row],[Revenue]]+Table1[[#This Row],[VAT Charged]]</f>
        <v>176.64000000000001</v>
      </c>
      <c r="S794" s="1" cm="1">
        <f t="array" ref="S794">_xlfn.SWITCH(Table1[[#This Row],[Product ID]],"P001",140,"P002",80,"P003",72,"P004",30,"P005",110,"P006",24,"P007",14,"P008",12,"P009",115,"P010",360)</f>
        <v>24</v>
      </c>
      <c r="T794" s="1" cm="1">
        <f t="array" ref="T794">(_xlfn.SWITCH(Table1[[#This Row],[Product ID]],"P001",140,"P002",80,"P003",72,"P004",30,"P005",110,"P006",24,"P007",14,"P008",12,"P009",115,"P010",360))*Table1[[#This Row],[Quantity]]</f>
        <v>96</v>
      </c>
      <c r="U794" s="1" cm="1">
        <f t="array" ref="U794">_xlfn.SWITCH(Table1[[#This Row],[Product ID]],"P001",15,"P002",0,"P003",8,"P004",8,"P005",0,"P006",7,"P007",7,"P008",6,"P009",45,"P010",60)</f>
        <v>7</v>
      </c>
      <c r="V794" s="1">
        <f>Table1[[#This Row],[Shipping per Unit]]*Table1[[#This Row],[Quantity]]</f>
        <v>28</v>
      </c>
      <c r="W794" s="2">
        <f>IF(Table1[[#This Row],[Total Shipping]]&gt;0.1,0.2,0)</f>
        <v>0.2</v>
      </c>
      <c r="X794" s="4">
        <f>Table1[[#This Row],[Total Shipping]]*Table1[[#This Row],[VAT on Shipping]]</f>
        <v>5.6000000000000005</v>
      </c>
      <c r="Y794" s="1">
        <f>Table1[[#This Row],[Revenue]]-Table1[[#This Row],[COGS]]</f>
        <v>51.200000000000017</v>
      </c>
      <c r="Z794" s="3">
        <f>(Table1[[#This Row],[Profit]]/Table1[[#This Row],[Revenue]])</f>
        <v>0.34782608695652184</v>
      </c>
      <c r="AA794" s="1">
        <f>Table1[[#This Row],[Profit]]-Table1[[#This Row],[Total Shipping]]</f>
        <v>23.200000000000017</v>
      </c>
      <c r="AB794" s="3">
        <f>Table1[[#This Row],[Operating Profit]]/Table1[[#This Row],[Revenue]]</f>
        <v>0.157608695652174</v>
      </c>
    </row>
    <row r="795" spans="1:28" x14ac:dyDescent="0.25">
      <c r="A795" t="s">
        <v>355</v>
      </c>
      <c r="B795">
        <v>356</v>
      </c>
      <c r="C795" t="s">
        <v>35</v>
      </c>
      <c r="D795" t="s">
        <v>72</v>
      </c>
      <c r="E795" t="s">
        <v>40</v>
      </c>
      <c r="F795" t="s">
        <v>32</v>
      </c>
      <c r="G795" t="str" cm="1">
        <f t="array" ref="G795">_xlfn.SWITCH(F795,"Acme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795" t="s">
        <v>58</v>
      </c>
      <c r="I795" t="s">
        <v>91</v>
      </c>
      <c r="J795" t="str" cm="1">
        <f t="array" ref="J795">_xlfn.SWITCH(I795,"P001","Laptop","P002","Server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795" s="1" cm="1">
        <f t="array" ref="K795">_xlfn.SWITCH(Table1[[#This Row],[Product ID]],"P001",220,"P002",150,"P003",130,"P004",70,"P005",200,"P006",40,"P007",25,"P008",20,"P009",190,"P010",530)</f>
        <v>190</v>
      </c>
      <c r="L795">
        <v>10</v>
      </c>
      <c r="M795" s="1">
        <f>Table1[[#This Row],[Unit Price]]*Table1[[#This Row],[Quantity]]</f>
        <v>1900</v>
      </c>
      <c r="N795" s="2">
        <v>7.0000000000000007E-2</v>
      </c>
      <c r="O795" s="1">
        <f>Table1[[#This Row],[Gross Value]]*(1-Table1[[#This Row],[Discount]])</f>
        <v>1766.9999999999998</v>
      </c>
      <c r="P795" s="2">
        <v>0.2</v>
      </c>
      <c r="Q795" s="1">
        <f>Table1[[#This Row],[Revenue]]*Table1[[#This Row],[VAT Rate]]</f>
        <v>353.4</v>
      </c>
      <c r="R795" s="1">
        <f>Table1[[#This Row],[Revenue]]+Table1[[#This Row],[VAT Charged]]</f>
        <v>2120.3999999999996</v>
      </c>
      <c r="S795" s="1" cm="1">
        <f t="array" ref="S795">_xlfn.SWITCH(Table1[[#This Row],[Product ID]],"P001",140,"P002",80,"P003",72,"P004",30,"P005",110,"P006",24,"P007",14,"P008",12,"P009",115,"P010",360)</f>
        <v>115</v>
      </c>
      <c r="T795" s="1" cm="1">
        <f t="array" ref="T795">(_xlfn.SWITCH(Table1[[#This Row],[Product ID]],"P001",140,"P002",80,"P003",72,"P004",30,"P005",110,"P006",24,"P007",14,"P008",12,"P009",115,"P010",360))*Table1[[#This Row],[Quantity]]</f>
        <v>1150</v>
      </c>
      <c r="U795" s="1" cm="1">
        <f t="array" ref="U795">_xlfn.SWITCH(Table1[[#This Row],[Product ID]],"P001",15,"P002",0,"P003",8,"P004",8,"P005",0,"P006",7,"P007",7,"P008",6,"P009",45,"P010",60)</f>
        <v>45</v>
      </c>
      <c r="V795" s="1">
        <f>Table1[[#This Row],[Shipping per Unit]]*Table1[[#This Row],[Quantity]]</f>
        <v>450</v>
      </c>
      <c r="W795" s="2">
        <f>IF(Table1[[#This Row],[Total Shipping]]&gt;0.1,0.2,0)</f>
        <v>0.2</v>
      </c>
      <c r="X795" s="4">
        <f>Table1[[#This Row],[Total Shipping]]*Table1[[#This Row],[VAT on Shipping]]</f>
        <v>90</v>
      </c>
      <c r="Y795" s="1">
        <f>Table1[[#This Row],[Revenue]]-Table1[[#This Row],[COGS]]</f>
        <v>616.99999999999977</v>
      </c>
      <c r="Z795" s="3">
        <f>(Table1[[#This Row],[Profit]]/Table1[[#This Row],[Revenue]])</f>
        <v>0.3491794001131861</v>
      </c>
      <c r="AA795" s="1">
        <f>Table1[[#This Row],[Profit]]-Table1[[#This Row],[Total Shipping]]</f>
        <v>166.99999999999977</v>
      </c>
      <c r="AB795" s="3">
        <f>Table1[[#This Row],[Operating Profit]]/Table1[[#This Row],[Revenue]]</f>
        <v>9.451046972269371E-2</v>
      </c>
    </row>
    <row r="796" spans="1:28" x14ac:dyDescent="0.25">
      <c r="A796" t="s">
        <v>356</v>
      </c>
      <c r="B796">
        <v>60</v>
      </c>
      <c r="C796" t="s">
        <v>83</v>
      </c>
      <c r="D796" t="s">
        <v>39</v>
      </c>
      <c r="E796" t="s">
        <v>49</v>
      </c>
      <c r="F796" t="s">
        <v>54</v>
      </c>
      <c r="G796" t="str" cm="1">
        <f t="array" ref="G796">_xlfn.SWITCH(F796,"Acme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796" t="s">
        <v>104</v>
      </c>
      <c r="I796" t="s">
        <v>34</v>
      </c>
      <c r="J796" t="str" cm="1">
        <f t="array" ref="J796">_xlfn.SWITCH(I796,"P001","Laptop","P002","Server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796" s="1" cm="1">
        <f t="array" ref="K796">_xlfn.SWITCH(Table1[[#This Row],[Product ID]],"P001",220,"P002",150,"P003",130,"P004",70,"P005",200,"P006",40,"P007",25,"P008",20,"P009",190,"P010",530)</f>
        <v>20</v>
      </c>
      <c r="L796">
        <v>3</v>
      </c>
      <c r="M796" s="1">
        <f>Table1[[#This Row],[Unit Price]]*Table1[[#This Row],[Quantity]]</f>
        <v>60</v>
      </c>
      <c r="N796" s="2">
        <v>0.06</v>
      </c>
      <c r="O796" s="1">
        <f>Table1[[#This Row],[Gross Value]]*(1-Table1[[#This Row],[Discount]])</f>
        <v>56.4</v>
      </c>
      <c r="P796" s="2">
        <v>0.2</v>
      </c>
      <c r="Q796" s="1">
        <f>Table1[[#This Row],[Revenue]]*Table1[[#This Row],[VAT Rate]]</f>
        <v>11.280000000000001</v>
      </c>
      <c r="R796" s="1">
        <f>Table1[[#This Row],[Revenue]]+Table1[[#This Row],[VAT Charged]]</f>
        <v>67.680000000000007</v>
      </c>
      <c r="S796" s="1" cm="1">
        <f t="array" ref="S796">_xlfn.SWITCH(Table1[[#This Row],[Product ID]],"P001",140,"P002",80,"P003",72,"P004",30,"P005",110,"P006",24,"P007",14,"P008",12,"P009",115,"P010",360)</f>
        <v>12</v>
      </c>
      <c r="T796" s="1" cm="1">
        <f t="array" ref="T796">(_xlfn.SWITCH(Table1[[#This Row],[Product ID]],"P001",140,"P002",80,"P003",72,"P004",30,"P005",110,"P006",24,"P007",14,"P008",12,"P009",115,"P010",360))*Table1[[#This Row],[Quantity]]</f>
        <v>36</v>
      </c>
      <c r="U796" s="1" cm="1">
        <f t="array" ref="U796">_xlfn.SWITCH(Table1[[#This Row],[Product ID]],"P001",15,"P002",0,"P003",8,"P004",8,"P005",0,"P006",7,"P007",7,"P008",6,"P009",45,"P010",60)</f>
        <v>6</v>
      </c>
      <c r="V796" s="1">
        <f>Table1[[#This Row],[Shipping per Unit]]*Table1[[#This Row],[Quantity]]</f>
        <v>18</v>
      </c>
      <c r="W796" s="2">
        <f>IF(Table1[[#This Row],[Total Shipping]]&gt;0.1,0.2,0)</f>
        <v>0.2</v>
      </c>
      <c r="X796" s="4">
        <f>Table1[[#This Row],[Total Shipping]]*Table1[[#This Row],[VAT on Shipping]]</f>
        <v>3.6</v>
      </c>
      <c r="Y796" s="1">
        <f>Table1[[#This Row],[Revenue]]-Table1[[#This Row],[COGS]]</f>
        <v>20.399999999999999</v>
      </c>
      <c r="Z796" s="3">
        <f>(Table1[[#This Row],[Profit]]/Table1[[#This Row],[Revenue]])</f>
        <v>0.36170212765957444</v>
      </c>
      <c r="AA796" s="1">
        <f>Table1[[#This Row],[Profit]]-Table1[[#This Row],[Total Shipping]]</f>
        <v>2.3999999999999986</v>
      </c>
      <c r="AB796" s="3">
        <f>Table1[[#This Row],[Operating Profit]]/Table1[[#This Row],[Revenue]]</f>
        <v>4.255319148936168E-2</v>
      </c>
    </row>
    <row r="797" spans="1:28" x14ac:dyDescent="0.25">
      <c r="A797" t="s">
        <v>356</v>
      </c>
      <c r="B797">
        <v>136</v>
      </c>
      <c r="C797" t="s">
        <v>29</v>
      </c>
      <c r="D797" t="s">
        <v>36</v>
      </c>
      <c r="E797" t="s">
        <v>40</v>
      </c>
      <c r="F797" t="s">
        <v>66</v>
      </c>
      <c r="G797" t="str" cm="1">
        <f t="array" ref="G797">_xlfn.SWITCH(F797,"Acme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797" t="s">
        <v>69</v>
      </c>
      <c r="I797" t="s">
        <v>55</v>
      </c>
      <c r="J797" t="str" cm="1">
        <f t="array" ref="J797">_xlfn.SWITCH(I797,"P001","Laptop","P002","Server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97" s="1" cm="1">
        <f t="array" ref="K797">_xlfn.SWITCH(Table1[[#This Row],[Product ID]],"P001",220,"P002",150,"P003",130,"P004",70,"P005",200,"P006",40,"P007",25,"P008",20,"P009",190,"P010",530)</f>
        <v>70</v>
      </c>
      <c r="L797">
        <v>6</v>
      </c>
      <c r="M797" s="1">
        <f>Table1[[#This Row],[Unit Price]]*Table1[[#This Row],[Quantity]]</f>
        <v>420</v>
      </c>
      <c r="N797" s="2">
        <v>0.01</v>
      </c>
      <c r="O797" s="1">
        <f>Table1[[#This Row],[Gross Value]]*(1-Table1[[#This Row],[Discount]])</f>
        <v>415.8</v>
      </c>
      <c r="P797" s="2">
        <v>0.2</v>
      </c>
      <c r="Q797" s="1">
        <f>Table1[[#This Row],[Revenue]]*Table1[[#This Row],[VAT Rate]]</f>
        <v>83.160000000000011</v>
      </c>
      <c r="R797" s="1">
        <f>Table1[[#This Row],[Revenue]]+Table1[[#This Row],[VAT Charged]]</f>
        <v>498.96000000000004</v>
      </c>
      <c r="S797" s="1" cm="1">
        <f t="array" ref="S797">_xlfn.SWITCH(Table1[[#This Row],[Product ID]],"P001",140,"P002",80,"P003",72,"P004",30,"P005",110,"P006",24,"P007",14,"P008",12,"P009",115,"P010",360)</f>
        <v>30</v>
      </c>
      <c r="T797" s="1" cm="1">
        <f t="array" ref="T797">(_xlfn.SWITCH(Table1[[#This Row],[Product ID]],"P001",140,"P002",80,"P003",72,"P004",30,"P005",110,"P006",24,"P007",14,"P008",12,"P009",115,"P010",360))*Table1[[#This Row],[Quantity]]</f>
        <v>180</v>
      </c>
      <c r="U797" s="1" cm="1">
        <f t="array" ref="U797">_xlfn.SWITCH(Table1[[#This Row],[Product ID]],"P001",15,"P002",0,"P003",8,"P004",8,"P005",0,"P006",7,"P007",7,"P008",6,"P009",45,"P010",60)</f>
        <v>8</v>
      </c>
      <c r="V797" s="1">
        <f>Table1[[#This Row],[Shipping per Unit]]*Table1[[#This Row],[Quantity]]</f>
        <v>48</v>
      </c>
      <c r="W797" s="2">
        <f>IF(Table1[[#This Row],[Total Shipping]]&gt;0.1,0.2,0)</f>
        <v>0.2</v>
      </c>
      <c r="X797" s="4">
        <f>Table1[[#This Row],[Total Shipping]]*Table1[[#This Row],[VAT on Shipping]]</f>
        <v>9.6000000000000014</v>
      </c>
      <c r="Y797" s="1">
        <f>Table1[[#This Row],[Revenue]]-Table1[[#This Row],[COGS]]</f>
        <v>235.8</v>
      </c>
      <c r="Z797" s="3">
        <f>(Table1[[#This Row],[Profit]]/Table1[[#This Row],[Revenue]])</f>
        <v>0.5670995670995671</v>
      </c>
      <c r="AA797" s="1">
        <f>Table1[[#This Row],[Profit]]-Table1[[#This Row],[Total Shipping]]</f>
        <v>187.8</v>
      </c>
      <c r="AB797" s="3">
        <f>Table1[[#This Row],[Operating Profit]]/Table1[[#This Row],[Revenue]]</f>
        <v>0.45165945165945165</v>
      </c>
    </row>
    <row r="798" spans="1:28" x14ac:dyDescent="0.25">
      <c r="A798" t="s">
        <v>356</v>
      </c>
      <c r="B798">
        <v>231</v>
      </c>
      <c r="C798" t="s">
        <v>62</v>
      </c>
      <c r="D798" t="s">
        <v>48</v>
      </c>
      <c r="E798" t="s">
        <v>40</v>
      </c>
      <c r="F798" t="s">
        <v>103</v>
      </c>
      <c r="G798" t="str" cm="1">
        <f t="array" ref="G798">_xlfn.SWITCH(F798,"Acme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798" t="s">
        <v>45</v>
      </c>
      <c r="I798" t="s">
        <v>70</v>
      </c>
      <c r="J798" t="str" cm="1">
        <f t="array" ref="J798">_xlfn.SWITCH(I798,"P001","Laptop","P002","Server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798" s="1" cm="1">
        <f t="array" ref="K798">_xlfn.SWITCH(Table1[[#This Row],[Product ID]],"P001",220,"P002",150,"P003",130,"P004",70,"P005",200,"P006",40,"P007",25,"P008",20,"P009",190,"P010",530)</f>
        <v>150</v>
      </c>
      <c r="L798">
        <v>6</v>
      </c>
      <c r="M798" s="1">
        <f>Table1[[#This Row],[Unit Price]]*Table1[[#This Row],[Quantity]]</f>
        <v>900</v>
      </c>
      <c r="N798" s="2">
        <v>0.05</v>
      </c>
      <c r="O798" s="1">
        <f>Table1[[#This Row],[Gross Value]]*(1-Table1[[#This Row],[Discount]])</f>
        <v>855</v>
      </c>
      <c r="P798" s="2">
        <v>0.2</v>
      </c>
      <c r="Q798" s="1">
        <f>Table1[[#This Row],[Revenue]]*Table1[[#This Row],[VAT Rate]]</f>
        <v>171</v>
      </c>
      <c r="R798" s="1">
        <f>Table1[[#This Row],[Revenue]]+Table1[[#This Row],[VAT Charged]]</f>
        <v>1026</v>
      </c>
      <c r="S798" s="1" cm="1">
        <f t="array" ref="S798">_xlfn.SWITCH(Table1[[#This Row],[Product ID]],"P001",140,"P002",80,"P003",72,"P004",30,"P005",110,"P006",24,"P007",14,"P008",12,"P009",115,"P010",360)</f>
        <v>80</v>
      </c>
      <c r="T798" s="1" cm="1">
        <f t="array" ref="T798">(_xlfn.SWITCH(Table1[[#This Row],[Product ID]],"P001",140,"P002",80,"P003",72,"P004",30,"P005",110,"P006",24,"P007",14,"P008",12,"P009",115,"P010",360))*Table1[[#This Row],[Quantity]]</f>
        <v>480</v>
      </c>
      <c r="U798" s="1" cm="1">
        <f t="array" ref="U798">_xlfn.SWITCH(Table1[[#This Row],[Product ID]],"P001",15,"P002",0,"P003",8,"P004",8,"P005",0,"P006",7,"P007",7,"P008",6,"P009",45,"P010",60)</f>
        <v>0</v>
      </c>
      <c r="V798" s="1">
        <f>Table1[[#This Row],[Shipping per Unit]]*Table1[[#This Row],[Quantity]]</f>
        <v>0</v>
      </c>
      <c r="W798" s="2">
        <f>IF(Table1[[#This Row],[Total Shipping]]&gt;0.1,0.2,0)</f>
        <v>0</v>
      </c>
      <c r="X798" s="4">
        <f>Table1[[#This Row],[Total Shipping]]*Table1[[#This Row],[VAT on Shipping]]</f>
        <v>0</v>
      </c>
      <c r="Y798" s="1">
        <f>Table1[[#This Row],[Revenue]]-Table1[[#This Row],[COGS]]</f>
        <v>375</v>
      </c>
      <c r="Z798" s="3">
        <f>(Table1[[#This Row],[Profit]]/Table1[[#This Row],[Revenue]])</f>
        <v>0.43859649122807015</v>
      </c>
      <c r="AA798" s="1">
        <f>Table1[[#This Row],[Profit]]-Table1[[#This Row],[Total Shipping]]</f>
        <v>375</v>
      </c>
      <c r="AB798" s="3">
        <f>Table1[[#This Row],[Operating Profit]]/Table1[[#This Row],[Revenue]]</f>
        <v>0.43859649122807015</v>
      </c>
    </row>
    <row r="799" spans="1:28" x14ac:dyDescent="0.25">
      <c r="A799" t="s">
        <v>357</v>
      </c>
      <c r="B799">
        <v>18</v>
      </c>
      <c r="C799" t="s">
        <v>65</v>
      </c>
      <c r="D799" t="s">
        <v>67</v>
      </c>
      <c r="E799" t="s">
        <v>40</v>
      </c>
      <c r="F799" t="s">
        <v>84</v>
      </c>
      <c r="G799" t="str" cm="1">
        <f t="array" ref="G799">_xlfn.SWITCH(F799,"Acme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799" t="s">
        <v>58</v>
      </c>
      <c r="I799" t="s">
        <v>55</v>
      </c>
      <c r="J799" t="str" cm="1">
        <f t="array" ref="J799">_xlfn.SWITCH(I799,"P001","Laptop","P002","Server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799" s="1" cm="1">
        <f t="array" ref="K799">_xlfn.SWITCH(Table1[[#This Row],[Product ID]],"P001",220,"P002",150,"P003",130,"P004",70,"P005",200,"P006",40,"P007",25,"P008",20,"P009",190,"P010",530)</f>
        <v>70</v>
      </c>
      <c r="L799">
        <v>5</v>
      </c>
      <c r="M799" s="1">
        <f>Table1[[#This Row],[Unit Price]]*Table1[[#This Row],[Quantity]]</f>
        <v>350</v>
      </c>
      <c r="N799" s="2">
        <v>0.08</v>
      </c>
      <c r="O799" s="1">
        <f>Table1[[#This Row],[Gross Value]]*(1-Table1[[#This Row],[Discount]])</f>
        <v>322</v>
      </c>
      <c r="P799" s="2">
        <v>0.2</v>
      </c>
      <c r="Q799" s="1">
        <f>Table1[[#This Row],[Revenue]]*Table1[[#This Row],[VAT Rate]]</f>
        <v>64.400000000000006</v>
      </c>
      <c r="R799" s="1">
        <f>Table1[[#This Row],[Revenue]]+Table1[[#This Row],[VAT Charged]]</f>
        <v>386.4</v>
      </c>
      <c r="S799" s="1" cm="1">
        <f t="array" ref="S799">_xlfn.SWITCH(Table1[[#This Row],[Product ID]],"P001",140,"P002",80,"P003",72,"P004",30,"P005",110,"P006",24,"P007",14,"P008",12,"P009",115,"P010",360)</f>
        <v>30</v>
      </c>
      <c r="T799" s="1" cm="1">
        <f t="array" ref="T799">(_xlfn.SWITCH(Table1[[#This Row],[Product ID]],"P001",140,"P002",80,"P003",72,"P004",30,"P005",110,"P006",24,"P007",14,"P008",12,"P009",115,"P010",360))*Table1[[#This Row],[Quantity]]</f>
        <v>150</v>
      </c>
      <c r="U799" s="1" cm="1">
        <f t="array" ref="U799">_xlfn.SWITCH(Table1[[#This Row],[Product ID]],"P001",15,"P002",0,"P003",8,"P004",8,"P005",0,"P006",7,"P007",7,"P008",6,"P009",45,"P010",60)</f>
        <v>8</v>
      </c>
      <c r="V799" s="1">
        <f>Table1[[#This Row],[Shipping per Unit]]*Table1[[#This Row],[Quantity]]</f>
        <v>40</v>
      </c>
      <c r="W799" s="2">
        <f>IF(Table1[[#This Row],[Total Shipping]]&gt;0.1,0.2,0)</f>
        <v>0.2</v>
      </c>
      <c r="X799" s="4">
        <f>Table1[[#This Row],[Total Shipping]]*Table1[[#This Row],[VAT on Shipping]]</f>
        <v>8</v>
      </c>
      <c r="Y799" s="1">
        <f>Table1[[#This Row],[Revenue]]-Table1[[#This Row],[COGS]]</f>
        <v>172</v>
      </c>
      <c r="Z799" s="3">
        <f>(Table1[[#This Row],[Profit]]/Table1[[#This Row],[Revenue]])</f>
        <v>0.53416149068322982</v>
      </c>
      <c r="AA799" s="1">
        <f>Table1[[#This Row],[Profit]]-Table1[[#This Row],[Total Shipping]]</f>
        <v>132</v>
      </c>
      <c r="AB799" s="3">
        <f>Table1[[#This Row],[Operating Profit]]/Table1[[#This Row],[Revenue]]</f>
        <v>0.40993788819875776</v>
      </c>
    </row>
    <row r="800" spans="1:28" x14ac:dyDescent="0.25">
      <c r="A800" t="s">
        <v>357</v>
      </c>
      <c r="B800">
        <v>44</v>
      </c>
      <c r="C800" t="s">
        <v>38</v>
      </c>
      <c r="D800" t="s">
        <v>72</v>
      </c>
      <c r="E800" t="s">
        <v>31</v>
      </c>
      <c r="F800" t="s">
        <v>97</v>
      </c>
      <c r="G800" t="str" cm="1">
        <f t="array" ref="G800">_xlfn.SWITCH(F800,"Acme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800" t="s">
        <v>33</v>
      </c>
      <c r="I800" t="s">
        <v>42</v>
      </c>
      <c r="J800" t="str" cm="1">
        <f t="array" ref="J800">_xlfn.SWITCH(I800,"P001","Laptop","P002","Server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00" s="1" cm="1">
        <f t="array" ref="K800">_xlfn.SWITCH(Table1[[#This Row],[Product ID]],"P001",220,"P002",150,"P003",130,"P004",70,"P005",200,"P006",40,"P007",25,"P008",20,"P009",190,"P010",530)</f>
        <v>40</v>
      </c>
      <c r="L800">
        <v>20</v>
      </c>
      <c r="M800" s="1">
        <f>Table1[[#This Row],[Unit Price]]*Table1[[#This Row],[Quantity]]</f>
        <v>800</v>
      </c>
      <c r="N800" s="2">
        <v>0.03</v>
      </c>
      <c r="O800" s="1">
        <f>Table1[[#This Row],[Gross Value]]*(1-Table1[[#This Row],[Discount]])</f>
        <v>776</v>
      </c>
      <c r="P800" s="2">
        <v>0.2</v>
      </c>
      <c r="Q800" s="1">
        <f>Table1[[#This Row],[Revenue]]*Table1[[#This Row],[VAT Rate]]</f>
        <v>155.20000000000002</v>
      </c>
      <c r="R800" s="1">
        <f>Table1[[#This Row],[Revenue]]+Table1[[#This Row],[VAT Charged]]</f>
        <v>931.2</v>
      </c>
      <c r="S800" s="1" cm="1">
        <f t="array" ref="S800">_xlfn.SWITCH(Table1[[#This Row],[Product ID]],"P001",140,"P002",80,"P003",72,"P004",30,"P005",110,"P006",24,"P007",14,"P008",12,"P009",115,"P010",360)</f>
        <v>24</v>
      </c>
      <c r="T800" s="1" cm="1">
        <f t="array" ref="T800">(_xlfn.SWITCH(Table1[[#This Row],[Product ID]],"P001",140,"P002",80,"P003",72,"P004",30,"P005",110,"P006",24,"P007",14,"P008",12,"P009",115,"P010",360))*Table1[[#This Row],[Quantity]]</f>
        <v>480</v>
      </c>
      <c r="U800" s="1" cm="1">
        <f t="array" ref="U800">_xlfn.SWITCH(Table1[[#This Row],[Product ID]],"P001",15,"P002",0,"P003",8,"P004",8,"P005",0,"P006",7,"P007",7,"P008",6,"P009",45,"P010",60)</f>
        <v>7</v>
      </c>
      <c r="V800" s="1">
        <f>Table1[[#This Row],[Shipping per Unit]]*Table1[[#This Row],[Quantity]]</f>
        <v>140</v>
      </c>
      <c r="W800" s="2">
        <f>IF(Table1[[#This Row],[Total Shipping]]&gt;0.1,0.2,0)</f>
        <v>0.2</v>
      </c>
      <c r="X800" s="4">
        <f>Table1[[#This Row],[Total Shipping]]*Table1[[#This Row],[VAT on Shipping]]</f>
        <v>28</v>
      </c>
      <c r="Y800" s="1">
        <f>Table1[[#This Row],[Revenue]]-Table1[[#This Row],[COGS]]</f>
        <v>296</v>
      </c>
      <c r="Z800" s="3">
        <f>(Table1[[#This Row],[Profit]]/Table1[[#This Row],[Revenue]])</f>
        <v>0.38144329896907214</v>
      </c>
      <c r="AA800" s="1">
        <f>Table1[[#This Row],[Profit]]-Table1[[#This Row],[Total Shipping]]</f>
        <v>156</v>
      </c>
      <c r="AB800" s="3">
        <f>Table1[[#This Row],[Operating Profit]]/Table1[[#This Row],[Revenue]]</f>
        <v>0.20103092783505155</v>
      </c>
    </row>
    <row r="801" spans="1:28" x14ac:dyDescent="0.25">
      <c r="A801" t="s">
        <v>357</v>
      </c>
      <c r="B801">
        <v>345</v>
      </c>
      <c r="C801" t="s">
        <v>83</v>
      </c>
      <c r="D801" t="s">
        <v>57</v>
      </c>
      <c r="E801" t="s">
        <v>40</v>
      </c>
      <c r="F801" t="s">
        <v>84</v>
      </c>
      <c r="G801" t="str" cm="1">
        <f t="array" ref="G801">_xlfn.SWITCH(F801,"Acme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801" t="s">
        <v>45</v>
      </c>
      <c r="I801" t="s">
        <v>42</v>
      </c>
      <c r="J801" t="str" cm="1">
        <f t="array" ref="J801">_xlfn.SWITCH(I801,"P001","Laptop","P002","Server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01" s="1" cm="1">
        <f t="array" ref="K801">_xlfn.SWITCH(Table1[[#This Row],[Product ID]],"P001",220,"P002",150,"P003",130,"P004",70,"P005",200,"P006",40,"P007",25,"P008",20,"P009",190,"P010",530)</f>
        <v>40</v>
      </c>
      <c r="L801">
        <v>17</v>
      </c>
      <c r="M801" s="1">
        <f>Table1[[#This Row],[Unit Price]]*Table1[[#This Row],[Quantity]]</f>
        <v>680</v>
      </c>
      <c r="N801" s="2">
        <v>0.1</v>
      </c>
      <c r="O801" s="1">
        <f>Table1[[#This Row],[Gross Value]]*(1-Table1[[#This Row],[Discount]])</f>
        <v>612</v>
      </c>
      <c r="P801" s="2">
        <v>0.2</v>
      </c>
      <c r="Q801" s="1">
        <f>Table1[[#This Row],[Revenue]]*Table1[[#This Row],[VAT Rate]]</f>
        <v>122.4</v>
      </c>
      <c r="R801" s="1">
        <f>Table1[[#This Row],[Revenue]]+Table1[[#This Row],[VAT Charged]]</f>
        <v>734.4</v>
      </c>
      <c r="S801" s="1" cm="1">
        <f t="array" ref="S801">_xlfn.SWITCH(Table1[[#This Row],[Product ID]],"P001",140,"P002",80,"P003",72,"P004",30,"P005",110,"P006",24,"P007",14,"P008",12,"P009",115,"P010",360)</f>
        <v>24</v>
      </c>
      <c r="T801" s="1" cm="1">
        <f t="array" ref="T801">(_xlfn.SWITCH(Table1[[#This Row],[Product ID]],"P001",140,"P002",80,"P003",72,"P004",30,"P005",110,"P006",24,"P007",14,"P008",12,"P009",115,"P010",360))*Table1[[#This Row],[Quantity]]</f>
        <v>408</v>
      </c>
      <c r="U801" s="1" cm="1">
        <f t="array" ref="U801">_xlfn.SWITCH(Table1[[#This Row],[Product ID]],"P001",15,"P002",0,"P003",8,"P004",8,"P005",0,"P006",7,"P007",7,"P008",6,"P009",45,"P010",60)</f>
        <v>7</v>
      </c>
      <c r="V801" s="1">
        <f>Table1[[#This Row],[Shipping per Unit]]*Table1[[#This Row],[Quantity]]</f>
        <v>119</v>
      </c>
      <c r="W801" s="2">
        <f>IF(Table1[[#This Row],[Total Shipping]]&gt;0.1,0.2,0)</f>
        <v>0.2</v>
      </c>
      <c r="X801" s="4">
        <f>Table1[[#This Row],[Total Shipping]]*Table1[[#This Row],[VAT on Shipping]]</f>
        <v>23.8</v>
      </c>
      <c r="Y801" s="1">
        <f>Table1[[#This Row],[Revenue]]-Table1[[#This Row],[COGS]]</f>
        <v>204</v>
      </c>
      <c r="Z801" s="3">
        <f>(Table1[[#This Row],[Profit]]/Table1[[#This Row],[Revenue]])</f>
        <v>0.33333333333333331</v>
      </c>
      <c r="AA801" s="1">
        <f>Table1[[#This Row],[Profit]]-Table1[[#This Row],[Total Shipping]]</f>
        <v>85</v>
      </c>
      <c r="AB801" s="3">
        <f>Table1[[#This Row],[Operating Profit]]/Table1[[#This Row],[Revenue]]</f>
        <v>0.1388888888888889</v>
      </c>
    </row>
    <row r="802" spans="1:28" x14ac:dyDescent="0.25">
      <c r="A802" t="s">
        <v>358</v>
      </c>
      <c r="B802">
        <v>283</v>
      </c>
      <c r="C802" t="s">
        <v>65</v>
      </c>
      <c r="D802" t="s">
        <v>36</v>
      </c>
      <c r="E802" t="s">
        <v>49</v>
      </c>
      <c r="F802" t="s">
        <v>79</v>
      </c>
      <c r="G802" t="str" cm="1">
        <f t="array" ref="G802">_xlfn.SWITCH(F802,"Acme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802" t="s">
        <v>33</v>
      </c>
      <c r="I802" t="s">
        <v>42</v>
      </c>
      <c r="J802" t="str" cm="1">
        <f t="array" ref="J802">_xlfn.SWITCH(I802,"P001","Laptop","P002","Server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02" s="1" cm="1">
        <f t="array" ref="K802">_xlfn.SWITCH(Table1[[#This Row],[Product ID]],"P001",220,"P002",150,"P003",130,"P004",70,"P005",200,"P006",40,"P007",25,"P008",20,"P009",190,"P010",530)</f>
        <v>40</v>
      </c>
      <c r="L802">
        <v>14</v>
      </c>
      <c r="M802" s="1">
        <f>Table1[[#This Row],[Unit Price]]*Table1[[#This Row],[Quantity]]</f>
        <v>560</v>
      </c>
      <c r="N802" s="2">
        <v>0.1</v>
      </c>
      <c r="O802" s="1">
        <f>Table1[[#This Row],[Gross Value]]*(1-Table1[[#This Row],[Discount]])</f>
        <v>504</v>
      </c>
      <c r="P802" s="2">
        <v>0.2</v>
      </c>
      <c r="Q802" s="1">
        <f>Table1[[#This Row],[Revenue]]*Table1[[#This Row],[VAT Rate]]</f>
        <v>100.80000000000001</v>
      </c>
      <c r="R802" s="1">
        <f>Table1[[#This Row],[Revenue]]+Table1[[#This Row],[VAT Charged]]</f>
        <v>604.79999999999995</v>
      </c>
      <c r="S802" s="1" cm="1">
        <f t="array" ref="S802">_xlfn.SWITCH(Table1[[#This Row],[Product ID]],"P001",140,"P002",80,"P003",72,"P004",30,"P005",110,"P006",24,"P007",14,"P008",12,"P009",115,"P010",360)</f>
        <v>24</v>
      </c>
      <c r="T802" s="1" cm="1">
        <f t="array" ref="T802">(_xlfn.SWITCH(Table1[[#This Row],[Product ID]],"P001",140,"P002",80,"P003",72,"P004",30,"P005",110,"P006",24,"P007",14,"P008",12,"P009",115,"P010",360))*Table1[[#This Row],[Quantity]]</f>
        <v>336</v>
      </c>
      <c r="U802" s="1" cm="1">
        <f t="array" ref="U802">_xlfn.SWITCH(Table1[[#This Row],[Product ID]],"P001",15,"P002",0,"P003",8,"P004",8,"P005",0,"P006",7,"P007",7,"P008",6,"P009",45,"P010",60)</f>
        <v>7</v>
      </c>
      <c r="V802" s="1">
        <f>Table1[[#This Row],[Shipping per Unit]]*Table1[[#This Row],[Quantity]]</f>
        <v>98</v>
      </c>
      <c r="W802" s="2">
        <f>IF(Table1[[#This Row],[Total Shipping]]&gt;0.1,0.2,0)</f>
        <v>0.2</v>
      </c>
      <c r="X802" s="4">
        <f>Table1[[#This Row],[Total Shipping]]*Table1[[#This Row],[VAT on Shipping]]</f>
        <v>19.600000000000001</v>
      </c>
      <c r="Y802" s="1">
        <f>Table1[[#This Row],[Revenue]]-Table1[[#This Row],[COGS]]</f>
        <v>168</v>
      </c>
      <c r="Z802" s="3">
        <f>(Table1[[#This Row],[Profit]]/Table1[[#This Row],[Revenue]])</f>
        <v>0.33333333333333331</v>
      </c>
      <c r="AA802" s="1">
        <f>Table1[[#This Row],[Profit]]-Table1[[#This Row],[Total Shipping]]</f>
        <v>70</v>
      </c>
      <c r="AB802" s="3">
        <f>Table1[[#This Row],[Operating Profit]]/Table1[[#This Row],[Revenue]]</f>
        <v>0.1388888888888889</v>
      </c>
    </row>
    <row r="803" spans="1:28" x14ac:dyDescent="0.25">
      <c r="A803" t="s">
        <v>358</v>
      </c>
      <c r="B803">
        <v>303</v>
      </c>
      <c r="C803" t="s">
        <v>62</v>
      </c>
      <c r="D803" t="s">
        <v>48</v>
      </c>
      <c r="E803" t="s">
        <v>49</v>
      </c>
      <c r="F803" t="s">
        <v>113</v>
      </c>
      <c r="G803" t="str" cm="1">
        <f t="array" ref="G803">_xlfn.SWITCH(F803,"Acme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803" t="s">
        <v>45</v>
      </c>
      <c r="I803" t="s">
        <v>42</v>
      </c>
      <c r="J803" t="str" cm="1">
        <f t="array" ref="J803">_xlfn.SWITCH(I803,"P001","Laptop","P002","Server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03" s="1" cm="1">
        <f t="array" ref="K803">_xlfn.SWITCH(Table1[[#This Row],[Product ID]],"P001",220,"P002",150,"P003",130,"P004",70,"P005",200,"P006",40,"P007",25,"P008",20,"P009",190,"P010",530)</f>
        <v>40</v>
      </c>
      <c r="L803">
        <v>11</v>
      </c>
      <c r="M803" s="1">
        <f>Table1[[#This Row],[Unit Price]]*Table1[[#This Row],[Quantity]]</f>
        <v>440</v>
      </c>
      <c r="N803" s="2">
        <v>0.02</v>
      </c>
      <c r="O803" s="1">
        <f>Table1[[#This Row],[Gross Value]]*(1-Table1[[#This Row],[Discount]])</f>
        <v>431.2</v>
      </c>
      <c r="P803" s="2">
        <v>0.2</v>
      </c>
      <c r="Q803" s="1">
        <f>Table1[[#This Row],[Revenue]]*Table1[[#This Row],[VAT Rate]]</f>
        <v>86.240000000000009</v>
      </c>
      <c r="R803" s="1">
        <f>Table1[[#This Row],[Revenue]]+Table1[[#This Row],[VAT Charged]]</f>
        <v>517.44000000000005</v>
      </c>
      <c r="S803" s="1" cm="1">
        <f t="array" ref="S803">_xlfn.SWITCH(Table1[[#This Row],[Product ID]],"P001",140,"P002",80,"P003",72,"P004",30,"P005",110,"P006",24,"P007",14,"P008",12,"P009",115,"P010",360)</f>
        <v>24</v>
      </c>
      <c r="T803" s="1" cm="1">
        <f t="array" ref="T803">(_xlfn.SWITCH(Table1[[#This Row],[Product ID]],"P001",140,"P002",80,"P003",72,"P004",30,"P005",110,"P006",24,"P007",14,"P008",12,"P009",115,"P010",360))*Table1[[#This Row],[Quantity]]</f>
        <v>264</v>
      </c>
      <c r="U803" s="1" cm="1">
        <f t="array" ref="U803">_xlfn.SWITCH(Table1[[#This Row],[Product ID]],"P001",15,"P002",0,"P003",8,"P004",8,"P005",0,"P006",7,"P007",7,"P008",6,"P009",45,"P010",60)</f>
        <v>7</v>
      </c>
      <c r="V803" s="1">
        <f>Table1[[#This Row],[Shipping per Unit]]*Table1[[#This Row],[Quantity]]</f>
        <v>77</v>
      </c>
      <c r="W803" s="2">
        <f>IF(Table1[[#This Row],[Total Shipping]]&gt;0.1,0.2,0)</f>
        <v>0.2</v>
      </c>
      <c r="X803" s="4">
        <f>Table1[[#This Row],[Total Shipping]]*Table1[[#This Row],[VAT on Shipping]]</f>
        <v>15.4</v>
      </c>
      <c r="Y803" s="1">
        <f>Table1[[#This Row],[Revenue]]-Table1[[#This Row],[COGS]]</f>
        <v>167.2</v>
      </c>
      <c r="Z803" s="3">
        <f>(Table1[[#This Row],[Profit]]/Table1[[#This Row],[Revenue]])</f>
        <v>0.38775510204081631</v>
      </c>
      <c r="AA803" s="1">
        <f>Table1[[#This Row],[Profit]]-Table1[[#This Row],[Total Shipping]]</f>
        <v>90.199999999999989</v>
      </c>
      <c r="AB803" s="3">
        <f>Table1[[#This Row],[Operating Profit]]/Table1[[#This Row],[Revenue]]</f>
        <v>0.20918367346938774</v>
      </c>
    </row>
    <row r="804" spans="1:28" x14ac:dyDescent="0.25">
      <c r="A804" t="s">
        <v>358</v>
      </c>
      <c r="B804">
        <v>923</v>
      </c>
      <c r="C804" t="s">
        <v>65</v>
      </c>
      <c r="D804" t="s">
        <v>72</v>
      </c>
      <c r="E804" t="s">
        <v>40</v>
      </c>
      <c r="F804" t="s">
        <v>76</v>
      </c>
      <c r="G804" t="str" cm="1">
        <f t="array" ref="G804">_xlfn.SWITCH(F804,"Acme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804" t="s">
        <v>104</v>
      </c>
      <c r="I804" t="s">
        <v>42</v>
      </c>
      <c r="J804" t="str" cm="1">
        <f t="array" ref="J804">_xlfn.SWITCH(I804,"P001","Laptop","P002","Server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04" s="1" cm="1">
        <f t="array" ref="K804">_xlfn.SWITCH(Table1[[#This Row],[Product ID]],"P001",220,"P002",150,"P003",130,"P004",70,"P005",200,"P006",40,"P007",25,"P008",20,"P009",190,"P010",530)</f>
        <v>40</v>
      </c>
      <c r="L804">
        <v>18</v>
      </c>
      <c r="M804" s="1">
        <f>Table1[[#This Row],[Unit Price]]*Table1[[#This Row],[Quantity]]</f>
        <v>720</v>
      </c>
      <c r="N804" s="2">
        <v>0.02</v>
      </c>
      <c r="O804" s="1">
        <f>Table1[[#This Row],[Gross Value]]*(1-Table1[[#This Row],[Discount]])</f>
        <v>705.6</v>
      </c>
      <c r="P804" s="2">
        <v>0.2</v>
      </c>
      <c r="Q804" s="1">
        <f>Table1[[#This Row],[Revenue]]*Table1[[#This Row],[VAT Rate]]</f>
        <v>141.12</v>
      </c>
      <c r="R804" s="1">
        <f>Table1[[#This Row],[Revenue]]+Table1[[#This Row],[VAT Charged]]</f>
        <v>846.72</v>
      </c>
      <c r="S804" s="1" cm="1">
        <f t="array" ref="S804">_xlfn.SWITCH(Table1[[#This Row],[Product ID]],"P001",140,"P002",80,"P003",72,"P004",30,"P005",110,"P006",24,"P007",14,"P008",12,"P009",115,"P010",360)</f>
        <v>24</v>
      </c>
      <c r="T804" s="1" cm="1">
        <f t="array" ref="T804">(_xlfn.SWITCH(Table1[[#This Row],[Product ID]],"P001",140,"P002",80,"P003",72,"P004",30,"P005",110,"P006",24,"P007",14,"P008",12,"P009",115,"P010",360))*Table1[[#This Row],[Quantity]]</f>
        <v>432</v>
      </c>
      <c r="U804" s="1" cm="1">
        <f t="array" ref="U804">_xlfn.SWITCH(Table1[[#This Row],[Product ID]],"P001",15,"P002",0,"P003",8,"P004",8,"P005",0,"P006",7,"P007",7,"P008",6,"P009",45,"P010",60)</f>
        <v>7</v>
      </c>
      <c r="V804" s="1">
        <f>Table1[[#This Row],[Shipping per Unit]]*Table1[[#This Row],[Quantity]]</f>
        <v>126</v>
      </c>
      <c r="W804" s="2">
        <f>IF(Table1[[#This Row],[Total Shipping]]&gt;0.1,0.2,0)</f>
        <v>0.2</v>
      </c>
      <c r="X804" s="4">
        <f>Table1[[#This Row],[Total Shipping]]*Table1[[#This Row],[VAT on Shipping]]</f>
        <v>25.200000000000003</v>
      </c>
      <c r="Y804" s="1">
        <f>Table1[[#This Row],[Revenue]]-Table1[[#This Row],[COGS]]</f>
        <v>273.60000000000002</v>
      </c>
      <c r="Z804" s="3">
        <f>(Table1[[#This Row],[Profit]]/Table1[[#This Row],[Revenue]])</f>
        <v>0.38775510204081637</v>
      </c>
      <c r="AA804" s="1">
        <f>Table1[[#This Row],[Profit]]-Table1[[#This Row],[Total Shipping]]</f>
        <v>147.60000000000002</v>
      </c>
      <c r="AB804" s="3">
        <f>Table1[[#This Row],[Operating Profit]]/Table1[[#This Row],[Revenue]]</f>
        <v>0.20918367346938779</v>
      </c>
    </row>
    <row r="805" spans="1:28" x14ac:dyDescent="0.25">
      <c r="A805" t="s">
        <v>359</v>
      </c>
      <c r="B805">
        <v>606</v>
      </c>
      <c r="C805" t="s">
        <v>38</v>
      </c>
      <c r="D805" t="s">
        <v>72</v>
      </c>
      <c r="E805" t="s">
        <v>40</v>
      </c>
      <c r="F805" t="s">
        <v>119</v>
      </c>
      <c r="G805" t="str" cm="1">
        <f t="array" ref="G805">_xlfn.SWITCH(F805,"Acme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805" t="s">
        <v>45</v>
      </c>
      <c r="I805" t="s">
        <v>68</v>
      </c>
      <c r="J805" t="str" cm="1">
        <f t="array" ref="J805">_xlfn.SWITCH(I805,"P001","Laptop","P002","Server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05" s="1" cm="1">
        <f t="array" ref="K805">_xlfn.SWITCH(Table1[[#This Row],[Product ID]],"P001",220,"P002",150,"P003",130,"P004",70,"P005",200,"P006",40,"P007",25,"P008",20,"P009",190,"P010",530)</f>
        <v>220</v>
      </c>
      <c r="L805">
        <v>15</v>
      </c>
      <c r="M805" s="1">
        <f>Table1[[#This Row],[Unit Price]]*Table1[[#This Row],[Quantity]]</f>
        <v>3300</v>
      </c>
      <c r="N805" s="2">
        <v>7.0000000000000007E-2</v>
      </c>
      <c r="O805" s="1">
        <f>Table1[[#This Row],[Gross Value]]*(1-Table1[[#This Row],[Discount]])</f>
        <v>3069</v>
      </c>
      <c r="P805" s="2">
        <v>0.2</v>
      </c>
      <c r="Q805" s="1">
        <f>Table1[[#This Row],[Revenue]]*Table1[[#This Row],[VAT Rate]]</f>
        <v>613.80000000000007</v>
      </c>
      <c r="R805" s="1">
        <f>Table1[[#This Row],[Revenue]]+Table1[[#This Row],[VAT Charged]]</f>
        <v>3682.8</v>
      </c>
      <c r="S805" s="1" cm="1">
        <f t="array" ref="S805">_xlfn.SWITCH(Table1[[#This Row],[Product ID]],"P001",140,"P002",80,"P003",72,"P004",30,"P005",110,"P006",24,"P007",14,"P008",12,"P009",115,"P010",360)</f>
        <v>140</v>
      </c>
      <c r="T805" s="1" cm="1">
        <f t="array" ref="T805">(_xlfn.SWITCH(Table1[[#This Row],[Product ID]],"P001",140,"P002",80,"P003",72,"P004",30,"P005",110,"P006",24,"P007",14,"P008",12,"P009",115,"P010",360))*Table1[[#This Row],[Quantity]]</f>
        <v>2100</v>
      </c>
      <c r="U805" s="1" cm="1">
        <f t="array" ref="U805">_xlfn.SWITCH(Table1[[#This Row],[Product ID]],"P001",15,"P002",0,"P003",8,"P004",8,"P005",0,"P006",7,"P007",7,"P008",6,"P009",45,"P010",60)</f>
        <v>15</v>
      </c>
      <c r="V805" s="1">
        <f>Table1[[#This Row],[Shipping per Unit]]*Table1[[#This Row],[Quantity]]</f>
        <v>225</v>
      </c>
      <c r="W805" s="2">
        <f>IF(Table1[[#This Row],[Total Shipping]]&gt;0.1,0.2,0)</f>
        <v>0.2</v>
      </c>
      <c r="X805" s="4">
        <f>Table1[[#This Row],[Total Shipping]]*Table1[[#This Row],[VAT on Shipping]]</f>
        <v>45</v>
      </c>
      <c r="Y805" s="1">
        <f>Table1[[#This Row],[Revenue]]-Table1[[#This Row],[COGS]]</f>
        <v>969</v>
      </c>
      <c r="Z805" s="3">
        <f>(Table1[[#This Row],[Profit]]/Table1[[#This Row],[Revenue]])</f>
        <v>0.31573802541544477</v>
      </c>
      <c r="AA805" s="1">
        <f>Table1[[#This Row],[Profit]]-Table1[[#This Row],[Total Shipping]]</f>
        <v>744</v>
      </c>
      <c r="AB805" s="3">
        <f>Table1[[#This Row],[Operating Profit]]/Table1[[#This Row],[Revenue]]</f>
        <v>0.24242424242424243</v>
      </c>
    </row>
    <row r="806" spans="1:28" x14ac:dyDescent="0.25">
      <c r="A806" t="s">
        <v>359</v>
      </c>
      <c r="B806">
        <v>732</v>
      </c>
      <c r="C806" t="s">
        <v>71</v>
      </c>
      <c r="D806" t="s">
        <v>39</v>
      </c>
      <c r="E806" t="s">
        <v>31</v>
      </c>
      <c r="F806" t="s">
        <v>74</v>
      </c>
      <c r="G806" t="str" cm="1">
        <f t="array" ref="G806">_xlfn.SWITCH(F806,"Acme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806" t="s">
        <v>58</v>
      </c>
      <c r="I806" t="s">
        <v>60</v>
      </c>
      <c r="J806" t="str" cm="1">
        <f t="array" ref="J806">_xlfn.SWITCH(I806,"P001","Laptop","P002","Server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806" s="1" cm="1">
        <f t="array" ref="K806">_xlfn.SWITCH(Table1[[#This Row],[Product ID]],"P001",220,"P002",150,"P003",130,"P004",70,"P005",200,"P006",40,"P007",25,"P008",20,"P009",190,"P010",530)</f>
        <v>25</v>
      </c>
      <c r="L806">
        <v>4</v>
      </c>
      <c r="M806" s="1">
        <f>Table1[[#This Row],[Unit Price]]*Table1[[#This Row],[Quantity]]</f>
        <v>100</v>
      </c>
      <c r="N806" s="2">
        <v>0.06</v>
      </c>
      <c r="O806" s="1">
        <f>Table1[[#This Row],[Gross Value]]*(1-Table1[[#This Row],[Discount]])</f>
        <v>94</v>
      </c>
      <c r="P806" s="2">
        <v>0.2</v>
      </c>
      <c r="Q806" s="1">
        <f>Table1[[#This Row],[Revenue]]*Table1[[#This Row],[VAT Rate]]</f>
        <v>18.8</v>
      </c>
      <c r="R806" s="1">
        <f>Table1[[#This Row],[Revenue]]+Table1[[#This Row],[VAT Charged]]</f>
        <v>112.8</v>
      </c>
      <c r="S806" s="1" cm="1">
        <f t="array" ref="S806">_xlfn.SWITCH(Table1[[#This Row],[Product ID]],"P001",140,"P002",80,"P003",72,"P004",30,"P005",110,"P006",24,"P007",14,"P008",12,"P009",115,"P010",360)</f>
        <v>14</v>
      </c>
      <c r="T806" s="1" cm="1">
        <f t="array" ref="T806">(_xlfn.SWITCH(Table1[[#This Row],[Product ID]],"P001",140,"P002",80,"P003",72,"P004",30,"P005",110,"P006",24,"P007",14,"P008",12,"P009",115,"P010",360))*Table1[[#This Row],[Quantity]]</f>
        <v>56</v>
      </c>
      <c r="U806" s="1" cm="1">
        <f t="array" ref="U806">_xlfn.SWITCH(Table1[[#This Row],[Product ID]],"P001",15,"P002",0,"P003",8,"P004",8,"P005",0,"P006",7,"P007",7,"P008",6,"P009",45,"P010",60)</f>
        <v>7</v>
      </c>
      <c r="V806" s="1">
        <f>Table1[[#This Row],[Shipping per Unit]]*Table1[[#This Row],[Quantity]]</f>
        <v>28</v>
      </c>
      <c r="W806" s="2">
        <f>IF(Table1[[#This Row],[Total Shipping]]&gt;0.1,0.2,0)</f>
        <v>0.2</v>
      </c>
      <c r="X806" s="4">
        <f>Table1[[#This Row],[Total Shipping]]*Table1[[#This Row],[VAT on Shipping]]</f>
        <v>5.6000000000000005</v>
      </c>
      <c r="Y806" s="1">
        <f>Table1[[#This Row],[Revenue]]-Table1[[#This Row],[COGS]]</f>
        <v>38</v>
      </c>
      <c r="Z806" s="3">
        <f>(Table1[[#This Row],[Profit]]/Table1[[#This Row],[Revenue]])</f>
        <v>0.40425531914893614</v>
      </c>
      <c r="AA806" s="1">
        <f>Table1[[#This Row],[Profit]]-Table1[[#This Row],[Total Shipping]]</f>
        <v>10</v>
      </c>
      <c r="AB806" s="3">
        <f>Table1[[#This Row],[Operating Profit]]/Table1[[#This Row],[Revenue]]</f>
        <v>0.10638297872340426</v>
      </c>
    </row>
    <row r="807" spans="1:28" x14ac:dyDescent="0.25">
      <c r="A807" t="s">
        <v>360</v>
      </c>
      <c r="B807">
        <v>149</v>
      </c>
      <c r="C807" t="s">
        <v>65</v>
      </c>
      <c r="D807" t="s">
        <v>95</v>
      </c>
      <c r="E807" t="s">
        <v>31</v>
      </c>
      <c r="F807" t="s">
        <v>92</v>
      </c>
      <c r="G807" t="str" cm="1">
        <f t="array" ref="G807">_xlfn.SWITCH(F807,"Acme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07" t="s">
        <v>69</v>
      </c>
      <c r="I807" t="s">
        <v>68</v>
      </c>
      <c r="J807" t="str" cm="1">
        <f t="array" ref="J807">_xlfn.SWITCH(I807,"P001","Laptop","P002","Server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07" s="1" cm="1">
        <f t="array" ref="K807">_xlfn.SWITCH(Table1[[#This Row],[Product ID]],"P001",220,"P002",150,"P003",130,"P004",70,"P005",200,"P006",40,"P007",25,"P008",20,"P009",190,"P010",530)</f>
        <v>220</v>
      </c>
      <c r="L807">
        <v>5</v>
      </c>
      <c r="M807" s="1">
        <f>Table1[[#This Row],[Unit Price]]*Table1[[#This Row],[Quantity]]</f>
        <v>1100</v>
      </c>
      <c r="N807" s="2">
        <v>0.1</v>
      </c>
      <c r="O807" s="1">
        <f>Table1[[#This Row],[Gross Value]]*(1-Table1[[#This Row],[Discount]])</f>
        <v>990</v>
      </c>
      <c r="P807" s="2">
        <v>0.2</v>
      </c>
      <c r="Q807" s="1">
        <f>Table1[[#This Row],[Revenue]]*Table1[[#This Row],[VAT Rate]]</f>
        <v>198</v>
      </c>
      <c r="R807" s="1">
        <f>Table1[[#This Row],[Revenue]]+Table1[[#This Row],[VAT Charged]]</f>
        <v>1188</v>
      </c>
      <c r="S807" s="1" cm="1">
        <f t="array" ref="S807">_xlfn.SWITCH(Table1[[#This Row],[Product ID]],"P001",140,"P002",80,"P003",72,"P004",30,"P005",110,"P006",24,"P007",14,"P008",12,"P009",115,"P010",360)</f>
        <v>140</v>
      </c>
      <c r="T807" s="1" cm="1">
        <f t="array" ref="T807">(_xlfn.SWITCH(Table1[[#This Row],[Product ID]],"P001",140,"P002",80,"P003",72,"P004",30,"P005",110,"P006",24,"P007",14,"P008",12,"P009",115,"P010",360))*Table1[[#This Row],[Quantity]]</f>
        <v>700</v>
      </c>
      <c r="U807" s="1" cm="1">
        <f t="array" ref="U807">_xlfn.SWITCH(Table1[[#This Row],[Product ID]],"P001",15,"P002",0,"P003",8,"P004",8,"P005",0,"P006",7,"P007",7,"P008",6,"P009",45,"P010",60)</f>
        <v>15</v>
      </c>
      <c r="V807" s="1">
        <f>Table1[[#This Row],[Shipping per Unit]]*Table1[[#This Row],[Quantity]]</f>
        <v>75</v>
      </c>
      <c r="W807" s="2">
        <f>IF(Table1[[#This Row],[Total Shipping]]&gt;0.1,0.2,0)</f>
        <v>0.2</v>
      </c>
      <c r="X807" s="4">
        <f>Table1[[#This Row],[Total Shipping]]*Table1[[#This Row],[VAT on Shipping]]</f>
        <v>15</v>
      </c>
      <c r="Y807" s="1">
        <f>Table1[[#This Row],[Revenue]]-Table1[[#This Row],[COGS]]</f>
        <v>290</v>
      </c>
      <c r="Z807" s="3">
        <f>(Table1[[#This Row],[Profit]]/Table1[[#This Row],[Revenue]])</f>
        <v>0.29292929292929293</v>
      </c>
      <c r="AA807" s="1">
        <f>Table1[[#This Row],[Profit]]-Table1[[#This Row],[Total Shipping]]</f>
        <v>215</v>
      </c>
      <c r="AB807" s="3">
        <f>Table1[[#This Row],[Operating Profit]]/Table1[[#This Row],[Revenue]]</f>
        <v>0.21717171717171718</v>
      </c>
    </row>
    <row r="808" spans="1:28" x14ac:dyDescent="0.25">
      <c r="A808" t="s">
        <v>360</v>
      </c>
      <c r="B808">
        <v>533</v>
      </c>
      <c r="C808" t="s">
        <v>71</v>
      </c>
      <c r="D808" t="s">
        <v>72</v>
      </c>
      <c r="E808" t="s">
        <v>40</v>
      </c>
      <c r="F808" t="s">
        <v>78</v>
      </c>
      <c r="G808" t="str" cm="1">
        <f t="array" ref="G808">_xlfn.SWITCH(F808,"Acme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08" t="s">
        <v>51</v>
      </c>
      <c r="I808" t="s">
        <v>70</v>
      </c>
      <c r="J808" t="str" cm="1">
        <f t="array" ref="J808">_xlfn.SWITCH(I808,"P001","Laptop","P002","Server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808" s="1" cm="1">
        <f t="array" ref="K808">_xlfn.SWITCH(Table1[[#This Row],[Product ID]],"P001",220,"P002",150,"P003",130,"P004",70,"P005",200,"P006",40,"P007",25,"P008",20,"P009",190,"P010",530)</f>
        <v>150</v>
      </c>
      <c r="L808">
        <v>19</v>
      </c>
      <c r="M808" s="1">
        <f>Table1[[#This Row],[Unit Price]]*Table1[[#This Row],[Quantity]]</f>
        <v>2850</v>
      </c>
      <c r="N808" s="2">
        <v>0.08</v>
      </c>
      <c r="O808" s="1">
        <f>Table1[[#This Row],[Gross Value]]*(1-Table1[[#This Row],[Discount]])</f>
        <v>2622</v>
      </c>
      <c r="P808" s="2">
        <v>0.2</v>
      </c>
      <c r="Q808" s="1">
        <f>Table1[[#This Row],[Revenue]]*Table1[[#This Row],[VAT Rate]]</f>
        <v>524.4</v>
      </c>
      <c r="R808" s="1">
        <f>Table1[[#This Row],[Revenue]]+Table1[[#This Row],[VAT Charged]]</f>
        <v>3146.4</v>
      </c>
      <c r="S808" s="1" cm="1">
        <f t="array" ref="S808">_xlfn.SWITCH(Table1[[#This Row],[Product ID]],"P001",140,"P002",80,"P003",72,"P004",30,"P005",110,"P006",24,"P007",14,"P008",12,"P009",115,"P010",360)</f>
        <v>80</v>
      </c>
      <c r="T808" s="1" cm="1">
        <f t="array" ref="T808">(_xlfn.SWITCH(Table1[[#This Row],[Product ID]],"P001",140,"P002",80,"P003",72,"P004",30,"P005",110,"P006",24,"P007",14,"P008",12,"P009",115,"P010",360))*Table1[[#This Row],[Quantity]]</f>
        <v>1520</v>
      </c>
      <c r="U808" s="1" cm="1">
        <f t="array" ref="U808">_xlfn.SWITCH(Table1[[#This Row],[Product ID]],"P001",15,"P002",0,"P003",8,"P004",8,"P005",0,"P006",7,"P007",7,"P008",6,"P009",45,"P010",60)</f>
        <v>0</v>
      </c>
      <c r="V808" s="1">
        <f>Table1[[#This Row],[Shipping per Unit]]*Table1[[#This Row],[Quantity]]</f>
        <v>0</v>
      </c>
      <c r="W808" s="2">
        <f>IF(Table1[[#This Row],[Total Shipping]]&gt;0.1,0.2,0)</f>
        <v>0</v>
      </c>
      <c r="X808" s="4">
        <f>Table1[[#This Row],[Total Shipping]]*Table1[[#This Row],[VAT on Shipping]]</f>
        <v>0</v>
      </c>
      <c r="Y808" s="1">
        <f>Table1[[#This Row],[Revenue]]-Table1[[#This Row],[COGS]]</f>
        <v>1102</v>
      </c>
      <c r="Z808" s="3">
        <f>(Table1[[#This Row],[Profit]]/Table1[[#This Row],[Revenue]])</f>
        <v>0.42028985507246375</v>
      </c>
      <c r="AA808" s="1">
        <f>Table1[[#This Row],[Profit]]-Table1[[#This Row],[Total Shipping]]</f>
        <v>1102</v>
      </c>
      <c r="AB808" s="3">
        <f>Table1[[#This Row],[Operating Profit]]/Table1[[#This Row],[Revenue]]</f>
        <v>0.42028985507246375</v>
      </c>
    </row>
    <row r="809" spans="1:28" x14ac:dyDescent="0.25">
      <c r="A809" t="s">
        <v>360</v>
      </c>
      <c r="B809">
        <v>999</v>
      </c>
      <c r="C809" t="s">
        <v>38</v>
      </c>
      <c r="D809" t="s">
        <v>39</v>
      </c>
      <c r="E809" t="s">
        <v>49</v>
      </c>
      <c r="F809" t="s">
        <v>37</v>
      </c>
      <c r="G809" t="str" cm="1">
        <f t="array" ref="G809">_xlfn.SWITCH(F809,"Acme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809" t="s">
        <v>45</v>
      </c>
      <c r="I809" t="s">
        <v>34</v>
      </c>
      <c r="J809" t="str" cm="1">
        <f t="array" ref="J809">_xlfn.SWITCH(I809,"P001","Laptop","P002","Server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09" s="1" cm="1">
        <f t="array" ref="K809">_xlfn.SWITCH(Table1[[#This Row],[Product ID]],"P001",220,"P002",150,"P003",130,"P004",70,"P005",200,"P006",40,"P007",25,"P008",20,"P009",190,"P010",530)</f>
        <v>20</v>
      </c>
      <c r="L809">
        <v>12</v>
      </c>
      <c r="M809" s="1">
        <f>Table1[[#This Row],[Unit Price]]*Table1[[#This Row],[Quantity]]</f>
        <v>240</v>
      </c>
      <c r="N809" s="2">
        <v>0.1</v>
      </c>
      <c r="O809" s="1">
        <f>Table1[[#This Row],[Gross Value]]*(1-Table1[[#This Row],[Discount]])</f>
        <v>216</v>
      </c>
      <c r="P809" s="2">
        <v>0.2</v>
      </c>
      <c r="Q809" s="1">
        <f>Table1[[#This Row],[Revenue]]*Table1[[#This Row],[VAT Rate]]</f>
        <v>43.2</v>
      </c>
      <c r="R809" s="1">
        <f>Table1[[#This Row],[Revenue]]+Table1[[#This Row],[VAT Charged]]</f>
        <v>259.2</v>
      </c>
      <c r="S809" s="1" cm="1">
        <f t="array" ref="S809">_xlfn.SWITCH(Table1[[#This Row],[Product ID]],"P001",140,"P002",80,"P003",72,"P004",30,"P005",110,"P006",24,"P007",14,"P008",12,"P009",115,"P010",360)</f>
        <v>12</v>
      </c>
      <c r="T809" s="1" cm="1">
        <f t="array" ref="T809">(_xlfn.SWITCH(Table1[[#This Row],[Product ID]],"P001",140,"P002",80,"P003",72,"P004",30,"P005",110,"P006",24,"P007",14,"P008",12,"P009",115,"P010",360))*Table1[[#This Row],[Quantity]]</f>
        <v>144</v>
      </c>
      <c r="U809" s="1" cm="1">
        <f t="array" ref="U809">_xlfn.SWITCH(Table1[[#This Row],[Product ID]],"P001",15,"P002",0,"P003",8,"P004",8,"P005",0,"P006",7,"P007",7,"P008",6,"P009",45,"P010",60)</f>
        <v>6</v>
      </c>
      <c r="V809" s="1">
        <f>Table1[[#This Row],[Shipping per Unit]]*Table1[[#This Row],[Quantity]]</f>
        <v>72</v>
      </c>
      <c r="W809" s="2">
        <f>IF(Table1[[#This Row],[Total Shipping]]&gt;0.1,0.2,0)</f>
        <v>0.2</v>
      </c>
      <c r="X809" s="4">
        <f>Table1[[#This Row],[Total Shipping]]*Table1[[#This Row],[VAT on Shipping]]</f>
        <v>14.4</v>
      </c>
      <c r="Y809" s="1">
        <f>Table1[[#This Row],[Revenue]]-Table1[[#This Row],[COGS]]</f>
        <v>72</v>
      </c>
      <c r="Z809" s="3">
        <f>(Table1[[#This Row],[Profit]]/Table1[[#This Row],[Revenue]])</f>
        <v>0.33333333333333331</v>
      </c>
      <c r="AA809" s="1">
        <f>Table1[[#This Row],[Profit]]-Table1[[#This Row],[Total Shipping]]</f>
        <v>0</v>
      </c>
      <c r="AB809" s="3">
        <f>Table1[[#This Row],[Operating Profit]]/Table1[[#This Row],[Revenue]]</f>
        <v>0</v>
      </c>
    </row>
    <row r="810" spans="1:28" x14ac:dyDescent="0.25">
      <c r="A810" t="s">
        <v>361</v>
      </c>
      <c r="B810">
        <v>166</v>
      </c>
      <c r="C810" t="s">
        <v>71</v>
      </c>
      <c r="D810" t="s">
        <v>63</v>
      </c>
      <c r="E810" t="s">
        <v>31</v>
      </c>
      <c r="F810" t="s">
        <v>92</v>
      </c>
      <c r="G810" t="str" cm="1">
        <f t="array" ref="G810">_xlfn.SWITCH(F810,"Acme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10" t="s">
        <v>45</v>
      </c>
      <c r="I810" t="s">
        <v>55</v>
      </c>
      <c r="J810" t="str" cm="1">
        <f t="array" ref="J810">_xlfn.SWITCH(I810,"P001","Laptop","P002","Server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10" s="1" cm="1">
        <f t="array" ref="K810">_xlfn.SWITCH(Table1[[#This Row],[Product ID]],"P001",220,"P002",150,"P003",130,"P004",70,"P005",200,"P006",40,"P007",25,"P008",20,"P009",190,"P010",530)</f>
        <v>70</v>
      </c>
      <c r="L810">
        <v>10</v>
      </c>
      <c r="M810" s="1">
        <f>Table1[[#This Row],[Unit Price]]*Table1[[#This Row],[Quantity]]</f>
        <v>700</v>
      </c>
      <c r="N810" s="2">
        <v>0.02</v>
      </c>
      <c r="O810" s="1">
        <f>Table1[[#This Row],[Gross Value]]*(1-Table1[[#This Row],[Discount]])</f>
        <v>686</v>
      </c>
      <c r="P810" s="2">
        <v>0.2</v>
      </c>
      <c r="Q810" s="1">
        <f>Table1[[#This Row],[Revenue]]*Table1[[#This Row],[VAT Rate]]</f>
        <v>137.20000000000002</v>
      </c>
      <c r="R810" s="1">
        <f>Table1[[#This Row],[Revenue]]+Table1[[#This Row],[VAT Charged]]</f>
        <v>823.2</v>
      </c>
      <c r="S810" s="1" cm="1">
        <f t="array" ref="S810">_xlfn.SWITCH(Table1[[#This Row],[Product ID]],"P001",140,"P002",80,"P003",72,"P004",30,"P005",110,"P006",24,"P007",14,"P008",12,"P009",115,"P010",360)</f>
        <v>30</v>
      </c>
      <c r="T810" s="1" cm="1">
        <f t="array" ref="T810">(_xlfn.SWITCH(Table1[[#This Row],[Product ID]],"P001",140,"P002",80,"P003",72,"P004",30,"P005",110,"P006",24,"P007",14,"P008",12,"P009",115,"P010",360))*Table1[[#This Row],[Quantity]]</f>
        <v>300</v>
      </c>
      <c r="U810" s="1" cm="1">
        <f t="array" ref="U810">_xlfn.SWITCH(Table1[[#This Row],[Product ID]],"P001",15,"P002",0,"P003",8,"P004",8,"P005",0,"P006",7,"P007",7,"P008",6,"P009",45,"P010",60)</f>
        <v>8</v>
      </c>
      <c r="V810" s="1">
        <f>Table1[[#This Row],[Shipping per Unit]]*Table1[[#This Row],[Quantity]]</f>
        <v>80</v>
      </c>
      <c r="W810" s="2">
        <f>IF(Table1[[#This Row],[Total Shipping]]&gt;0.1,0.2,0)</f>
        <v>0.2</v>
      </c>
      <c r="X810" s="4">
        <f>Table1[[#This Row],[Total Shipping]]*Table1[[#This Row],[VAT on Shipping]]</f>
        <v>16</v>
      </c>
      <c r="Y810" s="1">
        <f>Table1[[#This Row],[Revenue]]-Table1[[#This Row],[COGS]]</f>
        <v>386</v>
      </c>
      <c r="Z810" s="3">
        <f>(Table1[[#This Row],[Profit]]/Table1[[#This Row],[Revenue]])</f>
        <v>0.56268221574344024</v>
      </c>
      <c r="AA810" s="1">
        <f>Table1[[#This Row],[Profit]]-Table1[[#This Row],[Total Shipping]]</f>
        <v>306</v>
      </c>
      <c r="AB810" s="3">
        <f>Table1[[#This Row],[Operating Profit]]/Table1[[#This Row],[Revenue]]</f>
        <v>0.44606413994169097</v>
      </c>
    </row>
    <row r="811" spans="1:28" x14ac:dyDescent="0.25">
      <c r="A811" t="s">
        <v>361</v>
      </c>
      <c r="B811">
        <v>573</v>
      </c>
      <c r="C811" t="s">
        <v>29</v>
      </c>
      <c r="D811" t="s">
        <v>39</v>
      </c>
      <c r="E811" t="s">
        <v>49</v>
      </c>
      <c r="F811" t="s">
        <v>92</v>
      </c>
      <c r="G811" t="str" cm="1">
        <f t="array" ref="G811">_xlfn.SWITCH(F811,"Acme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11" t="s">
        <v>58</v>
      </c>
      <c r="I811" t="s">
        <v>42</v>
      </c>
      <c r="J811" t="str" cm="1">
        <f t="array" ref="J811">_xlfn.SWITCH(I811,"P001","Laptop","P002","Server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11" s="1" cm="1">
        <f t="array" ref="K811">_xlfn.SWITCH(Table1[[#This Row],[Product ID]],"P001",220,"P002",150,"P003",130,"P004",70,"P005",200,"P006",40,"P007",25,"P008",20,"P009",190,"P010",530)</f>
        <v>40</v>
      </c>
      <c r="L811">
        <v>4</v>
      </c>
      <c r="M811" s="1">
        <f>Table1[[#This Row],[Unit Price]]*Table1[[#This Row],[Quantity]]</f>
        <v>160</v>
      </c>
      <c r="N811" s="2">
        <v>7.0000000000000007E-2</v>
      </c>
      <c r="O811" s="1">
        <f>Table1[[#This Row],[Gross Value]]*(1-Table1[[#This Row],[Discount]])</f>
        <v>148.79999999999998</v>
      </c>
      <c r="P811" s="2">
        <v>0.2</v>
      </c>
      <c r="Q811" s="1">
        <f>Table1[[#This Row],[Revenue]]*Table1[[#This Row],[VAT Rate]]</f>
        <v>29.759999999999998</v>
      </c>
      <c r="R811" s="1">
        <f>Table1[[#This Row],[Revenue]]+Table1[[#This Row],[VAT Charged]]</f>
        <v>178.55999999999997</v>
      </c>
      <c r="S811" s="1" cm="1">
        <f t="array" ref="S811">_xlfn.SWITCH(Table1[[#This Row],[Product ID]],"P001",140,"P002",80,"P003",72,"P004",30,"P005",110,"P006",24,"P007",14,"P008",12,"P009",115,"P010",360)</f>
        <v>24</v>
      </c>
      <c r="T811" s="1" cm="1">
        <f t="array" ref="T811">(_xlfn.SWITCH(Table1[[#This Row],[Product ID]],"P001",140,"P002",80,"P003",72,"P004",30,"P005",110,"P006",24,"P007",14,"P008",12,"P009",115,"P010",360))*Table1[[#This Row],[Quantity]]</f>
        <v>96</v>
      </c>
      <c r="U811" s="1" cm="1">
        <f t="array" ref="U811">_xlfn.SWITCH(Table1[[#This Row],[Product ID]],"P001",15,"P002",0,"P003",8,"P004",8,"P005",0,"P006",7,"P007",7,"P008",6,"P009",45,"P010",60)</f>
        <v>7</v>
      </c>
      <c r="V811" s="1">
        <f>Table1[[#This Row],[Shipping per Unit]]*Table1[[#This Row],[Quantity]]</f>
        <v>28</v>
      </c>
      <c r="W811" s="2">
        <f>IF(Table1[[#This Row],[Total Shipping]]&gt;0.1,0.2,0)</f>
        <v>0.2</v>
      </c>
      <c r="X811" s="4">
        <f>Table1[[#This Row],[Total Shipping]]*Table1[[#This Row],[VAT on Shipping]]</f>
        <v>5.6000000000000005</v>
      </c>
      <c r="Y811" s="1">
        <f>Table1[[#This Row],[Revenue]]-Table1[[#This Row],[COGS]]</f>
        <v>52.799999999999983</v>
      </c>
      <c r="Z811" s="3">
        <f>(Table1[[#This Row],[Profit]]/Table1[[#This Row],[Revenue]])</f>
        <v>0.35483870967741926</v>
      </c>
      <c r="AA811" s="1">
        <f>Table1[[#This Row],[Profit]]-Table1[[#This Row],[Total Shipping]]</f>
        <v>24.799999999999983</v>
      </c>
      <c r="AB811" s="3">
        <f>Table1[[#This Row],[Operating Profit]]/Table1[[#This Row],[Revenue]]</f>
        <v>0.16666666666666657</v>
      </c>
    </row>
    <row r="812" spans="1:28" x14ac:dyDescent="0.25">
      <c r="A812" t="s">
        <v>361</v>
      </c>
      <c r="B812">
        <v>729</v>
      </c>
      <c r="C812" t="s">
        <v>62</v>
      </c>
      <c r="D812" t="s">
        <v>67</v>
      </c>
      <c r="E812" t="s">
        <v>40</v>
      </c>
      <c r="F812" t="s">
        <v>37</v>
      </c>
      <c r="G812" t="str" cm="1">
        <f t="array" ref="G812">_xlfn.SWITCH(F812,"Acme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812" t="s">
        <v>58</v>
      </c>
      <c r="I812" t="s">
        <v>55</v>
      </c>
      <c r="J812" t="str" cm="1">
        <f t="array" ref="J812">_xlfn.SWITCH(I812,"P001","Laptop","P002","Server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12" s="1" cm="1">
        <f t="array" ref="K812">_xlfn.SWITCH(Table1[[#This Row],[Product ID]],"P001",220,"P002",150,"P003",130,"P004",70,"P005",200,"P006",40,"P007",25,"P008",20,"P009",190,"P010",530)</f>
        <v>70</v>
      </c>
      <c r="L812">
        <v>6</v>
      </c>
      <c r="M812" s="1">
        <f>Table1[[#This Row],[Unit Price]]*Table1[[#This Row],[Quantity]]</f>
        <v>420</v>
      </c>
      <c r="N812" s="2">
        <v>0.08</v>
      </c>
      <c r="O812" s="1">
        <f>Table1[[#This Row],[Gross Value]]*(1-Table1[[#This Row],[Discount]])</f>
        <v>386.40000000000003</v>
      </c>
      <c r="P812" s="2">
        <v>0.2</v>
      </c>
      <c r="Q812" s="1">
        <f>Table1[[#This Row],[Revenue]]*Table1[[#This Row],[VAT Rate]]</f>
        <v>77.280000000000015</v>
      </c>
      <c r="R812" s="1">
        <f>Table1[[#This Row],[Revenue]]+Table1[[#This Row],[VAT Charged]]</f>
        <v>463.68000000000006</v>
      </c>
      <c r="S812" s="1" cm="1">
        <f t="array" ref="S812">_xlfn.SWITCH(Table1[[#This Row],[Product ID]],"P001",140,"P002",80,"P003",72,"P004",30,"P005",110,"P006",24,"P007",14,"P008",12,"P009",115,"P010",360)</f>
        <v>30</v>
      </c>
      <c r="T812" s="1" cm="1">
        <f t="array" ref="T812">(_xlfn.SWITCH(Table1[[#This Row],[Product ID]],"P001",140,"P002",80,"P003",72,"P004",30,"P005",110,"P006",24,"P007",14,"P008",12,"P009",115,"P010",360))*Table1[[#This Row],[Quantity]]</f>
        <v>180</v>
      </c>
      <c r="U812" s="1" cm="1">
        <f t="array" ref="U812">_xlfn.SWITCH(Table1[[#This Row],[Product ID]],"P001",15,"P002",0,"P003",8,"P004",8,"P005",0,"P006",7,"P007",7,"P008",6,"P009",45,"P010",60)</f>
        <v>8</v>
      </c>
      <c r="V812" s="1">
        <f>Table1[[#This Row],[Shipping per Unit]]*Table1[[#This Row],[Quantity]]</f>
        <v>48</v>
      </c>
      <c r="W812" s="2">
        <f>IF(Table1[[#This Row],[Total Shipping]]&gt;0.1,0.2,0)</f>
        <v>0.2</v>
      </c>
      <c r="X812" s="4">
        <f>Table1[[#This Row],[Total Shipping]]*Table1[[#This Row],[VAT on Shipping]]</f>
        <v>9.6000000000000014</v>
      </c>
      <c r="Y812" s="1">
        <f>Table1[[#This Row],[Revenue]]-Table1[[#This Row],[COGS]]</f>
        <v>206.40000000000003</v>
      </c>
      <c r="Z812" s="3">
        <f>(Table1[[#This Row],[Profit]]/Table1[[#This Row],[Revenue]])</f>
        <v>0.53416149068322982</v>
      </c>
      <c r="AA812" s="1">
        <f>Table1[[#This Row],[Profit]]-Table1[[#This Row],[Total Shipping]]</f>
        <v>158.40000000000003</v>
      </c>
      <c r="AB812" s="3">
        <f>Table1[[#This Row],[Operating Profit]]/Table1[[#This Row],[Revenue]]</f>
        <v>0.40993788819875782</v>
      </c>
    </row>
    <row r="813" spans="1:28" x14ac:dyDescent="0.25">
      <c r="A813" t="s">
        <v>361</v>
      </c>
      <c r="B813">
        <v>740</v>
      </c>
      <c r="C813" t="s">
        <v>62</v>
      </c>
      <c r="D813" t="s">
        <v>57</v>
      </c>
      <c r="E813" t="s">
        <v>49</v>
      </c>
      <c r="F813" t="s">
        <v>102</v>
      </c>
      <c r="G813" t="str" cm="1">
        <f t="array" ref="G813">_xlfn.SWITCH(F813,"Acme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813" t="s">
        <v>33</v>
      </c>
      <c r="I813" t="s">
        <v>46</v>
      </c>
      <c r="J813" t="str" cm="1">
        <f t="array" ref="J813">_xlfn.SWITCH(I813,"P001","Laptop","P002","Server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813" s="1" cm="1">
        <f t="array" ref="K813">_xlfn.SWITCH(Table1[[#This Row],[Product ID]],"P001",220,"P002",150,"P003",130,"P004",70,"P005",200,"P006",40,"P007",25,"P008",20,"P009",190,"P010",530)</f>
        <v>530</v>
      </c>
      <c r="L813">
        <v>2</v>
      </c>
      <c r="M813" s="1">
        <f>Table1[[#This Row],[Unit Price]]*Table1[[#This Row],[Quantity]]</f>
        <v>1060</v>
      </c>
      <c r="N813" s="2">
        <v>0.03</v>
      </c>
      <c r="O813" s="1">
        <f>Table1[[#This Row],[Gross Value]]*(1-Table1[[#This Row],[Discount]])</f>
        <v>1028.2</v>
      </c>
      <c r="P813" s="2">
        <v>0.2</v>
      </c>
      <c r="Q813" s="1">
        <f>Table1[[#This Row],[Revenue]]*Table1[[#This Row],[VAT Rate]]</f>
        <v>205.64000000000001</v>
      </c>
      <c r="R813" s="1">
        <f>Table1[[#This Row],[Revenue]]+Table1[[#This Row],[VAT Charged]]</f>
        <v>1233.8400000000001</v>
      </c>
      <c r="S813" s="1" cm="1">
        <f t="array" ref="S813">_xlfn.SWITCH(Table1[[#This Row],[Product ID]],"P001",140,"P002",80,"P003",72,"P004",30,"P005",110,"P006",24,"P007",14,"P008",12,"P009",115,"P010",360)</f>
        <v>360</v>
      </c>
      <c r="T813" s="1" cm="1">
        <f t="array" ref="T813">(_xlfn.SWITCH(Table1[[#This Row],[Product ID]],"P001",140,"P002",80,"P003",72,"P004",30,"P005",110,"P006",24,"P007",14,"P008",12,"P009",115,"P010",360))*Table1[[#This Row],[Quantity]]</f>
        <v>720</v>
      </c>
      <c r="U813" s="1" cm="1">
        <f t="array" ref="U813">_xlfn.SWITCH(Table1[[#This Row],[Product ID]],"P001",15,"P002",0,"P003",8,"P004",8,"P005",0,"P006",7,"P007",7,"P008",6,"P009",45,"P010",60)</f>
        <v>60</v>
      </c>
      <c r="V813" s="1">
        <f>Table1[[#This Row],[Shipping per Unit]]*Table1[[#This Row],[Quantity]]</f>
        <v>120</v>
      </c>
      <c r="W813" s="2">
        <f>IF(Table1[[#This Row],[Total Shipping]]&gt;0.1,0.2,0)</f>
        <v>0.2</v>
      </c>
      <c r="X813" s="4">
        <f>Table1[[#This Row],[Total Shipping]]*Table1[[#This Row],[VAT on Shipping]]</f>
        <v>24</v>
      </c>
      <c r="Y813" s="1">
        <f>Table1[[#This Row],[Revenue]]-Table1[[#This Row],[COGS]]</f>
        <v>308.20000000000005</v>
      </c>
      <c r="Z813" s="3">
        <f>(Table1[[#This Row],[Profit]]/Table1[[#This Row],[Revenue]])</f>
        <v>0.29974713090838362</v>
      </c>
      <c r="AA813" s="1">
        <f>Table1[[#This Row],[Profit]]-Table1[[#This Row],[Total Shipping]]</f>
        <v>188.20000000000005</v>
      </c>
      <c r="AB813" s="3">
        <f>Table1[[#This Row],[Operating Profit]]/Table1[[#This Row],[Revenue]]</f>
        <v>0.18303831939311421</v>
      </c>
    </row>
    <row r="814" spans="1:28" x14ac:dyDescent="0.25">
      <c r="A814" t="s">
        <v>362</v>
      </c>
      <c r="B814">
        <v>109</v>
      </c>
      <c r="C814" t="s">
        <v>62</v>
      </c>
      <c r="D814" t="s">
        <v>63</v>
      </c>
      <c r="E814" t="s">
        <v>31</v>
      </c>
      <c r="F814" t="s">
        <v>90</v>
      </c>
      <c r="G814" t="str" cm="1">
        <f t="array" ref="G814">_xlfn.SWITCH(F814,"Acme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814" t="s">
        <v>33</v>
      </c>
      <c r="I814" t="s">
        <v>42</v>
      </c>
      <c r="J814" t="str" cm="1">
        <f t="array" ref="J814">_xlfn.SWITCH(I814,"P001","Laptop","P002","Server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14" s="1" cm="1">
        <f t="array" ref="K814">_xlfn.SWITCH(Table1[[#This Row],[Product ID]],"P001",220,"P002",150,"P003",130,"P004",70,"P005",200,"P006",40,"P007",25,"P008",20,"P009",190,"P010",530)</f>
        <v>40</v>
      </c>
      <c r="L814">
        <v>12</v>
      </c>
      <c r="M814" s="1">
        <f>Table1[[#This Row],[Unit Price]]*Table1[[#This Row],[Quantity]]</f>
        <v>480</v>
      </c>
      <c r="N814" s="2">
        <v>0.08</v>
      </c>
      <c r="O814" s="1">
        <f>Table1[[#This Row],[Gross Value]]*(1-Table1[[#This Row],[Discount]])</f>
        <v>441.6</v>
      </c>
      <c r="P814" s="2">
        <v>0.2</v>
      </c>
      <c r="Q814" s="1">
        <f>Table1[[#This Row],[Revenue]]*Table1[[#This Row],[VAT Rate]]</f>
        <v>88.320000000000007</v>
      </c>
      <c r="R814" s="1">
        <f>Table1[[#This Row],[Revenue]]+Table1[[#This Row],[VAT Charged]]</f>
        <v>529.92000000000007</v>
      </c>
      <c r="S814" s="1" cm="1">
        <f t="array" ref="S814">_xlfn.SWITCH(Table1[[#This Row],[Product ID]],"P001",140,"P002",80,"P003",72,"P004",30,"P005",110,"P006",24,"P007",14,"P008",12,"P009",115,"P010",360)</f>
        <v>24</v>
      </c>
      <c r="T814" s="1" cm="1">
        <f t="array" ref="T814">(_xlfn.SWITCH(Table1[[#This Row],[Product ID]],"P001",140,"P002",80,"P003",72,"P004",30,"P005",110,"P006",24,"P007",14,"P008",12,"P009",115,"P010",360))*Table1[[#This Row],[Quantity]]</f>
        <v>288</v>
      </c>
      <c r="U814" s="1" cm="1">
        <f t="array" ref="U814">_xlfn.SWITCH(Table1[[#This Row],[Product ID]],"P001",15,"P002",0,"P003",8,"P004",8,"P005",0,"P006",7,"P007",7,"P008",6,"P009",45,"P010",60)</f>
        <v>7</v>
      </c>
      <c r="V814" s="1">
        <f>Table1[[#This Row],[Shipping per Unit]]*Table1[[#This Row],[Quantity]]</f>
        <v>84</v>
      </c>
      <c r="W814" s="2">
        <f>IF(Table1[[#This Row],[Total Shipping]]&gt;0.1,0.2,0)</f>
        <v>0.2</v>
      </c>
      <c r="X814" s="4">
        <f>Table1[[#This Row],[Total Shipping]]*Table1[[#This Row],[VAT on Shipping]]</f>
        <v>16.8</v>
      </c>
      <c r="Y814" s="1">
        <f>Table1[[#This Row],[Revenue]]-Table1[[#This Row],[COGS]]</f>
        <v>153.60000000000002</v>
      </c>
      <c r="Z814" s="3">
        <f>(Table1[[#This Row],[Profit]]/Table1[[#This Row],[Revenue]])</f>
        <v>0.34782608695652178</v>
      </c>
      <c r="AA814" s="1">
        <f>Table1[[#This Row],[Profit]]-Table1[[#This Row],[Total Shipping]]</f>
        <v>69.600000000000023</v>
      </c>
      <c r="AB814" s="3">
        <f>Table1[[#This Row],[Operating Profit]]/Table1[[#This Row],[Revenue]]</f>
        <v>0.15760869565217395</v>
      </c>
    </row>
    <row r="815" spans="1:28" x14ac:dyDescent="0.25">
      <c r="A815" t="s">
        <v>362</v>
      </c>
      <c r="B815">
        <v>393</v>
      </c>
      <c r="C815" t="s">
        <v>62</v>
      </c>
      <c r="D815" t="s">
        <v>95</v>
      </c>
      <c r="E815" t="s">
        <v>49</v>
      </c>
      <c r="F815" t="s">
        <v>113</v>
      </c>
      <c r="G815" t="str" cm="1">
        <f t="array" ref="G815">_xlfn.SWITCH(F815,"Acme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815" t="s">
        <v>104</v>
      </c>
      <c r="I815" t="s">
        <v>42</v>
      </c>
      <c r="J815" t="str" cm="1">
        <f t="array" ref="J815">_xlfn.SWITCH(I815,"P001","Laptop","P002","Server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15" s="1" cm="1">
        <f t="array" ref="K815">_xlfn.SWITCH(Table1[[#This Row],[Product ID]],"P001",220,"P002",150,"P003",130,"P004",70,"P005",200,"P006",40,"P007",25,"P008",20,"P009",190,"P010",530)</f>
        <v>40</v>
      </c>
      <c r="L815">
        <v>20</v>
      </c>
      <c r="M815" s="1">
        <f>Table1[[#This Row],[Unit Price]]*Table1[[#This Row],[Quantity]]</f>
        <v>800</v>
      </c>
      <c r="N815" s="2">
        <v>0.05</v>
      </c>
      <c r="O815" s="1">
        <f>Table1[[#This Row],[Gross Value]]*(1-Table1[[#This Row],[Discount]])</f>
        <v>760</v>
      </c>
      <c r="P815" s="2">
        <v>0.2</v>
      </c>
      <c r="Q815" s="1">
        <f>Table1[[#This Row],[Revenue]]*Table1[[#This Row],[VAT Rate]]</f>
        <v>152</v>
      </c>
      <c r="R815" s="1">
        <f>Table1[[#This Row],[Revenue]]+Table1[[#This Row],[VAT Charged]]</f>
        <v>912</v>
      </c>
      <c r="S815" s="1" cm="1">
        <f t="array" ref="S815">_xlfn.SWITCH(Table1[[#This Row],[Product ID]],"P001",140,"P002",80,"P003",72,"P004",30,"P005",110,"P006",24,"P007",14,"P008",12,"P009",115,"P010",360)</f>
        <v>24</v>
      </c>
      <c r="T815" s="1" cm="1">
        <f t="array" ref="T815">(_xlfn.SWITCH(Table1[[#This Row],[Product ID]],"P001",140,"P002",80,"P003",72,"P004",30,"P005",110,"P006",24,"P007",14,"P008",12,"P009",115,"P010",360))*Table1[[#This Row],[Quantity]]</f>
        <v>480</v>
      </c>
      <c r="U815" s="1" cm="1">
        <f t="array" ref="U815">_xlfn.SWITCH(Table1[[#This Row],[Product ID]],"P001",15,"P002",0,"P003",8,"P004",8,"P005",0,"P006",7,"P007",7,"P008",6,"P009",45,"P010",60)</f>
        <v>7</v>
      </c>
      <c r="V815" s="1">
        <f>Table1[[#This Row],[Shipping per Unit]]*Table1[[#This Row],[Quantity]]</f>
        <v>140</v>
      </c>
      <c r="W815" s="2">
        <f>IF(Table1[[#This Row],[Total Shipping]]&gt;0.1,0.2,0)</f>
        <v>0.2</v>
      </c>
      <c r="X815" s="4">
        <f>Table1[[#This Row],[Total Shipping]]*Table1[[#This Row],[VAT on Shipping]]</f>
        <v>28</v>
      </c>
      <c r="Y815" s="1">
        <f>Table1[[#This Row],[Revenue]]-Table1[[#This Row],[COGS]]</f>
        <v>280</v>
      </c>
      <c r="Z815" s="3">
        <f>(Table1[[#This Row],[Profit]]/Table1[[#This Row],[Revenue]])</f>
        <v>0.36842105263157893</v>
      </c>
      <c r="AA815" s="1">
        <f>Table1[[#This Row],[Profit]]-Table1[[#This Row],[Total Shipping]]</f>
        <v>140</v>
      </c>
      <c r="AB815" s="3">
        <f>Table1[[#This Row],[Operating Profit]]/Table1[[#This Row],[Revenue]]</f>
        <v>0.18421052631578946</v>
      </c>
    </row>
    <row r="816" spans="1:28" x14ac:dyDescent="0.25">
      <c r="A816" t="s">
        <v>362</v>
      </c>
      <c r="B816">
        <v>427</v>
      </c>
      <c r="C816" t="s">
        <v>38</v>
      </c>
      <c r="D816" t="s">
        <v>72</v>
      </c>
      <c r="E816" t="s">
        <v>40</v>
      </c>
      <c r="F816" t="s">
        <v>74</v>
      </c>
      <c r="G816" t="str" cm="1">
        <f t="array" ref="G816">_xlfn.SWITCH(F816,"Acme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816" t="s">
        <v>45</v>
      </c>
      <c r="I816" t="s">
        <v>42</v>
      </c>
      <c r="J816" t="str" cm="1">
        <f t="array" ref="J816">_xlfn.SWITCH(I816,"P001","Laptop","P002","Server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16" s="1" cm="1">
        <f t="array" ref="K816">_xlfn.SWITCH(Table1[[#This Row],[Product ID]],"P001",220,"P002",150,"P003",130,"P004",70,"P005",200,"P006",40,"P007",25,"P008",20,"P009",190,"P010",530)</f>
        <v>40</v>
      </c>
      <c r="L816">
        <v>5</v>
      </c>
      <c r="M816" s="1">
        <f>Table1[[#This Row],[Unit Price]]*Table1[[#This Row],[Quantity]]</f>
        <v>200</v>
      </c>
      <c r="N816" s="2">
        <v>0.02</v>
      </c>
      <c r="O816" s="1">
        <f>Table1[[#This Row],[Gross Value]]*(1-Table1[[#This Row],[Discount]])</f>
        <v>196</v>
      </c>
      <c r="P816" s="2">
        <v>0.2</v>
      </c>
      <c r="Q816" s="1">
        <f>Table1[[#This Row],[Revenue]]*Table1[[#This Row],[VAT Rate]]</f>
        <v>39.200000000000003</v>
      </c>
      <c r="R816" s="1">
        <f>Table1[[#This Row],[Revenue]]+Table1[[#This Row],[VAT Charged]]</f>
        <v>235.2</v>
      </c>
      <c r="S816" s="1" cm="1">
        <f t="array" ref="S816">_xlfn.SWITCH(Table1[[#This Row],[Product ID]],"P001",140,"P002",80,"P003",72,"P004",30,"P005",110,"P006",24,"P007",14,"P008",12,"P009",115,"P010",360)</f>
        <v>24</v>
      </c>
      <c r="T816" s="1" cm="1">
        <f t="array" ref="T816">(_xlfn.SWITCH(Table1[[#This Row],[Product ID]],"P001",140,"P002",80,"P003",72,"P004",30,"P005",110,"P006",24,"P007",14,"P008",12,"P009",115,"P010",360))*Table1[[#This Row],[Quantity]]</f>
        <v>120</v>
      </c>
      <c r="U816" s="1" cm="1">
        <f t="array" ref="U816">_xlfn.SWITCH(Table1[[#This Row],[Product ID]],"P001",15,"P002",0,"P003",8,"P004",8,"P005",0,"P006",7,"P007",7,"P008",6,"P009",45,"P010",60)</f>
        <v>7</v>
      </c>
      <c r="V816" s="1">
        <f>Table1[[#This Row],[Shipping per Unit]]*Table1[[#This Row],[Quantity]]</f>
        <v>35</v>
      </c>
      <c r="W816" s="2">
        <f>IF(Table1[[#This Row],[Total Shipping]]&gt;0.1,0.2,0)</f>
        <v>0.2</v>
      </c>
      <c r="X816" s="4">
        <f>Table1[[#This Row],[Total Shipping]]*Table1[[#This Row],[VAT on Shipping]]</f>
        <v>7</v>
      </c>
      <c r="Y816" s="1">
        <f>Table1[[#This Row],[Revenue]]-Table1[[#This Row],[COGS]]</f>
        <v>76</v>
      </c>
      <c r="Z816" s="3">
        <f>(Table1[[#This Row],[Profit]]/Table1[[#This Row],[Revenue]])</f>
        <v>0.38775510204081631</v>
      </c>
      <c r="AA816" s="1">
        <f>Table1[[#This Row],[Profit]]-Table1[[#This Row],[Total Shipping]]</f>
        <v>41</v>
      </c>
      <c r="AB816" s="3">
        <f>Table1[[#This Row],[Operating Profit]]/Table1[[#This Row],[Revenue]]</f>
        <v>0.20918367346938777</v>
      </c>
    </row>
    <row r="817" spans="1:28" x14ac:dyDescent="0.25">
      <c r="A817" t="s">
        <v>362</v>
      </c>
      <c r="B817">
        <v>560</v>
      </c>
      <c r="C817" t="s">
        <v>71</v>
      </c>
      <c r="D817" t="s">
        <v>53</v>
      </c>
      <c r="E817" t="s">
        <v>49</v>
      </c>
      <c r="F817" t="s">
        <v>102</v>
      </c>
      <c r="G817" t="str" cm="1">
        <f t="array" ref="G817">_xlfn.SWITCH(F817,"Acme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817" t="s">
        <v>33</v>
      </c>
      <c r="I817" t="s">
        <v>70</v>
      </c>
      <c r="J817" t="str" cm="1">
        <f t="array" ref="J817">_xlfn.SWITCH(I817,"P001","Laptop","P002","Server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817" s="1" cm="1">
        <f t="array" ref="K817">_xlfn.SWITCH(Table1[[#This Row],[Product ID]],"P001",220,"P002",150,"P003",130,"P004",70,"P005",200,"P006",40,"P007",25,"P008",20,"P009",190,"P010",530)</f>
        <v>150</v>
      </c>
      <c r="L817">
        <v>20</v>
      </c>
      <c r="M817" s="1">
        <f>Table1[[#This Row],[Unit Price]]*Table1[[#This Row],[Quantity]]</f>
        <v>3000</v>
      </c>
      <c r="N817" s="2">
        <v>0.03</v>
      </c>
      <c r="O817" s="1">
        <f>Table1[[#This Row],[Gross Value]]*(1-Table1[[#This Row],[Discount]])</f>
        <v>2910</v>
      </c>
      <c r="P817" s="2">
        <v>0.2</v>
      </c>
      <c r="Q817" s="1">
        <f>Table1[[#This Row],[Revenue]]*Table1[[#This Row],[VAT Rate]]</f>
        <v>582</v>
      </c>
      <c r="R817" s="1">
        <f>Table1[[#This Row],[Revenue]]+Table1[[#This Row],[VAT Charged]]</f>
        <v>3492</v>
      </c>
      <c r="S817" s="1" cm="1">
        <f t="array" ref="S817">_xlfn.SWITCH(Table1[[#This Row],[Product ID]],"P001",140,"P002",80,"P003",72,"P004",30,"P005",110,"P006",24,"P007",14,"P008",12,"P009",115,"P010",360)</f>
        <v>80</v>
      </c>
      <c r="T817" s="1" cm="1">
        <f t="array" ref="T817">(_xlfn.SWITCH(Table1[[#This Row],[Product ID]],"P001",140,"P002",80,"P003",72,"P004",30,"P005",110,"P006",24,"P007",14,"P008",12,"P009",115,"P010",360))*Table1[[#This Row],[Quantity]]</f>
        <v>1600</v>
      </c>
      <c r="U817" s="1" cm="1">
        <f t="array" ref="U817">_xlfn.SWITCH(Table1[[#This Row],[Product ID]],"P001",15,"P002",0,"P003",8,"P004",8,"P005",0,"P006",7,"P007",7,"P008",6,"P009",45,"P010",60)</f>
        <v>0</v>
      </c>
      <c r="V817" s="1">
        <f>Table1[[#This Row],[Shipping per Unit]]*Table1[[#This Row],[Quantity]]</f>
        <v>0</v>
      </c>
      <c r="W817" s="2">
        <f>IF(Table1[[#This Row],[Total Shipping]]&gt;0.1,0.2,0)</f>
        <v>0</v>
      </c>
      <c r="X817" s="4">
        <f>Table1[[#This Row],[Total Shipping]]*Table1[[#This Row],[VAT on Shipping]]</f>
        <v>0</v>
      </c>
      <c r="Y817" s="1">
        <f>Table1[[#This Row],[Revenue]]-Table1[[#This Row],[COGS]]</f>
        <v>1310</v>
      </c>
      <c r="Z817" s="3">
        <f>(Table1[[#This Row],[Profit]]/Table1[[#This Row],[Revenue]])</f>
        <v>0.45017182130584193</v>
      </c>
      <c r="AA817" s="1">
        <f>Table1[[#This Row],[Profit]]-Table1[[#This Row],[Total Shipping]]</f>
        <v>1310</v>
      </c>
      <c r="AB817" s="3">
        <f>Table1[[#This Row],[Operating Profit]]/Table1[[#This Row],[Revenue]]</f>
        <v>0.45017182130584193</v>
      </c>
    </row>
    <row r="818" spans="1:28" x14ac:dyDescent="0.25">
      <c r="A818" t="s">
        <v>363</v>
      </c>
      <c r="B818">
        <v>359</v>
      </c>
      <c r="C818" t="s">
        <v>56</v>
      </c>
      <c r="D818" t="s">
        <v>39</v>
      </c>
      <c r="E818" t="s">
        <v>40</v>
      </c>
      <c r="F818" t="s">
        <v>41</v>
      </c>
      <c r="G818" t="str" cm="1">
        <f t="array" ref="G818">_xlfn.SWITCH(F818,"Acme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818" t="s">
        <v>69</v>
      </c>
      <c r="I818" t="s">
        <v>68</v>
      </c>
      <c r="J818" t="str" cm="1">
        <f t="array" ref="J818">_xlfn.SWITCH(I818,"P001","Laptop","P002","Server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18" s="1" cm="1">
        <f t="array" ref="K818">_xlfn.SWITCH(Table1[[#This Row],[Product ID]],"P001",220,"P002",150,"P003",130,"P004",70,"P005",200,"P006",40,"P007",25,"P008",20,"P009",190,"P010",530)</f>
        <v>220</v>
      </c>
      <c r="L818">
        <v>20</v>
      </c>
      <c r="M818" s="1">
        <f>Table1[[#This Row],[Unit Price]]*Table1[[#This Row],[Quantity]]</f>
        <v>4400</v>
      </c>
      <c r="N818" s="2">
        <v>0.08</v>
      </c>
      <c r="O818" s="1">
        <f>Table1[[#This Row],[Gross Value]]*(1-Table1[[#This Row],[Discount]])</f>
        <v>4048</v>
      </c>
      <c r="P818" s="2">
        <v>0.2</v>
      </c>
      <c r="Q818" s="1">
        <f>Table1[[#This Row],[Revenue]]*Table1[[#This Row],[VAT Rate]]</f>
        <v>809.6</v>
      </c>
      <c r="R818" s="1">
        <f>Table1[[#This Row],[Revenue]]+Table1[[#This Row],[VAT Charged]]</f>
        <v>4857.6000000000004</v>
      </c>
      <c r="S818" s="1" cm="1">
        <f t="array" ref="S818">_xlfn.SWITCH(Table1[[#This Row],[Product ID]],"P001",140,"P002",80,"P003",72,"P004",30,"P005",110,"P006",24,"P007",14,"P008",12,"P009",115,"P010",360)</f>
        <v>140</v>
      </c>
      <c r="T818" s="1" cm="1">
        <f t="array" ref="T818">(_xlfn.SWITCH(Table1[[#This Row],[Product ID]],"P001",140,"P002",80,"P003",72,"P004",30,"P005",110,"P006",24,"P007",14,"P008",12,"P009",115,"P010",360))*Table1[[#This Row],[Quantity]]</f>
        <v>2800</v>
      </c>
      <c r="U818" s="1" cm="1">
        <f t="array" ref="U818">_xlfn.SWITCH(Table1[[#This Row],[Product ID]],"P001",15,"P002",0,"P003",8,"P004",8,"P005",0,"P006",7,"P007",7,"P008",6,"P009",45,"P010",60)</f>
        <v>15</v>
      </c>
      <c r="V818" s="1">
        <f>Table1[[#This Row],[Shipping per Unit]]*Table1[[#This Row],[Quantity]]</f>
        <v>300</v>
      </c>
      <c r="W818" s="2">
        <f>IF(Table1[[#This Row],[Total Shipping]]&gt;0.1,0.2,0)</f>
        <v>0.2</v>
      </c>
      <c r="X818" s="4">
        <f>Table1[[#This Row],[Total Shipping]]*Table1[[#This Row],[VAT on Shipping]]</f>
        <v>60</v>
      </c>
      <c r="Y818" s="1">
        <f>Table1[[#This Row],[Revenue]]-Table1[[#This Row],[COGS]]</f>
        <v>1248</v>
      </c>
      <c r="Z818" s="3">
        <f>(Table1[[#This Row],[Profit]]/Table1[[#This Row],[Revenue]])</f>
        <v>0.30830039525691699</v>
      </c>
      <c r="AA818" s="1">
        <f>Table1[[#This Row],[Profit]]-Table1[[#This Row],[Total Shipping]]</f>
        <v>948</v>
      </c>
      <c r="AB818" s="3">
        <f>Table1[[#This Row],[Operating Profit]]/Table1[[#This Row],[Revenue]]</f>
        <v>0.23418972332015811</v>
      </c>
    </row>
    <row r="819" spans="1:28" x14ac:dyDescent="0.25">
      <c r="A819" t="s">
        <v>363</v>
      </c>
      <c r="B819">
        <v>698</v>
      </c>
      <c r="C819" t="s">
        <v>38</v>
      </c>
      <c r="D819" t="s">
        <v>48</v>
      </c>
      <c r="E819" t="s">
        <v>49</v>
      </c>
      <c r="F819" t="s">
        <v>66</v>
      </c>
      <c r="G819" t="str" cm="1">
        <f t="array" ref="G819">_xlfn.SWITCH(F819,"Acme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819" t="s">
        <v>45</v>
      </c>
      <c r="I819" t="s">
        <v>46</v>
      </c>
      <c r="J819" t="str" cm="1">
        <f t="array" ref="J819">_xlfn.SWITCH(I819,"P001","Laptop","P002","Server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819" s="1" cm="1">
        <f t="array" ref="K819">_xlfn.SWITCH(Table1[[#This Row],[Product ID]],"P001",220,"P002",150,"P003",130,"P004",70,"P005",200,"P006",40,"P007",25,"P008",20,"P009",190,"P010",530)</f>
        <v>530</v>
      </c>
      <c r="L819">
        <v>7</v>
      </c>
      <c r="M819" s="1">
        <f>Table1[[#This Row],[Unit Price]]*Table1[[#This Row],[Quantity]]</f>
        <v>3710</v>
      </c>
      <c r="N819" s="2">
        <v>0.08</v>
      </c>
      <c r="O819" s="1">
        <f>Table1[[#This Row],[Gross Value]]*(1-Table1[[#This Row],[Discount]])</f>
        <v>3413.2000000000003</v>
      </c>
      <c r="P819" s="2">
        <v>0.2</v>
      </c>
      <c r="Q819" s="1">
        <f>Table1[[#This Row],[Revenue]]*Table1[[#This Row],[VAT Rate]]</f>
        <v>682.6400000000001</v>
      </c>
      <c r="R819" s="1">
        <f>Table1[[#This Row],[Revenue]]+Table1[[#This Row],[VAT Charged]]</f>
        <v>4095.84</v>
      </c>
      <c r="S819" s="1" cm="1">
        <f t="array" ref="S819">_xlfn.SWITCH(Table1[[#This Row],[Product ID]],"P001",140,"P002",80,"P003",72,"P004",30,"P005",110,"P006",24,"P007",14,"P008",12,"P009",115,"P010",360)</f>
        <v>360</v>
      </c>
      <c r="T819" s="1" cm="1">
        <f t="array" ref="T819">(_xlfn.SWITCH(Table1[[#This Row],[Product ID]],"P001",140,"P002",80,"P003",72,"P004",30,"P005",110,"P006",24,"P007",14,"P008",12,"P009",115,"P010",360))*Table1[[#This Row],[Quantity]]</f>
        <v>2520</v>
      </c>
      <c r="U819" s="1" cm="1">
        <f t="array" ref="U819">_xlfn.SWITCH(Table1[[#This Row],[Product ID]],"P001",15,"P002",0,"P003",8,"P004",8,"P005",0,"P006",7,"P007",7,"P008",6,"P009",45,"P010",60)</f>
        <v>60</v>
      </c>
      <c r="V819" s="1">
        <f>Table1[[#This Row],[Shipping per Unit]]*Table1[[#This Row],[Quantity]]</f>
        <v>420</v>
      </c>
      <c r="W819" s="2">
        <f>IF(Table1[[#This Row],[Total Shipping]]&gt;0.1,0.2,0)</f>
        <v>0.2</v>
      </c>
      <c r="X819" s="4">
        <f>Table1[[#This Row],[Total Shipping]]*Table1[[#This Row],[VAT on Shipping]]</f>
        <v>84</v>
      </c>
      <c r="Y819" s="1">
        <f>Table1[[#This Row],[Revenue]]-Table1[[#This Row],[COGS]]</f>
        <v>893.20000000000027</v>
      </c>
      <c r="Z819" s="3">
        <f>(Table1[[#This Row],[Profit]]/Table1[[#This Row],[Revenue]])</f>
        <v>0.26168990976210016</v>
      </c>
      <c r="AA819" s="1">
        <f>Table1[[#This Row],[Profit]]-Table1[[#This Row],[Total Shipping]]</f>
        <v>473.20000000000027</v>
      </c>
      <c r="AB819" s="3">
        <f>Table1[[#This Row],[Operating Profit]]/Table1[[#This Row],[Revenue]]</f>
        <v>0.13863822805578349</v>
      </c>
    </row>
    <row r="820" spans="1:28" x14ac:dyDescent="0.25">
      <c r="A820" t="s">
        <v>363</v>
      </c>
      <c r="B820">
        <v>838</v>
      </c>
      <c r="C820" t="s">
        <v>29</v>
      </c>
      <c r="D820" t="s">
        <v>72</v>
      </c>
      <c r="E820" t="s">
        <v>31</v>
      </c>
      <c r="F820" t="s">
        <v>87</v>
      </c>
      <c r="G820" t="str" cm="1">
        <f t="array" ref="G820">_xlfn.SWITCH(F820,"Acme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820" t="s">
        <v>33</v>
      </c>
      <c r="I820" t="s">
        <v>34</v>
      </c>
      <c r="J820" t="str" cm="1">
        <f t="array" ref="J820">_xlfn.SWITCH(I820,"P001","Laptop","P002","Server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20" s="1" cm="1">
        <f t="array" ref="K820">_xlfn.SWITCH(Table1[[#This Row],[Product ID]],"P001",220,"P002",150,"P003",130,"P004",70,"P005",200,"P006",40,"P007",25,"P008",20,"P009",190,"P010",530)</f>
        <v>20</v>
      </c>
      <c r="L820">
        <v>10</v>
      </c>
      <c r="M820" s="1">
        <f>Table1[[#This Row],[Unit Price]]*Table1[[#This Row],[Quantity]]</f>
        <v>200</v>
      </c>
      <c r="N820" s="2">
        <v>0.02</v>
      </c>
      <c r="O820" s="1">
        <f>Table1[[#This Row],[Gross Value]]*(1-Table1[[#This Row],[Discount]])</f>
        <v>196</v>
      </c>
      <c r="P820" s="2">
        <v>0.2</v>
      </c>
      <c r="Q820" s="1">
        <f>Table1[[#This Row],[Revenue]]*Table1[[#This Row],[VAT Rate]]</f>
        <v>39.200000000000003</v>
      </c>
      <c r="R820" s="1">
        <f>Table1[[#This Row],[Revenue]]+Table1[[#This Row],[VAT Charged]]</f>
        <v>235.2</v>
      </c>
      <c r="S820" s="1" cm="1">
        <f t="array" ref="S820">_xlfn.SWITCH(Table1[[#This Row],[Product ID]],"P001",140,"P002",80,"P003",72,"P004",30,"P005",110,"P006",24,"P007",14,"P008",12,"P009",115,"P010",360)</f>
        <v>12</v>
      </c>
      <c r="T820" s="1" cm="1">
        <f t="array" ref="T820">(_xlfn.SWITCH(Table1[[#This Row],[Product ID]],"P001",140,"P002",80,"P003",72,"P004",30,"P005",110,"P006",24,"P007",14,"P008",12,"P009",115,"P010",360))*Table1[[#This Row],[Quantity]]</f>
        <v>120</v>
      </c>
      <c r="U820" s="1" cm="1">
        <f t="array" ref="U820">_xlfn.SWITCH(Table1[[#This Row],[Product ID]],"P001",15,"P002",0,"P003",8,"P004",8,"P005",0,"P006",7,"P007",7,"P008",6,"P009",45,"P010",60)</f>
        <v>6</v>
      </c>
      <c r="V820" s="1">
        <f>Table1[[#This Row],[Shipping per Unit]]*Table1[[#This Row],[Quantity]]</f>
        <v>60</v>
      </c>
      <c r="W820" s="2">
        <f>IF(Table1[[#This Row],[Total Shipping]]&gt;0.1,0.2,0)</f>
        <v>0.2</v>
      </c>
      <c r="X820" s="4">
        <f>Table1[[#This Row],[Total Shipping]]*Table1[[#This Row],[VAT on Shipping]]</f>
        <v>12</v>
      </c>
      <c r="Y820" s="1">
        <f>Table1[[#This Row],[Revenue]]-Table1[[#This Row],[COGS]]</f>
        <v>76</v>
      </c>
      <c r="Z820" s="3">
        <f>(Table1[[#This Row],[Profit]]/Table1[[#This Row],[Revenue]])</f>
        <v>0.38775510204081631</v>
      </c>
      <c r="AA820" s="1">
        <f>Table1[[#This Row],[Profit]]-Table1[[#This Row],[Total Shipping]]</f>
        <v>16</v>
      </c>
      <c r="AB820" s="3">
        <f>Table1[[#This Row],[Operating Profit]]/Table1[[#This Row],[Revenue]]</f>
        <v>8.1632653061224483E-2</v>
      </c>
    </row>
    <row r="821" spans="1:28" x14ac:dyDescent="0.25">
      <c r="A821" t="s">
        <v>363</v>
      </c>
      <c r="B821">
        <v>972</v>
      </c>
      <c r="C821" t="s">
        <v>35</v>
      </c>
      <c r="D821" t="s">
        <v>63</v>
      </c>
      <c r="E821" t="s">
        <v>31</v>
      </c>
      <c r="F821" t="s">
        <v>41</v>
      </c>
      <c r="G821" t="str" cm="1">
        <f t="array" ref="G821">_xlfn.SWITCH(F821,"Acme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821" t="s">
        <v>45</v>
      </c>
      <c r="I821" t="s">
        <v>68</v>
      </c>
      <c r="J821" t="str" cm="1">
        <f t="array" ref="J821">_xlfn.SWITCH(I821,"P001","Laptop","P002","Server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21" s="1" cm="1">
        <f t="array" ref="K821">_xlfn.SWITCH(Table1[[#This Row],[Product ID]],"P001",220,"P002",150,"P003",130,"P004",70,"P005",200,"P006",40,"P007",25,"P008",20,"P009",190,"P010",530)</f>
        <v>220</v>
      </c>
      <c r="L821">
        <v>6</v>
      </c>
      <c r="M821" s="1">
        <f>Table1[[#This Row],[Unit Price]]*Table1[[#This Row],[Quantity]]</f>
        <v>1320</v>
      </c>
      <c r="N821" s="2">
        <v>0.02</v>
      </c>
      <c r="O821" s="1">
        <f>Table1[[#This Row],[Gross Value]]*(1-Table1[[#This Row],[Discount]])</f>
        <v>1293.5999999999999</v>
      </c>
      <c r="P821" s="2">
        <v>0.2</v>
      </c>
      <c r="Q821" s="1">
        <f>Table1[[#This Row],[Revenue]]*Table1[[#This Row],[VAT Rate]]</f>
        <v>258.71999999999997</v>
      </c>
      <c r="R821" s="1">
        <f>Table1[[#This Row],[Revenue]]+Table1[[#This Row],[VAT Charged]]</f>
        <v>1552.32</v>
      </c>
      <c r="S821" s="1" cm="1">
        <f t="array" ref="S821">_xlfn.SWITCH(Table1[[#This Row],[Product ID]],"P001",140,"P002",80,"P003",72,"P004",30,"P005",110,"P006",24,"P007",14,"P008",12,"P009",115,"P010",360)</f>
        <v>140</v>
      </c>
      <c r="T821" s="1" cm="1">
        <f t="array" ref="T821">(_xlfn.SWITCH(Table1[[#This Row],[Product ID]],"P001",140,"P002",80,"P003",72,"P004",30,"P005",110,"P006",24,"P007",14,"P008",12,"P009",115,"P010",360))*Table1[[#This Row],[Quantity]]</f>
        <v>840</v>
      </c>
      <c r="U821" s="1" cm="1">
        <f t="array" ref="U821">_xlfn.SWITCH(Table1[[#This Row],[Product ID]],"P001",15,"P002",0,"P003",8,"P004",8,"P005",0,"P006",7,"P007",7,"P008",6,"P009",45,"P010",60)</f>
        <v>15</v>
      </c>
      <c r="V821" s="1">
        <f>Table1[[#This Row],[Shipping per Unit]]*Table1[[#This Row],[Quantity]]</f>
        <v>90</v>
      </c>
      <c r="W821" s="2">
        <f>IF(Table1[[#This Row],[Total Shipping]]&gt;0.1,0.2,0)</f>
        <v>0.2</v>
      </c>
      <c r="X821" s="4">
        <f>Table1[[#This Row],[Total Shipping]]*Table1[[#This Row],[VAT on Shipping]]</f>
        <v>18</v>
      </c>
      <c r="Y821" s="1">
        <f>Table1[[#This Row],[Revenue]]-Table1[[#This Row],[COGS]]</f>
        <v>453.59999999999991</v>
      </c>
      <c r="Z821" s="3">
        <f>(Table1[[#This Row],[Profit]]/Table1[[#This Row],[Revenue]])</f>
        <v>0.3506493506493506</v>
      </c>
      <c r="AA821" s="1">
        <f>Table1[[#This Row],[Profit]]-Table1[[#This Row],[Total Shipping]]</f>
        <v>363.59999999999991</v>
      </c>
      <c r="AB821" s="3">
        <f>Table1[[#This Row],[Operating Profit]]/Table1[[#This Row],[Revenue]]</f>
        <v>0.28107606679035246</v>
      </c>
    </row>
    <row r="822" spans="1:28" x14ac:dyDescent="0.25">
      <c r="A822" t="s">
        <v>364</v>
      </c>
      <c r="B822">
        <v>199</v>
      </c>
      <c r="C822" t="s">
        <v>38</v>
      </c>
      <c r="D822" t="s">
        <v>39</v>
      </c>
      <c r="E822" t="s">
        <v>40</v>
      </c>
      <c r="F822" t="s">
        <v>78</v>
      </c>
      <c r="G822" t="str" cm="1">
        <f t="array" ref="G822">_xlfn.SWITCH(F822,"Acme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22" t="s">
        <v>45</v>
      </c>
      <c r="I822" t="s">
        <v>52</v>
      </c>
      <c r="J822" t="str" cm="1">
        <f t="array" ref="J822">_xlfn.SWITCH(I822,"P001","Laptop","P002","Server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22" s="1" cm="1">
        <f t="array" ref="K822">_xlfn.SWITCH(Table1[[#This Row],[Product ID]],"P001",220,"P002",150,"P003",130,"P004",70,"P005",200,"P006",40,"P007",25,"P008",20,"P009",190,"P010",530)</f>
        <v>130</v>
      </c>
      <c r="L822">
        <v>3</v>
      </c>
      <c r="M822" s="1">
        <f>Table1[[#This Row],[Unit Price]]*Table1[[#This Row],[Quantity]]</f>
        <v>390</v>
      </c>
      <c r="N822" s="2">
        <v>0.03</v>
      </c>
      <c r="O822" s="1">
        <f>Table1[[#This Row],[Gross Value]]*(1-Table1[[#This Row],[Discount]])</f>
        <v>378.3</v>
      </c>
      <c r="P822" s="2">
        <v>0.2</v>
      </c>
      <c r="Q822" s="1">
        <f>Table1[[#This Row],[Revenue]]*Table1[[#This Row],[VAT Rate]]</f>
        <v>75.660000000000011</v>
      </c>
      <c r="R822" s="1">
        <f>Table1[[#This Row],[Revenue]]+Table1[[#This Row],[VAT Charged]]</f>
        <v>453.96000000000004</v>
      </c>
      <c r="S822" s="1" cm="1">
        <f t="array" ref="S822">_xlfn.SWITCH(Table1[[#This Row],[Product ID]],"P001",140,"P002",80,"P003",72,"P004",30,"P005",110,"P006",24,"P007",14,"P008",12,"P009",115,"P010",360)</f>
        <v>72</v>
      </c>
      <c r="T822" s="1" cm="1">
        <f t="array" ref="T822">(_xlfn.SWITCH(Table1[[#This Row],[Product ID]],"P001",140,"P002",80,"P003",72,"P004",30,"P005",110,"P006",24,"P007",14,"P008",12,"P009",115,"P010",360))*Table1[[#This Row],[Quantity]]</f>
        <v>216</v>
      </c>
      <c r="U822" s="1" cm="1">
        <f t="array" ref="U822">_xlfn.SWITCH(Table1[[#This Row],[Product ID]],"P001",15,"P002",0,"P003",8,"P004",8,"P005",0,"P006",7,"P007",7,"P008",6,"P009",45,"P010",60)</f>
        <v>8</v>
      </c>
      <c r="V822" s="1">
        <f>Table1[[#This Row],[Shipping per Unit]]*Table1[[#This Row],[Quantity]]</f>
        <v>24</v>
      </c>
      <c r="W822" s="2">
        <f>IF(Table1[[#This Row],[Total Shipping]]&gt;0.1,0.2,0)</f>
        <v>0.2</v>
      </c>
      <c r="X822" s="4">
        <f>Table1[[#This Row],[Total Shipping]]*Table1[[#This Row],[VAT on Shipping]]</f>
        <v>4.8000000000000007</v>
      </c>
      <c r="Y822" s="1">
        <f>Table1[[#This Row],[Revenue]]-Table1[[#This Row],[COGS]]</f>
        <v>162.30000000000001</v>
      </c>
      <c r="Z822" s="3">
        <f>(Table1[[#This Row],[Profit]]/Table1[[#This Row],[Revenue]])</f>
        <v>0.42902458366375895</v>
      </c>
      <c r="AA822" s="1">
        <f>Table1[[#This Row],[Profit]]-Table1[[#This Row],[Total Shipping]]</f>
        <v>138.30000000000001</v>
      </c>
      <c r="AB822" s="3">
        <f>Table1[[#This Row],[Operating Profit]]/Table1[[#This Row],[Revenue]]</f>
        <v>0.36558287073750995</v>
      </c>
    </row>
    <row r="823" spans="1:28" x14ac:dyDescent="0.25">
      <c r="A823" t="s">
        <v>364</v>
      </c>
      <c r="B823">
        <v>361</v>
      </c>
      <c r="C823" t="s">
        <v>56</v>
      </c>
      <c r="D823" t="s">
        <v>67</v>
      </c>
      <c r="E823" t="s">
        <v>49</v>
      </c>
      <c r="F823" t="s">
        <v>78</v>
      </c>
      <c r="G823" t="str" cm="1">
        <f t="array" ref="G823">_xlfn.SWITCH(F823,"Acme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23" t="s">
        <v>45</v>
      </c>
      <c r="I823" t="s">
        <v>60</v>
      </c>
      <c r="J823" t="str" cm="1">
        <f t="array" ref="J823">_xlfn.SWITCH(I823,"P001","Laptop","P002","Server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823" s="1" cm="1">
        <f t="array" ref="K823">_xlfn.SWITCH(Table1[[#This Row],[Product ID]],"P001",220,"P002",150,"P003",130,"P004",70,"P005",200,"P006",40,"P007",25,"P008",20,"P009",190,"P010",530)</f>
        <v>25</v>
      </c>
      <c r="L823">
        <v>16</v>
      </c>
      <c r="M823" s="1">
        <f>Table1[[#This Row],[Unit Price]]*Table1[[#This Row],[Quantity]]</f>
        <v>400</v>
      </c>
      <c r="N823" s="2">
        <v>0.05</v>
      </c>
      <c r="O823" s="1">
        <f>Table1[[#This Row],[Gross Value]]*(1-Table1[[#This Row],[Discount]])</f>
        <v>380</v>
      </c>
      <c r="P823" s="2">
        <v>0.2</v>
      </c>
      <c r="Q823" s="1">
        <f>Table1[[#This Row],[Revenue]]*Table1[[#This Row],[VAT Rate]]</f>
        <v>76</v>
      </c>
      <c r="R823" s="1">
        <f>Table1[[#This Row],[Revenue]]+Table1[[#This Row],[VAT Charged]]</f>
        <v>456</v>
      </c>
      <c r="S823" s="1" cm="1">
        <f t="array" ref="S823">_xlfn.SWITCH(Table1[[#This Row],[Product ID]],"P001",140,"P002",80,"P003",72,"P004",30,"P005",110,"P006",24,"P007",14,"P008",12,"P009",115,"P010",360)</f>
        <v>14</v>
      </c>
      <c r="T823" s="1" cm="1">
        <f t="array" ref="T823">(_xlfn.SWITCH(Table1[[#This Row],[Product ID]],"P001",140,"P002",80,"P003",72,"P004",30,"P005",110,"P006",24,"P007",14,"P008",12,"P009",115,"P010",360))*Table1[[#This Row],[Quantity]]</f>
        <v>224</v>
      </c>
      <c r="U823" s="1" cm="1">
        <f t="array" ref="U823">_xlfn.SWITCH(Table1[[#This Row],[Product ID]],"P001",15,"P002",0,"P003",8,"P004",8,"P005",0,"P006",7,"P007",7,"P008",6,"P009",45,"P010",60)</f>
        <v>7</v>
      </c>
      <c r="V823" s="1">
        <f>Table1[[#This Row],[Shipping per Unit]]*Table1[[#This Row],[Quantity]]</f>
        <v>112</v>
      </c>
      <c r="W823" s="2">
        <f>IF(Table1[[#This Row],[Total Shipping]]&gt;0.1,0.2,0)</f>
        <v>0.2</v>
      </c>
      <c r="X823" s="4">
        <f>Table1[[#This Row],[Total Shipping]]*Table1[[#This Row],[VAT on Shipping]]</f>
        <v>22.400000000000002</v>
      </c>
      <c r="Y823" s="1">
        <f>Table1[[#This Row],[Revenue]]-Table1[[#This Row],[COGS]]</f>
        <v>156</v>
      </c>
      <c r="Z823" s="3">
        <f>(Table1[[#This Row],[Profit]]/Table1[[#This Row],[Revenue]])</f>
        <v>0.41052631578947368</v>
      </c>
      <c r="AA823" s="1">
        <f>Table1[[#This Row],[Profit]]-Table1[[#This Row],[Total Shipping]]</f>
        <v>44</v>
      </c>
      <c r="AB823" s="3">
        <f>Table1[[#This Row],[Operating Profit]]/Table1[[#This Row],[Revenue]]</f>
        <v>0.11578947368421053</v>
      </c>
    </row>
    <row r="824" spans="1:28" x14ac:dyDescent="0.25">
      <c r="A824" t="s">
        <v>364</v>
      </c>
      <c r="B824">
        <v>637</v>
      </c>
      <c r="C824" t="s">
        <v>29</v>
      </c>
      <c r="D824" t="s">
        <v>36</v>
      </c>
      <c r="E824" t="s">
        <v>49</v>
      </c>
      <c r="F824" t="s">
        <v>32</v>
      </c>
      <c r="G824" t="str" cm="1">
        <f t="array" ref="G824">_xlfn.SWITCH(F824,"Acme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824" t="s">
        <v>45</v>
      </c>
      <c r="I824" t="s">
        <v>42</v>
      </c>
      <c r="J824" t="str" cm="1">
        <f t="array" ref="J824">_xlfn.SWITCH(I824,"P001","Laptop","P002","Server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24" s="1" cm="1">
        <f t="array" ref="K824">_xlfn.SWITCH(Table1[[#This Row],[Product ID]],"P001",220,"P002",150,"P003",130,"P004",70,"P005",200,"P006",40,"P007",25,"P008",20,"P009",190,"P010",530)</f>
        <v>40</v>
      </c>
      <c r="L824">
        <v>9</v>
      </c>
      <c r="M824" s="1">
        <f>Table1[[#This Row],[Unit Price]]*Table1[[#This Row],[Quantity]]</f>
        <v>360</v>
      </c>
      <c r="N824" s="2">
        <v>7.0000000000000007E-2</v>
      </c>
      <c r="O824" s="1">
        <f>Table1[[#This Row],[Gross Value]]*(1-Table1[[#This Row],[Discount]])</f>
        <v>334.79999999999995</v>
      </c>
      <c r="P824" s="2">
        <v>0.2</v>
      </c>
      <c r="Q824" s="1">
        <f>Table1[[#This Row],[Revenue]]*Table1[[#This Row],[VAT Rate]]</f>
        <v>66.959999999999994</v>
      </c>
      <c r="R824" s="1">
        <f>Table1[[#This Row],[Revenue]]+Table1[[#This Row],[VAT Charged]]</f>
        <v>401.75999999999993</v>
      </c>
      <c r="S824" s="1" cm="1">
        <f t="array" ref="S824">_xlfn.SWITCH(Table1[[#This Row],[Product ID]],"P001",140,"P002",80,"P003",72,"P004",30,"P005",110,"P006",24,"P007",14,"P008",12,"P009",115,"P010",360)</f>
        <v>24</v>
      </c>
      <c r="T824" s="1" cm="1">
        <f t="array" ref="T824">(_xlfn.SWITCH(Table1[[#This Row],[Product ID]],"P001",140,"P002",80,"P003",72,"P004",30,"P005",110,"P006",24,"P007",14,"P008",12,"P009",115,"P010",360))*Table1[[#This Row],[Quantity]]</f>
        <v>216</v>
      </c>
      <c r="U824" s="1" cm="1">
        <f t="array" ref="U824">_xlfn.SWITCH(Table1[[#This Row],[Product ID]],"P001",15,"P002",0,"P003",8,"P004",8,"P005",0,"P006",7,"P007",7,"P008",6,"P009",45,"P010",60)</f>
        <v>7</v>
      </c>
      <c r="V824" s="1">
        <f>Table1[[#This Row],[Shipping per Unit]]*Table1[[#This Row],[Quantity]]</f>
        <v>63</v>
      </c>
      <c r="W824" s="2">
        <f>IF(Table1[[#This Row],[Total Shipping]]&gt;0.1,0.2,0)</f>
        <v>0.2</v>
      </c>
      <c r="X824" s="4">
        <f>Table1[[#This Row],[Total Shipping]]*Table1[[#This Row],[VAT on Shipping]]</f>
        <v>12.600000000000001</v>
      </c>
      <c r="Y824" s="1">
        <f>Table1[[#This Row],[Revenue]]-Table1[[#This Row],[COGS]]</f>
        <v>118.79999999999995</v>
      </c>
      <c r="Z824" s="3">
        <f>(Table1[[#This Row],[Profit]]/Table1[[#This Row],[Revenue]])</f>
        <v>0.35483870967741926</v>
      </c>
      <c r="AA824" s="1">
        <f>Table1[[#This Row],[Profit]]-Table1[[#This Row],[Total Shipping]]</f>
        <v>55.799999999999955</v>
      </c>
      <c r="AB824" s="3">
        <f>Table1[[#This Row],[Operating Profit]]/Table1[[#This Row],[Revenue]]</f>
        <v>0.16666666666666655</v>
      </c>
    </row>
    <row r="825" spans="1:28" x14ac:dyDescent="0.25">
      <c r="A825" t="s">
        <v>364</v>
      </c>
      <c r="B825">
        <v>714</v>
      </c>
      <c r="C825" t="s">
        <v>35</v>
      </c>
      <c r="D825" t="s">
        <v>30</v>
      </c>
      <c r="E825" t="s">
        <v>40</v>
      </c>
      <c r="F825" t="s">
        <v>113</v>
      </c>
      <c r="G825" t="str" cm="1">
        <f t="array" ref="G825">_xlfn.SWITCH(F825,"Acme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825" t="s">
        <v>33</v>
      </c>
      <c r="I825" t="s">
        <v>34</v>
      </c>
      <c r="J825" t="str" cm="1">
        <f t="array" ref="J825">_xlfn.SWITCH(I825,"P001","Laptop","P002","Server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25" s="1" cm="1">
        <f t="array" ref="K825">_xlfn.SWITCH(Table1[[#This Row],[Product ID]],"P001",220,"P002",150,"P003",130,"P004",70,"P005",200,"P006",40,"P007",25,"P008",20,"P009",190,"P010",530)</f>
        <v>20</v>
      </c>
      <c r="L825">
        <v>13</v>
      </c>
      <c r="M825" s="1">
        <f>Table1[[#This Row],[Unit Price]]*Table1[[#This Row],[Quantity]]</f>
        <v>260</v>
      </c>
      <c r="N825" s="2">
        <v>0.02</v>
      </c>
      <c r="O825" s="1">
        <f>Table1[[#This Row],[Gross Value]]*(1-Table1[[#This Row],[Discount]])</f>
        <v>254.79999999999998</v>
      </c>
      <c r="P825" s="2">
        <v>0.2</v>
      </c>
      <c r="Q825" s="1">
        <f>Table1[[#This Row],[Revenue]]*Table1[[#This Row],[VAT Rate]]</f>
        <v>50.96</v>
      </c>
      <c r="R825" s="1">
        <f>Table1[[#This Row],[Revenue]]+Table1[[#This Row],[VAT Charged]]</f>
        <v>305.76</v>
      </c>
      <c r="S825" s="1" cm="1">
        <f t="array" ref="S825">_xlfn.SWITCH(Table1[[#This Row],[Product ID]],"P001",140,"P002",80,"P003",72,"P004",30,"P005",110,"P006",24,"P007",14,"P008",12,"P009",115,"P010",360)</f>
        <v>12</v>
      </c>
      <c r="T825" s="1" cm="1">
        <f t="array" ref="T825">(_xlfn.SWITCH(Table1[[#This Row],[Product ID]],"P001",140,"P002",80,"P003",72,"P004",30,"P005",110,"P006",24,"P007",14,"P008",12,"P009",115,"P010",360))*Table1[[#This Row],[Quantity]]</f>
        <v>156</v>
      </c>
      <c r="U825" s="1" cm="1">
        <f t="array" ref="U825">_xlfn.SWITCH(Table1[[#This Row],[Product ID]],"P001",15,"P002",0,"P003",8,"P004",8,"P005",0,"P006",7,"P007",7,"P008",6,"P009",45,"P010",60)</f>
        <v>6</v>
      </c>
      <c r="V825" s="1">
        <f>Table1[[#This Row],[Shipping per Unit]]*Table1[[#This Row],[Quantity]]</f>
        <v>78</v>
      </c>
      <c r="W825" s="2">
        <f>IF(Table1[[#This Row],[Total Shipping]]&gt;0.1,0.2,0)</f>
        <v>0.2</v>
      </c>
      <c r="X825" s="4">
        <f>Table1[[#This Row],[Total Shipping]]*Table1[[#This Row],[VAT on Shipping]]</f>
        <v>15.600000000000001</v>
      </c>
      <c r="Y825" s="1">
        <f>Table1[[#This Row],[Revenue]]-Table1[[#This Row],[COGS]]</f>
        <v>98.799999999999983</v>
      </c>
      <c r="Z825" s="3">
        <f>(Table1[[#This Row],[Profit]]/Table1[[#This Row],[Revenue]])</f>
        <v>0.38775510204081631</v>
      </c>
      <c r="AA825" s="1">
        <f>Table1[[#This Row],[Profit]]-Table1[[#This Row],[Total Shipping]]</f>
        <v>20.799999999999983</v>
      </c>
      <c r="AB825" s="3">
        <f>Table1[[#This Row],[Operating Profit]]/Table1[[#This Row],[Revenue]]</f>
        <v>8.1632653061224428E-2</v>
      </c>
    </row>
    <row r="826" spans="1:28" x14ac:dyDescent="0.25">
      <c r="A826" t="s">
        <v>365</v>
      </c>
      <c r="B826">
        <v>27</v>
      </c>
      <c r="C826" t="s">
        <v>62</v>
      </c>
      <c r="D826" t="s">
        <v>48</v>
      </c>
      <c r="E826" t="s">
        <v>40</v>
      </c>
      <c r="F826" t="s">
        <v>84</v>
      </c>
      <c r="G826" t="str" cm="1">
        <f t="array" ref="G826">_xlfn.SWITCH(F826,"Acme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826" t="s">
        <v>104</v>
      </c>
      <c r="I826" t="s">
        <v>55</v>
      </c>
      <c r="J826" t="str" cm="1">
        <f t="array" ref="J826">_xlfn.SWITCH(I826,"P001","Laptop","P002","Server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26" s="1" cm="1">
        <f t="array" ref="K826">_xlfn.SWITCH(Table1[[#This Row],[Product ID]],"P001",220,"P002",150,"P003",130,"P004",70,"P005",200,"P006",40,"P007",25,"P008",20,"P009",190,"P010",530)</f>
        <v>70</v>
      </c>
      <c r="L826">
        <v>8</v>
      </c>
      <c r="M826" s="1">
        <f>Table1[[#This Row],[Unit Price]]*Table1[[#This Row],[Quantity]]</f>
        <v>560</v>
      </c>
      <c r="N826" s="2">
        <v>0.03</v>
      </c>
      <c r="O826" s="1">
        <f>Table1[[#This Row],[Gross Value]]*(1-Table1[[#This Row],[Discount]])</f>
        <v>543.19999999999993</v>
      </c>
      <c r="P826" s="2">
        <v>0.2</v>
      </c>
      <c r="Q826" s="1">
        <f>Table1[[#This Row],[Revenue]]*Table1[[#This Row],[VAT Rate]]</f>
        <v>108.63999999999999</v>
      </c>
      <c r="R826" s="1">
        <f>Table1[[#This Row],[Revenue]]+Table1[[#This Row],[VAT Charged]]</f>
        <v>651.83999999999992</v>
      </c>
      <c r="S826" s="1" cm="1">
        <f t="array" ref="S826">_xlfn.SWITCH(Table1[[#This Row],[Product ID]],"P001",140,"P002",80,"P003",72,"P004",30,"P005",110,"P006",24,"P007",14,"P008",12,"P009",115,"P010",360)</f>
        <v>30</v>
      </c>
      <c r="T826" s="1" cm="1">
        <f t="array" ref="T826">(_xlfn.SWITCH(Table1[[#This Row],[Product ID]],"P001",140,"P002",80,"P003",72,"P004",30,"P005",110,"P006",24,"P007",14,"P008",12,"P009",115,"P010",360))*Table1[[#This Row],[Quantity]]</f>
        <v>240</v>
      </c>
      <c r="U826" s="1" cm="1">
        <f t="array" ref="U826">_xlfn.SWITCH(Table1[[#This Row],[Product ID]],"P001",15,"P002",0,"P003",8,"P004",8,"P005",0,"P006",7,"P007",7,"P008",6,"P009",45,"P010",60)</f>
        <v>8</v>
      </c>
      <c r="V826" s="1">
        <f>Table1[[#This Row],[Shipping per Unit]]*Table1[[#This Row],[Quantity]]</f>
        <v>64</v>
      </c>
      <c r="W826" s="2">
        <f>IF(Table1[[#This Row],[Total Shipping]]&gt;0.1,0.2,0)</f>
        <v>0.2</v>
      </c>
      <c r="X826" s="4">
        <f>Table1[[#This Row],[Total Shipping]]*Table1[[#This Row],[VAT on Shipping]]</f>
        <v>12.8</v>
      </c>
      <c r="Y826" s="1">
        <f>Table1[[#This Row],[Revenue]]-Table1[[#This Row],[COGS]]</f>
        <v>303.19999999999993</v>
      </c>
      <c r="Z826" s="3">
        <f>(Table1[[#This Row],[Profit]]/Table1[[#This Row],[Revenue]])</f>
        <v>0.55817378497790859</v>
      </c>
      <c r="AA826" s="1">
        <f>Table1[[#This Row],[Profit]]-Table1[[#This Row],[Total Shipping]]</f>
        <v>239.19999999999993</v>
      </c>
      <c r="AB826" s="3">
        <f>Table1[[#This Row],[Operating Profit]]/Table1[[#This Row],[Revenue]]</f>
        <v>0.44035346097201761</v>
      </c>
    </row>
    <row r="827" spans="1:28" x14ac:dyDescent="0.25">
      <c r="A827" t="s">
        <v>365</v>
      </c>
      <c r="B827">
        <v>833</v>
      </c>
      <c r="C827" t="s">
        <v>71</v>
      </c>
      <c r="D827" t="s">
        <v>63</v>
      </c>
      <c r="E827" t="s">
        <v>49</v>
      </c>
      <c r="F827" t="s">
        <v>64</v>
      </c>
      <c r="G827" t="str" cm="1">
        <f t="array" ref="G827">_xlfn.SWITCH(F827,"Acme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827" t="s">
        <v>45</v>
      </c>
      <c r="I827" t="s">
        <v>60</v>
      </c>
      <c r="J827" t="str" cm="1">
        <f t="array" ref="J827">_xlfn.SWITCH(I827,"P001","Laptop","P002","Server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827" s="1" cm="1">
        <f t="array" ref="K827">_xlfn.SWITCH(Table1[[#This Row],[Product ID]],"P001",220,"P002",150,"P003",130,"P004",70,"P005",200,"P006",40,"P007",25,"P008",20,"P009",190,"P010",530)</f>
        <v>25</v>
      </c>
      <c r="L827">
        <v>7</v>
      </c>
      <c r="M827" s="1">
        <f>Table1[[#This Row],[Unit Price]]*Table1[[#This Row],[Quantity]]</f>
        <v>175</v>
      </c>
      <c r="N827" s="2">
        <v>0.03</v>
      </c>
      <c r="O827" s="1">
        <f>Table1[[#This Row],[Gross Value]]*(1-Table1[[#This Row],[Discount]])</f>
        <v>169.75</v>
      </c>
      <c r="P827" s="2">
        <v>0.2</v>
      </c>
      <c r="Q827" s="1">
        <f>Table1[[#This Row],[Revenue]]*Table1[[#This Row],[VAT Rate]]</f>
        <v>33.950000000000003</v>
      </c>
      <c r="R827" s="1">
        <f>Table1[[#This Row],[Revenue]]+Table1[[#This Row],[VAT Charged]]</f>
        <v>203.7</v>
      </c>
      <c r="S827" s="1" cm="1">
        <f t="array" ref="S827">_xlfn.SWITCH(Table1[[#This Row],[Product ID]],"P001",140,"P002",80,"P003",72,"P004",30,"P005",110,"P006",24,"P007",14,"P008",12,"P009",115,"P010",360)</f>
        <v>14</v>
      </c>
      <c r="T827" s="1" cm="1">
        <f t="array" ref="T827">(_xlfn.SWITCH(Table1[[#This Row],[Product ID]],"P001",140,"P002",80,"P003",72,"P004",30,"P005",110,"P006",24,"P007",14,"P008",12,"P009",115,"P010",360))*Table1[[#This Row],[Quantity]]</f>
        <v>98</v>
      </c>
      <c r="U827" s="1" cm="1">
        <f t="array" ref="U827">_xlfn.SWITCH(Table1[[#This Row],[Product ID]],"P001",15,"P002",0,"P003",8,"P004",8,"P005",0,"P006",7,"P007",7,"P008",6,"P009",45,"P010",60)</f>
        <v>7</v>
      </c>
      <c r="V827" s="1">
        <f>Table1[[#This Row],[Shipping per Unit]]*Table1[[#This Row],[Quantity]]</f>
        <v>49</v>
      </c>
      <c r="W827" s="2">
        <f>IF(Table1[[#This Row],[Total Shipping]]&gt;0.1,0.2,0)</f>
        <v>0.2</v>
      </c>
      <c r="X827" s="4">
        <f>Table1[[#This Row],[Total Shipping]]*Table1[[#This Row],[VAT on Shipping]]</f>
        <v>9.8000000000000007</v>
      </c>
      <c r="Y827" s="1">
        <f>Table1[[#This Row],[Revenue]]-Table1[[#This Row],[COGS]]</f>
        <v>71.75</v>
      </c>
      <c r="Z827" s="3">
        <f>(Table1[[#This Row],[Profit]]/Table1[[#This Row],[Revenue]])</f>
        <v>0.42268041237113402</v>
      </c>
      <c r="AA827" s="1">
        <f>Table1[[#This Row],[Profit]]-Table1[[#This Row],[Total Shipping]]</f>
        <v>22.75</v>
      </c>
      <c r="AB827" s="3">
        <f>Table1[[#This Row],[Operating Profit]]/Table1[[#This Row],[Revenue]]</f>
        <v>0.13402061855670103</v>
      </c>
    </row>
    <row r="828" spans="1:28" x14ac:dyDescent="0.25">
      <c r="A828" t="s">
        <v>366</v>
      </c>
      <c r="B828">
        <v>206</v>
      </c>
      <c r="C828" t="s">
        <v>62</v>
      </c>
      <c r="D828" t="s">
        <v>48</v>
      </c>
      <c r="E828" t="s">
        <v>31</v>
      </c>
      <c r="F828" t="s">
        <v>103</v>
      </c>
      <c r="G828" t="str" cm="1">
        <f t="array" ref="G828">_xlfn.SWITCH(F828,"Acme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828" t="s">
        <v>45</v>
      </c>
      <c r="I828" t="s">
        <v>52</v>
      </c>
      <c r="J828" t="str" cm="1">
        <f t="array" ref="J828">_xlfn.SWITCH(I828,"P001","Laptop","P002","Server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28" s="1" cm="1">
        <f t="array" ref="K828">_xlfn.SWITCH(Table1[[#This Row],[Product ID]],"P001",220,"P002",150,"P003",130,"P004",70,"P005",200,"P006",40,"P007",25,"P008",20,"P009",190,"P010",530)</f>
        <v>130</v>
      </c>
      <c r="L828">
        <v>16</v>
      </c>
      <c r="M828" s="1">
        <f>Table1[[#This Row],[Unit Price]]*Table1[[#This Row],[Quantity]]</f>
        <v>2080</v>
      </c>
      <c r="N828" s="2">
        <v>0.05</v>
      </c>
      <c r="O828" s="1">
        <f>Table1[[#This Row],[Gross Value]]*(1-Table1[[#This Row],[Discount]])</f>
        <v>1976</v>
      </c>
      <c r="P828" s="2">
        <v>0.2</v>
      </c>
      <c r="Q828" s="1">
        <f>Table1[[#This Row],[Revenue]]*Table1[[#This Row],[VAT Rate]]</f>
        <v>395.20000000000005</v>
      </c>
      <c r="R828" s="1">
        <f>Table1[[#This Row],[Revenue]]+Table1[[#This Row],[VAT Charged]]</f>
        <v>2371.1999999999998</v>
      </c>
      <c r="S828" s="1" cm="1">
        <f t="array" ref="S828">_xlfn.SWITCH(Table1[[#This Row],[Product ID]],"P001",140,"P002",80,"P003",72,"P004",30,"P005",110,"P006",24,"P007",14,"P008",12,"P009",115,"P010",360)</f>
        <v>72</v>
      </c>
      <c r="T828" s="1" cm="1">
        <f t="array" ref="T828">(_xlfn.SWITCH(Table1[[#This Row],[Product ID]],"P001",140,"P002",80,"P003",72,"P004",30,"P005",110,"P006",24,"P007",14,"P008",12,"P009",115,"P010",360))*Table1[[#This Row],[Quantity]]</f>
        <v>1152</v>
      </c>
      <c r="U828" s="1" cm="1">
        <f t="array" ref="U828">_xlfn.SWITCH(Table1[[#This Row],[Product ID]],"P001",15,"P002",0,"P003",8,"P004",8,"P005",0,"P006",7,"P007",7,"P008",6,"P009",45,"P010",60)</f>
        <v>8</v>
      </c>
      <c r="V828" s="1">
        <f>Table1[[#This Row],[Shipping per Unit]]*Table1[[#This Row],[Quantity]]</f>
        <v>128</v>
      </c>
      <c r="W828" s="2">
        <f>IF(Table1[[#This Row],[Total Shipping]]&gt;0.1,0.2,0)</f>
        <v>0.2</v>
      </c>
      <c r="X828" s="4">
        <f>Table1[[#This Row],[Total Shipping]]*Table1[[#This Row],[VAT on Shipping]]</f>
        <v>25.6</v>
      </c>
      <c r="Y828" s="1">
        <f>Table1[[#This Row],[Revenue]]-Table1[[#This Row],[COGS]]</f>
        <v>824</v>
      </c>
      <c r="Z828" s="3">
        <f>(Table1[[#This Row],[Profit]]/Table1[[#This Row],[Revenue]])</f>
        <v>0.41700404858299595</v>
      </c>
      <c r="AA828" s="1">
        <f>Table1[[#This Row],[Profit]]-Table1[[#This Row],[Total Shipping]]</f>
        <v>696</v>
      </c>
      <c r="AB828" s="3">
        <f>Table1[[#This Row],[Operating Profit]]/Table1[[#This Row],[Revenue]]</f>
        <v>0.35222672064777327</v>
      </c>
    </row>
    <row r="829" spans="1:28" x14ac:dyDescent="0.25">
      <c r="A829" t="s">
        <v>366</v>
      </c>
      <c r="B829">
        <v>324</v>
      </c>
      <c r="C829" t="s">
        <v>35</v>
      </c>
      <c r="D829" t="s">
        <v>39</v>
      </c>
      <c r="E829" t="s">
        <v>40</v>
      </c>
      <c r="F829" t="s">
        <v>74</v>
      </c>
      <c r="G829" t="str" cm="1">
        <f t="array" ref="G829">_xlfn.SWITCH(F829,"Acme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829" t="s">
        <v>33</v>
      </c>
      <c r="I829" t="s">
        <v>52</v>
      </c>
      <c r="J829" t="str" cm="1">
        <f t="array" ref="J829">_xlfn.SWITCH(I829,"P001","Laptop","P002","Server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29" s="1" cm="1">
        <f t="array" ref="K829">_xlfn.SWITCH(Table1[[#This Row],[Product ID]],"P001",220,"P002",150,"P003",130,"P004",70,"P005",200,"P006",40,"P007",25,"P008",20,"P009",190,"P010",530)</f>
        <v>130</v>
      </c>
      <c r="L829">
        <v>10</v>
      </c>
      <c r="M829" s="1">
        <f>Table1[[#This Row],[Unit Price]]*Table1[[#This Row],[Quantity]]</f>
        <v>1300</v>
      </c>
      <c r="N829" s="2">
        <v>0.05</v>
      </c>
      <c r="O829" s="1">
        <f>Table1[[#This Row],[Gross Value]]*(1-Table1[[#This Row],[Discount]])</f>
        <v>1235</v>
      </c>
      <c r="P829" s="2">
        <v>0.2</v>
      </c>
      <c r="Q829" s="1">
        <f>Table1[[#This Row],[Revenue]]*Table1[[#This Row],[VAT Rate]]</f>
        <v>247</v>
      </c>
      <c r="R829" s="1">
        <f>Table1[[#This Row],[Revenue]]+Table1[[#This Row],[VAT Charged]]</f>
        <v>1482</v>
      </c>
      <c r="S829" s="1" cm="1">
        <f t="array" ref="S829">_xlfn.SWITCH(Table1[[#This Row],[Product ID]],"P001",140,"P002",80,"P003",72,"P004",30,"P005",110,"P006",24,"P007",14,"P008",12,"P009",115,"P010",360)</f>
        <v>72</v>
      </c>
      <c r="T829" s="1" cm="1">
        <f t="array" ref="T829">(_xlfn.SWITCH(Table1[[#This Row],[Product ID]],"P001",140,"P002",80,"P003",72,"P004",30,"P005",110,"P006",24,"P007",14,"P008",12,"P009",115,"P010",360))*Table1[[#This Row],[Quantity]]</f>
        <v>720</v>
      </c>
      <c r="U829" s="1" cm="1">
        <f t="array" ref="U829">_xlfn.SWITCH(Table1[[#This Row],[Product ID]],"P001",15,"P002",0,"P003",8,"P004",8,"P005",0,"P006",7,"P007",7,"P008",6,"P009",45,"P010",60)</f>
        <v>8</v>
      </c>
      <c r="V829" s="1">
        <f>Table1[[#This Row],[Shipping per Unit]]*Table1[[#This Row],[Quantity]]</f>
        <v>80</v>
      </c>
      <c r="W829" s="2">
        <f>IF(Table1[[#This Row],[Total Shipping]]&gt;0.1,0.2,0)</f>
        <v>0.2</v>
      </c>
      <c r="X829" s="4">
        <f>Table1[[#This Row],[Total Shipping]]*Table1[[#This Row],[VAT on Shipping]]</f>
        <v>16</v>
      </c>
      <c r="Y829" s="1">
        <f>Table1[[#This Row],[Revenue]]-Table1[[#This Row],[COGS]]</f>
        <v>515</v>
      </c>
      <c r="Z829" s="3">
        <f>(Table1[[#This Row],[Profit]]/Table1[[#This Row],[Revenue]])</f>
        <v>0.41700404858299595</v>
      </c>
      <c r="AA829" s="1">
        <f>Table1[[#This Row],[Profit]]-Table1[[#This Row],[Total Shipping]]</f>
        <v>435</v>
      </c>
      <c r="AB829" s="3">
        <f>Table1[[#This Row],[Operating Profit]]/Table1[[#This Row],[Revenue]]</f>
        <v>0.35222672064777327</v>
      </c>
    </row>
    <row r="830" spans="1:28" x14ac:dyDescent="0.25">
      <c r="A830" t="s">
        <v>367</v>
      </c>
      <c r="B830">
        <v>507</v>
      </c>
      <c r="C830" t="s">
        <v>65</v>
      </c>
      <c r="D830" t="s">
        <v>36</v>
      </c>
      <c r="E830" t="s">
        <v>49</v>
      </c>
      <c r="F830" t="s">
        <v>78</v>
      </c>
      <c r="G830" t="str" cm="1">
        <f t="array" ref="G830">_xlfn.SWITCH(F830,"Acme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30" t="s">
        <v>58</v>
      </c>
      <c r="I830" t="s">
        <v>42</v>
      </c>
      <c r="J830" t="str" cm="1">
        <f t="array" ref="J830">_xlfn.SWITCH(I830,"P001","Laptop","P002","Server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30" s="1" cm="1">
        <f t="array" ref="K830">_xlfn.SWITCH(Table1[[#This Row],[Product ID]],"P001",220,"P002",150,"P003",130,"P004",70,"P005",200,"P006",40,"P007",25,"P008",20,"P009",190,"P010",530)</f>
        <v>40</v>
      </c>
      <c r="L830">
        <v>16</v>
      </c>
      <c r="M830" s="1">
        <f>Table1[[#This Row],[Unit Price]]*Table1[[#This Row],[Quantity]]</f>
        <v>640</v>
      </c>
      <c r="N830" s="2">
        <v>0.02</v>
      </c>
      <c r="O830" s="1">
        <f>Table1[[#This Row],[Gross Value]]*(1-Table1[[#This Row],[Discount]])</f>
        <v>627.20000000000005</v>
      </c>
      <c r="P830" s="2">
        <v>0.2</v>
      </c>
      <c r="Q830" s="1">
        <f>Table1[[#This Row],[Revenue]]*Table1[[#This Row],[VAT Rate]]</f>
        <v>125.44000000000001</v>
      </c>
      <c r="R830" s="1">
        <f>Table1[[#This Row],[Revenue]]+Table1[[#This Row],[VAT Charged]]</f>
        <v>752.6400000000001</v>
      </c>
      <c r="S830" s="1" cm="1">
        <f t="array" ref="S830">_xlfn.SWITCH(Table1[[#This Row],[Product ID]],"P001",140,"P002",80,"P003",72,"P004",30,"P005",110,"P006",24,"P007",14,"P008",12,"P009",115,"P010",360)</f>
        <v>24</v>
      </c>
      <c r="T830" s="1" cm="1">
        <f t="array" ref="T830">(_xlfn.SWITCH(Table1[[#This Row],[Product ID]],"P001",140,"P002",80,"P003",72,"P004",30,"P005",110,"P006",24,"P007",14,"P008",12,"P009",115,"P010",360))*Table1[[#This Row],[Quantity]]</f>
        <v>384</v>
      </c>
      <c r="U830" s="1" cm="1">
        <f t="array" ref="U830">_xlfn.SWITCH(Table1[[#This Row],[Product ID]],"P001",15,"P002",0,"P003",8,"P004",8,"P005",0,"P006",7,"P007",7,"P008",6,"P009",45,"P010",60)</f>
        <v>7</v>
      </c>
      <c r="V830" s="1">
        <f>Table1[[#This Row],[Shipping per Unit]]*Table1[[#This Row],[Quantity]]</f>
        <v>112</v>
      </c>
      <c r="W830" s="2">
        <f>IF(Table1[[#This Row],[Total Shipping]]&gt;0.1,0.2,0)</f>
        <v>0.2</v>
      </c>
      <c r="X830" s="4">
        <f>Table1[[#This Row],[Total Shipping]]*Table1[[#This Row],[VAT on Shipping]]</f>
        <v>22.400000000000002</v>
      </c>
      <c r="Y830" s="1">
        <f>Table1[[#This Row],[Revenue]]-Table1[[#This Row],[COGS]]</f>
        <v>243.20000000000005</v>
      </c>
      <c r="Z830" s="3">
        <f>(Table1[[#This Row],[Profit]]/Table1[[#This Row],[Revenue]])</f>
        <v>0.38775510204081637</v>
      </c>
      <c r="AA830" s="1">
        <f>Table1[[#This Row],[Profit]]-Table1[[#This Row],[Total Shipping]]</f>
        <v>131.20000000000005</v>
      </c>
      <c r="AB830" s="3">
        <f>Table1[[#This Row],[Operating Profit]]/Table1[[#This Row],[Revenue]]</f>
        <v>0.20918367346938782</v>
      </c>
    </row>
    <row r="831" spans="1:28" x14ac:dyDescent="0.25">
      <c r="A831" t="s">
        <v>367</v>
      </c>
      <c r="B831">
        <v>543</v>
      </c>
      <c r="C831" t="s">
        <v>71</v>
      </c>
      <c r="D831" t="s">
        <v>48</v>
      </c>
      <c r="E831" t="s">
        <v>49</v>
      </c>
      <c r="F831" t="s">
        <v>102</v>
      </c>
      <c r="G831" t="str" cm="1">
        <f t="array" ref="G831">_xlfn.SWITCH(F831,"Acme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831" t="s">
        <v>51</v>
      </c>
      <c r="I831" t="s">
        <v>60</v>
      </c>
      <c r="J831" t="str" cm="1">
        <f t="array" ref="J831">_xlfn.SWITCH(I831,"P001","Laptop","P002","Server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831" s="1" cm="1">
        <f t="array" ref="K831">_xlfn.SWITCH(Table1[[#This Row],[Product ID]],"P001",220,"P002",150,"P003",130,"P004",70,"P005",200,"P006",40,"P007",25,"P008",20,"P009",190,"P010",530)</f>
        <v>25</v>
      </c>
      <c r="L831">
        <v>1</v>
      </c>
      <c r="M831" s="1">
        <f>Table1[[#This Row],[Unit Price]]*Table1[[#This Row],[Quantity]]</f>
        <v>25</v>
      </c>
      <c r="N831" s="2">
        <v>0.08</v>
      </c>
      <c r="O831" s="1">
        <f>Table1[[#This Row],[Gross Value]]*(1-Table1[[#This Row],[Discount]])</f>
        <v>23</v>
      </c>
      <c r="P831" s="2">
        <v>0.2</v>
      </c>
      <c r="Q831" s="1">
        <f>Table1[[#This Row],[Revenue]]*Table1[[#This Row],[VAT Rate]]</f>
        <v>4.6000000000000005</v>
      </c>
      <c r="R831" s="1">
        <f>Table1[[#This Row],[Revenue]]+Table1[[#This Row],[VAT Charged]]</f>
        <v>27.6</v>
      </c>
      <c r="S831" s="1" cm="1">
        <f t="array" ref="S831">_xlfn.SWITCH(Table1[[#This Row],[Product ID]],"P001",140,"P002",80,"P003",72,"P004",30,"P005",110,"P006",24,"P007",14,"P008",12,"P009",115,"P010",360)</f>
        <v>14</v>
      </c>
      <c r="T831" s="1" cm="1">
        <f t="array" ref="T831">(_xlfn.SWITCH(Table1[[#This Row],[Product ID]],"P001",140,"P002",80,"P003",72,"P004",30,"P005",110,"P006",24,"P007",14,"P008",12,"P009",115,"P010",360))*Table1[[#This Row],[Quantity]]</f>
        <v>14</v>
      </c>
      <c r="U831" s="1" cm="1">
        <f t="array" ref="U831">_xlfn.SWITCH(Table1[[#This Row],[Product ID]],"P001",15,"P002",0,"P003",8,"P004",8,"P005",0,"P006",7,"P007",7,"P008",6,"P009",45,"P010",60)</f>
        <v>7</v>
      </c>
      <c r="V831" s="1">
        <f>Table1[[#This Row],[Shipping per Unit]]*Table1[[#This Row],[Quantity]]</f>
        <v>7</v>
      </c>
      <c r="W831" s="2">
        <f>IF(Table1[[#This Row],[Total Shipping]]&gt;0.1,0.2,0)</f>
        <v>0.2</v>
      </c>
      <c r="X831" s="4">
        <f>Table1[[#This Row],[Total Shipping]]*Table1[[#This Row],[VAT on Shipping]]</f>
        <v>1.4000000000000001</v>
      </c>
      <c r="Y831" s="1">
        <f>Table1[[#This Row],[Revenue]]-Table1[[#This Row],[COGS]]</f>
        <v>9</v>
      </c>
      <c r="Z831" s="3">
        <f>(Table1[[#This Row],[Profit]]/Table1[[#This Row],[Revenue]])</f>
        <v>0.39130434782608697</v>
      </c>
      <c r="AA831" s="1">
        <f>Table1[[#This Row],[Profit]]-Table1[[#This Row],[Total Shipping]]</f>
        <v>2</v>
      </c>
      <c r="AB831" s="3">
        <f>Table1[[#This Row],[Operating Profit]]/Table1[[#This Row],[Revenue]]</f>
        <v>8.6956521739130432E-2</v>
      </c>
    </row>
    <row r="832" spans="1:28" x14ac:dyDescent="0.25">
      <c r="A832" t="s">
        <v>367</v>
      </c>
      <c r="B832">
        <v>648</v>
      </c>
      <c r="C832" t="s">
        <v>62</v>
      </c>
      <c r="D832" t="s">
        <v>63</v>
      </c>
      <c r="E832" t="s">
        <v>40</v>
      </c>
      <c r="F832" t="s">
        <v>78</v>
      </c>
      <c r="G832" t="str" cm="1">
        <f t="array" ref="G832">_xlfn.SWITCH(F832,"Acme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32" t="s">
        <v>33</v>
      </c>
      <c r="I832" t="s">
        <v>60</v>
      </c>
      <c r="J832" t="str" cm="1">
        <f t="array" ref="J832">_xlfn.SWITCH(I832,"P001","Laptop","P002","Server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832" s="1" cm="1">
        <f t="array" ref="K832">_xlfn.SWITCH(Table1[[#This Row],[Product ID]],"P001",220,"P002",150,"P003",130,"P004",70,"P005",200,"P006",40,"P007",25,"P008",20,"P009",190,"P010",530)</f>
        <v>25</v>
      </c>
      <c r="L832">
        <v>4</v>
      </c>
      <c r="M832" s="1">
        <f>Table1[[#This Row],[Unit Price]]*Table1[[#This Row],[Quantity]]</f>
        <v>100</v>
      </c>
      <c r="N832" s="2">
        <v>0.05</v>
      </c>
      <c r="O832" s="1">
        <f>Table1[[#This Row],[Gross Value]]*(1-Table1[[#This Row],[Discount]])</f>
        <v>95</v>
      </c>
      <c r="P832" s="2">
        <v>0.2</v>
      </c>
      <c r="Q832" s="1">
        <f>Table1[[#This Row],[Revenue]]*Table1[[#This Row],[VAT Rate]]</f>
        <v>19</v>
      </c>
      <c r="R832" s="1">
        <f>Table1[[#This Row],[Revenue]]+Table1[[#This Row],[VAT Charged]]</f>
        <v>114</v>
      </c>
      <c r="S832" s="1" cm="1">
        <f t="array" ref="S832">_xlfn.SWITCH(Table1[[#This Row],[Product ID]],"P001",140,"P002",80,"P003",72,"P004",30,"P005",110,"P006",24,"P007",14,"P008",12,"P009",115,"P010",360)</f>
        <v>14</v>
      </c>
      <c r="T832" s="1" cm="1">
        <f t="array" ref="T832">(_xlfn.SWITCH(Table1[[#This Row],[Product ID]],"P001",140,"P002",80,"P003",72,"P004",30,"P005",110,"P006",24,"P007",14,"P008",12,"P009",115,"P010",360))*Table1[[#This Row],[Quantity]]</f>
        <v>56</v>
      </c>
      <c r="U832" s="1" cm="1">
        <f t="array" ref="U832">_xlfn.SWITCH(Table1[[#This Row],[Product ID]],"P001",15,"P002",0,"P003",8,"P004",8,"P005",0,"P006",7,"P007",7,"P008",6,"P009",45,"P010",60)</f>
        <v>7</v>
      </c>
      <c r="V832" s="1">
        <f>Table1[[#This Row],[Shipping per Unit]]*Table1[[#This Row],[Quantity]]</f>
        <v>28</v>
      </c>
      <c r="W832" s="2">
        <f>IF(Table1[[#This Row],[Total Shipping]]&gt;0.1,0.2,0)</f>
        <v>0.2</v>
      </c>
      <c r="X832" s="4">
        <f>Table1[[#This Row],[Total Shipping]]*Table1[[#This Row],[VAT on Shipping]]</f>
        <v>5.6000000000000005</v>
      </c>
      <c r="Y832" s="1">
        <f>Table1[[#This Row],[Revenue]]-Table1[[#This Row],[COGS]]</f>
        <v>39</v>
      </c>
      <c r="Z832" s="3">
        <f>(Table1[[#This Row],[Profit]]/Table1[[#This Row],[Revenue]])</f>
        <v>0.41052631578947368</v>
      </c>
      <c r="AA832" s="1">
        <f>Table1[[#This Row],[Profit]]-Table1[[#This Row],[Total Shipping]]</f>
        <v>11</v>
      </c>
      <c r="AB832" s="3">
        <f>Table1[[#This Row],[Operating Profit]]/Table1[[#This Row],[Revenue]]</f>
        <v>0.11578947368421053</v>
      </c>
    </row>
    <row r="833" spans="1:28" x14ac:dyDescent="0.25">
      <c r="A833" t="s">
        <v>368</v>
      </c>
      <c r="B833">
        <v>36</v>
      </c>
      <c r="C833" t="s">
        <v>83</v>
      </c>
      <c r="D833" t="s">
        <v>72</v>
      </c>
      <c r="E833" t="s">
        <v>31</v>
      </c>
      <c r="F833" t="s">
        <v>86</v>
      </c>
      <c r="G833" t="str" cm="1">
        <f t="array" ref="G833">_xlfn.SWITCH(F833,"Acme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833" t="s">
        <v>33</v>
      </c>
      <c r="I833" t="s">
        <v>42</v>
      </c>
      <c r="J833" t="str" cm="1">
        <f t="array" ref="J833">_xlfn.SWITCH(I833,"P001","Laptop","P002","Server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33" s="1" cm="1">
        <f t="array" ref="K833">_xlfn.SWITCH(Table1[[#This Row],[Product ID]],"P001",220,"P002",150,"P003",130,"P004",70,"P005",200,"P006",40,"P007",25,"P008",20,"P009",190,"P010",530)</f>
        <v>40</v>
      </c>
      <c r="L833">
        <v>16</v>
      </c>
      <c r="M833" s="1">
        <f>Table1[[#This Row],[Unit Price]]*Table1[[#This Row],[Quantity]]</f>
        <v>640</v>
      </c>
      <c r="N833" s="2">
        <v>0.12</v>
      </c>
      <c r="O833" s="1">
        <f>Table1[[#This Row],[Gross Value]]*(1-Table1[[#This Row],[Discount]])</f>
        <v>563.20000000000005</v>
      </c>
      <c r="P833" s="2">
        <v>0.2</v>
      </c>
      <c r="Q833" s="1">
        <f>Table1[[#This Row],[Revenue]]*Table1[[#This Row],[VAT Rate]]</f>
        <v>112.64000000000001</v>
      </c>
      <c r="R833" s="1">
        <f>Table1[[#This Row],[Revenue]]+Table1[[#This Row],[VAT Charged]]</f>
        <v>675.84</v>
      </c>
      <c r="S833" s="1" cm="1">
        <f t="array" ref="S833">_xlfn.SWITCH(Table1[[#This Row],[Product ID]],"P001",140,"P002",80,"P003",72,"P004",30,"P005",110,"P006",24,"P007",14,"P008",12,"P009",115,"P010",360)</f>
        <v>24</v>
      </c>
      <c r="T833" s="1" cm="1">
        <f t="array" ref="T833">(_xlfn.SWITCH(Table1[[#This Row],[Product ID]],"P001",140,"P002",80,"P003",72,"P004",30,"P005",110,"P006",24,"P007",14,"P008",12,"P009",115,"P010",360))*Table1[[#This Row],[Quantity]]</f>
        <v>384</v>
      </c>
      <c r="U833" s="1" cm="1">
        <f t="array" ref="U833">_xlfn.SWITCH(Table1[[#This Row],[Product ID]],"P001",15,"P002",0,"P003",8,"P004",8,"P005",0,"P006",7,"P007",7,"P008",6,"P009",45,"P010",60)</f>
        <v>7</v>
      </c>
      <c r="V833" s="1">
        <f>Table1[[#This Row],[Shipping per Unit]]*Table1[[#This Row],[Quantity]]</f>
        <v>112</v>
      </c>
      <c r="W833" s="2">
        <f>IF(Table1[[#This Row],[Total Shipping]]&gt;0.1,0.2,0)</f>
        <v>0.2</v>
      </c>
      <c r="X833" s="4">
        <f>Table1[[#This Row],[Total Shipping]]*Table1[[#This Row],[VAT on Shipping]]</f>
        <v>22.400000000000002</v>
      </c>
      <c r="Y833" s="1">
        <f>Table1[[#This Row],[Revenue]]-Table1[[#This Row],[COGS]]</f>
        <v>179.20000000000005</v>
      </c>
      <c r="Z833" s="3">
        <f>(Table1[[#This Row],[Profit]]/Table1[[#This Row],[Revenue]])</f>
        <v>0.31818181818181823</v>
      </c>
      <c r="AA833" s="1">
        <f>Table1[[#This Row],[Profit]]-Table1[[#This Row],[Total Shipping]]</f>
        <v>67.200000000000045</v>
      </c>
      <c r="AB833" s="3">
        <f>Table1[[#This Row],[Operating Profit]]/Table1[[#This Row],[Revenue]]</f>
        <v>0.11931818181818189</v>
      </c>
    </row>
    <row r="834" spans="1:28" x14ac:dyDescent="0.25">
      <c r="A834" t="s">
        <v>368</v>
      </c>
      <c r="B834">
        <v>61</v>
      </c>
      <c r="C834" t="s">
        <v>83</v>
      </c>
      <c r="D834" t="s">
        <v>30</v>
      </c>
      <c r="E834" t="s">
        <v>40</v>
      </c>
      <c r="F834" t="s">
        <v>59</v>
      </c>
      <c r="G834" t="str" cm="1">
        <f t="array" ref="G834">_xlfn.SWITCH(F834,"Acme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834" t="s">
        <v>33</v>
      </c>
      <c r="I834" t="s">
        <v>75</v>
      </c>
      <c r="J834" t="str" cm="1">
        <f t="array" ref="J834">_xlfn.SWITCH(I834,"P001","Laptop","P002","Server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834" s="1" cm="1">
        <f t="array" ref="K834">_xlfn.SWITCH(Table1[[#This Row],[Product ID]],"P001",220,"P002",150,"P003",130,"P004",70,"P005",200,"P006",40,"P007",25,"P008",20,"P009",190,"P010",530)</f>
        <v>200</v>
      </c>
      <c r="L834">
        <v>12</v>
      </c>
      <c r="M834" s="1">
        <f>Table1[[#This Row],[Unit Price]]*Table1[[#This Row],[Quantity]]</f>
        <v>2400</v>
      </c>
      <c r="N834" s="2">
        <v>0.06</v>
      </c>
      <c r="O834" s="1">
        <f>Table1[[#This Row],[Gross Value]]*(1-Table1[[#This Row],[Discount]])</f>
        <v>2256</v>
      </c>
      <c r="P834" s="2">
        <v>0.2</v>
      </c>
      <c r="Q834" s="1">
        <f>Table1[[#This Row],[Revenue]]*Table1[[#This Row],[VAT Rate]]</f>
        <v>451.20000000000005</v>
      </c>
      <c r="R834" s="1">
        <f>Table1[[#This Row],[Revenue]]+Table1[[#This Row],[VAT Charged]]</f>
        <v>2707.2</v>
      </c>
      <c r="S834" s="1" cm="1">
        <f t="array" ref="S834">_xlfn.SWITCH(Table1[[#This Row],[Product ID]],"P001",140,"P002",80,"P003",72,"P004",30,"P005",110,"P006",24,"P007",14,"P008",12,"P009",115,"P010",360)</f>
        <v>110</v>
      </c>
      <c r="T834" s="1" cm="1">
        <f t="array" ref="T834">(_xlfn.SWITCH(Table1[[#This Row],[Product ID]],"P001",140,"P002",80,"P003",72,"P004",30,"P005",110,"P006",24,"P007",14,"P008",12,"P009",115,"P010",360))*Table1[[#This Row],[Quantity]]</f>
        <v>1320</v>
      </c>
      <c r="U834" s="1" cm="1">
        <f t="array" ref="U834">_xlfn.SWITCH(Table1[[#This Row],[Product ID]],"P001",15,"P002",0,"P003",8,"P004",8,"P005",0,"P006",7,"P007",7,"P008",6,"P009",45,"P010",60)</f>
        <v>0</v>
      </c>
      <c r="V834" s="1">
        <f>Table1[[#This Row],[Shipping per Unit]]*Table1[[#This Row],[Quantity]]</f>
        <v>0</v>
      </c>
      <c r="W834" s="2">
        <f>IF(Table1[[#This Row],[Total Shipping]]&gt;0.1,0.2,0)</f>
        <v>0</v>
      </c>
      <c r="X834" s="4">
        <f>Table1[[#This Row],[Total Shipping]]*Table1[[#This Row],[VAT on Shipping]]</f>
        <v>0</v>
      </c>
      <c r="Y834" s="1">
        <f>Table1[[#This Row],[Revenue]]-Table1[[#This Row],[COGS]]</f>
        <v>936</v>
      </c>
      <c r="Z834" s="3">
        <f>(Table1[[#This Row],[Profit]]/Table1[[#This Row],[Revenue]])</f>
        <v>0.41489361702127658</v>
      </c>
      <c r="AA834" s="1">
        <f>Table1[[#This Row],[Profit]]-Table1[[#This Row],[Total Shipping]]</f>
        <v>936</v>
      </c>
      <c r="AB834" s="3">
        <f>Table1[[#This Row],[Operating Profit]]/Table1[[#This Row],[Revenue]]</f>
        <v>0.41489361702127658</v>
      </c>
    </row>
    <row r="835" spans="1:28" x14ac:dyDescent="0.25">
      <c r="A835" t="s">
        <v>368</v>
      </c>
      <c r="B835">
        <v>117</v>
      </c>
      <c r="C835" t="s">
        <v>35</v>
      </c>
      <c r="D835" t="s">
        <v>72</v>
      </c>
      <c r="E835" t="s">
        <v>49</v>
      </c>
      <c r="F835" t="s">
        <v>76</v>
      </c>
      <c r="G835" t="str" cm="1">
        <f t="array" ref="G835">_xlfn.SWITCH(F835,"Acme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835" t="s">
        <v>51</v>
      </c>
      <c r="I835" t="s">
        <v>46</v>
      </c>
      <c r="J835" t="str" cm="1">
        <f t="array" ref="J835">_xlfn.SWITCH(I835,"P001","Laptop","P002","Server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835" s="1" cm="1">
        <f t="array" ref="K835">_xlfn.SWITCH(Table1[[#This Row],[Product ID]],"P001",220,"P002",150,"P003",130,"P004",70,"P005",200,"P006",40,"P007",25,"P008",20,"P009",190,"P010",530)</f>
        <v>530</v>
      </c>
      <c r="L835">
        <v>13</v>
      </c>
      <c r="M835" s="1">
        <f>Table1[[#This Row],[Unit Price]]*Table1[[#This Row],[Quantity]]</f>
        <v>6890</v>
      </c>
      <c r="N835" s="2">
        <v>0.02</v>
      </c>
      <c r="O835" s="1">
        <f>Table1[[#This Row],[Gross Value]]*(1-Table1[[#This Row],[Discount]])</f>
        <v>6752.2</v>
      </c>
      <c r="P835" s="2">
        <v>0.2</v>
      </c>
      <c r="Q835" s="1">
        <f>Table1[[#This Row],[Revenue]]*Table1[[#This Row],[VAT Rate]]</f>
        <v>1350.44</v>
      </c>
      <c r="R835" s="1">
        <f>Table1[[#This Row],[Revenue]]+Table1[[#This Row],[VAT Charged]]</f>
        <v>8102.6399999999994</v>
      </c>
      <c r="S835" s="1" cm="1">
        <f t="array" ref="S835">_xlfn.SWITCH(Table1[[#This Row],[Product ID]],"P001",140,"P002",80,"P003",72,"P004",30,"P005",110,"P006",24,"P007",14,"P008",12,"P009",115,"P010",360)</f>
        <v>360</v>
      </c>
      <c r="T835" s="1" cm="1">
        <f t="array" ref="T835">(_xlfn.SWITCH(Table1[[#This Row],[Product ID]],"P001",140,"P002",80,"P003",72,"P004",30,"P005",110,"P006",24,"P007",14,"P008",12,"P009",115,"P010",360))*Table1[[#This Row],[Quantity]]</f>
        <v>4680</v>
      </c>
      <c r="U835" s="1" cm="1">
        <f t="array" ref="U835">_xlfn.SWITCH(Table1[[#This Row],[Product ID]],"P001",15,"P002",0,"P003",8,"P004",8,"P005",0,"P006",7,"P007",7,"P008",6,"P009",45,"P010",60)</f>
        <v>60</v>
      </c>
      <c r="V835" s="1">
        <f>Table1[[#This Row],[Shipping per Unit]]*Table1[[#This Row],[Quantity]]</f>
        <v>780</v>
      </c>
      <c r="W835" s="2">
        <f>IF(Table1[[#This Row],[Total Shipping]]&gt;0.1,0.2,0)</f>
        <v>0.2</v>
      </c>
      <c r="X835" s="4">
        <f>Table1[[#This Row],[Total Shipping]]*Table1[[#This Row],[VAT on Shipping]]</f>
        <v>156</v>
      </c>
      <c r="Y835" s="1">
        <f>Table1[[#This Row],[Revenue]]-Table1[[#This Row],[COGS]]</f>
        <v>2072.1999999999998</v>
      </c>
      <c r="Z835" s="3">
        <f>(Table1[[#This Row],[Profit]]/Table1[[#This Row],[Revenue]])</f>
        <v>0.30689256834809392</v>
      </c>
      <c r="AA835" s="1">
        <f>Table1[[#This Row],[Profit]]-Table1[[#This Row],[Total Shipping]]</f>
        <v>1292.1999999999998</v>
      </c>
      <c r="AB835" s="3">
        <f>Table1[[#This Row],[Operating Profit]]/Table1[[#This Row],[Revenue]]</f>
        <v>0.19137466307277626</v>
      </c>
    </row>
    <row r="836" spans="1:28" x14ac:dyDescent="0.25">
      <c r="A836" t="s">
        <v>368</v>
      </c>
      <c r="B836">
        <v>382</v>
      </c>
      <c r="C836" t="s">
        <v>38</v>
      </c>
      <c r="D836" t="s">
        <v>36</v>
      </c>
      <c r="E836" t="s">
        <v>49</v>
      </c>
      <c r="F836" t="s">
        <v>74</v>
      </c>
      <c r="G836" t="str" cm="1">
        <f t="array" ref="G836">_xlfn.SWITCH(F836,"Acme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836" t="s">
        <v>33</v>
      </c>
      <c r="I836" t="s">
        <v>68</v>
      </c>
      <c r="J836" t="str" cm="1">
        <f t="array" ref="J836">_xlfn.SWITCH(I836,"P001","Laptop","P002","Server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36" s="1" cm="1">
        <f t="array" ref="K836">_xlfn.SWITCH(Table1[[#This Row],[Product ID]],"P001",220,"P002",150,"P003",130,"P004",70,"P005",200,"P006",40,"P007",25,"P008",20,"P009",190,"P010",530)</f>
        <v>220</v>
      </c>
      <c r="L836">
        <v>10</v>
      </c>
      <c r="M836" s="1">
        <f>Table1[[#This Row],[Unit Price]]*Table1[[#This Row],[Quantity]]</f>
        <v>2200</v>
      </c>
      <c r="N836" s="2">
        <v>0.03</v>
      </c>
      <c r="O836" s="1">
        <f>Table1[[#This Row],[Gross Value]]*(1-Table1[[#This Row],[Discount]])</f>
        <v>2134</v>
      </c>
      <c r="P836" s="2">
        <v>0.2</v>
      </c>
      <c r="Q836" s="1">
        <f>Table1[[#This Row],[Revenue]]*Table1[[#This Row],[VAT Rate]]</f>
        <v>426.8</v>
      </c>
      <c r="R836" s="1">
        <f>Table1[[#This Row],[Revenue]]+Table1[[#This Row],[VAT Charged]]</f>
        <v>2560.8000000000002</v>
      </c>
      <c r="S836" s="1" cm="1">
        <f t="array" ref="S836">_xlfn.SWITCH(Table1[[#This Row],[Product ID]],"P001",140,"P002",80,"P003",72,"P004",30,"P005",110,"P006",24,"P007",14,"P008",12,"P009",115,"P010",360)</f>
        <v>140</v>
      </c>
      <c r="T836" s="1" cm="1">
        <f t="array" ref="T836">(_xlfn.SWITCH(Table1[[#This Row],[Product ID]],"P001",140,"P002",80,"P003",72,"P004",30,"P005",110,"P006",24,"P007",14,"P008",12,"P009",115,"P010",360))*Table1[[#This Row],[Quantity]]</f>
        <v>1400</v>
      </c>
      <c r="U836" s="1" cm="1">
        <f t="array" ref="U836">_xlfn.SWITCH(Table1[[#This Row],[Product ID]],"P001",15,"P002",0,"P003",8,"P004",8,"P005",0,"P006",7,"P007",7,"P008",6,"P009",45,"P010",60)</f>
        <v>15</v>
      </c>
      <c r="V836" s="1">
        <f>Table1[[#This Row],[Shipping per Unit]]*Table1[[#This Row],[Quantity]]</f>
        <v>150</v>
      </c>
      <c r="W836" s="2">
        <f>IF(Table1[[#This Row],[Total Shipping]]&gt;0.1,0.2,0)</f>
        <v>0.2</v>
      </c>
      <c r="X836" s="4">
        <f>Table1[[#This Row],[Total Shipping]]*Table1[[#This Row],[VAT on Shipping]]</f>
        <v>30</v>
      </c>
      <c r="Y836" s="1">
        <f>Table1[[#This Row],[Revenue]]-Table1[[#This Row],[COGS]]</f>
        <v>734</v>
      </c>
      <c r="Z836" s="3">
        <f>(Table1[[#This Row],[Profit]]/Table1[[#This Row],[Revenue]])</f>
        <v>0.34395501405810686</v>
      </c>
      <c r="AA836" s="1">
        <f>Table1[[#This Row],[Profit]]-Table1[[#This Row],[Total Shipping]]</f>
        <v>584</v>
      </c>
      <c r="AB836" s="3">
        <f>Table1[[#This Row],[Operating Profit]]/Table1[[#This Row],[Revenue]]</f>
        <v>0.27366447985004688</v>
      </c>
    </row>
    <row r="837" spans="1:28" x14ac:dyDescent="0.25">
      <c r="A837" t="s">
        <v>368</v>
      </c>
      <c r="B837">
        <v>716</v>
      </c>
      <c r="C837" t="s">
        <v>83</v>
      </c>
      <c r="D837" t="s">
        <v>57</v>
      </c>
      <c r="E837" t="s">
        <v>40</v>
      </c>
      <c r="F837" t="s">
        <v>44</v>
      </c>
      <c r="G837" t="str" cm="1">
        <f t="array" ref="G837">_xlfn.SWITCH(F837,"Acme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837" t="s">
        <v>45</v>
      </c>
      <c r="I837" t="s">
        <v>55</v>
      </c>
      <c r="J837" t="str" cm="1">
        <f t="array" ref="J837">_xlfn.SWITCH(I837,"P001","Laptop","P002","Server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37" s="1" cm="1">
        <f t="array" ref="K837">_xlfn.SWITCH(Table1[[#This Row],[Product ID]],"P001",220,"P002",150,"P003",130,"P004",70,"P005",200,"P006",40,"P007",25,"P008",20,"P009",190,"P010",530)</f>
        <v>70</v>
      </c>
      <c r="L837">
        <v>8</v>
      </c>
      <c r="M837" s="1">
        <f>Table1[[#This Row],[Unit Price]]*Table1[[#This Row],[Quantity]]</f>
        <v>560</v>
      </c>
      <c r="N837" s="2">
        <v>0.05</v>
      </c>
      <c r="O837" s="1">
        <f>Table1[[#This Row],[Gross Value]]*(1-Table1[[#This Row],[Discount]])</f>
        <v>532</v>
      </c>
      <c r="P837" s="2">
        <v>0.2</v>
      </c>
      <c r="Q837" s="1">
        <f>Table1[[#This Row],[Revenue]]*Table1[[#This Row],[VAT Rate]]</f>
        <v>106.4</v>
      </c>
      <c r="R837" s="1">
        <f>Table1[[#This Row],[Revenue]]+Table1[[#This Row],[VAT Charged]]</f>
        <v>638.4</v>
      </c>
      <c r="S837" s="1" cm="1">
        <f t="array" ref="S837">_xlfn.SWITCH(Table1[[#This Row],[Product ID]],"P001",140,"P002",80,"P003",72,"P004",30,"P005",110,"P006",24,"P007",14,"P008",12,"P009",115,"P010",360)</f>
        <v>30</v>
      </c>
      <c r="T837" s="1" cm="1">
        <f t="array" ref="T837">(_xlfn.SWITCH(Table1[[#This Row],[Product ID]],"P001",140,"P002",80,"P003",72,"P004",30,"P005",110,"P006",24,"P007",14,"P008",12,"P009",115,"P010",360))*Table1[[#This Row],[Quantity]]</f>
        <v>240</v>
      </c>
      <c r="U837" s="1" cm="1">
        <f t="array" ref="U837">_xlfn.SWITCH(Table1[[#This Row],[Product ID]],"P001",15,"P002",0,"P003",8,"P004",8,"P005",0,"P006",7,"P007",7,"P008",6,"P009",45,"P010",60)</f>
        <v>8</v>
      </c>
      <c r="V837" s="1">
        <f>Table1[[#This Row],[Shipping per Unit]]*Table1[[#This Row],[Quantity]]</f>
        <v>64</v>
      </c>
      <c r="W837" s="2">
        <f>IF(Table1[[#This Row],[Total Shipping]]&gt;0.1,0.2,0)</f>
        <v>0.2</v>
      </c>
      <c r="X837" s="4">
        <f>Table1[[#This Row],[Total Shipping]]*Table1[[#This Row],[VAT on Shipping]]</f>
        <v>12.8</v>
      </c>
      <c r="Y837" s="1">
        <f>Table1[[#This Row],[Revenue]]-Table1[[#This Row],[COGS]]</f>
        <v>292</v>
      </c>
      <c r="Z837" s="3">
        <f>(Table1[[#This Row],[Profit]]/Table1[[#This Row],[Revenue]])</f>
        <v>0.54887218045112784</v>
      </c>
      <c r="AA837" s="1">
        <f>Table1[[#This Row],[Profit]]-Table1[[#This Row],[Total Shipping]]</f>
        <v>228</v>
      </c>
      <c r="AB837" s="3">
        <f>Table1[[#This Row],[Operating Profit]]/Table1[[#This Row],[Revenue]]</f>
        <v>0.42857142857142855</v>
      </c>
    </row>
    <row r="838" spans="1:28" x14ac:dyDescent="0.25">
      <c r="A838" t="s">
        <v>368</v>
      </c>
      <c r="B838">
        <v>786</v>
      </c>
      <c r="C838" t="s">
        <v>71</v>
      </c>
      <c r="D838" t="s">
        <v>30</v>
      </c>
      <c r="E838" t="s">
        <v>49</v>
      </c>
      <c r="F838" t="s">
        <v>37</v>
      </c>
      <c r="G838" t="str" cm="1">
        <f t="array" ref="G838">_xlfn.SWITCH(F838,"Acme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838" t="s">
        <v>45</v>
      </c>
      <c r="I838" t="s">
        <v>34</v>
      </c>
      <c r="J838" t="str" cm="1">
        <f t="array" ref="J838">_xlfn.SWITCH(I838,"P001","Laptop","P002","Server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38" s="1" cm="1">
        <f t="array" ref="K838">_xlfn.SWITCH(Table1[[#This Row],[Product ID]],"P001",220,"P002",150,"P003",130,"P004",70,"P005",200,"P006",40,"P007",25,"P008",20,"P009",190,"P010",530)</f>
        <v>20</v>
      </c>
      <c r="L838">
        <v>8</v>
      </c>
      <c r="M838" s="1">
        <f>Table1[[#This Row],[Unit Price]]*Table1[[#This Row],[Quantity]]</f>
        <v>160</v>
      </c>
      <c r="N838" s="2">
        <v>0.02</v>
      </c>
      <c r="O838" s="1">
        <f>Table1[[#This Row],[Gross Value]]*(1-Table1[[#This Row],[Discount]])</f>
        <v>156.80000000000001</v>
      </c>
      <c r="P838" s="2">
        <v>0.2</v>
      </c>
      <c r="Q838" s="1">
        <f>Table1[[#This Row],[Revenue]]*Table1[[#This Row],[VAT Rate]]</f>
        <v>31.360000000000003</v>
      </c>
      <c r="R838" s="1">
        <f>Table1[[#This Row],[Revenue]]+Table1[[#This Row],[VAT Charged]]</f>
        <v>188.16000000000003</v>
      </c>
      <c r="S838" s="1" cm="1">
        <f t="array" ref="S838">_xlfn.SWITCH(Table1[[#This Row],[Product ID]],"P001",140,"P002",80,"P003",72,"P004",30,"P005",110,"P006",24,"P007",14,"P008",12,"P009",115,"P010",360)</f>
        <v>12</v>
      </c>
      <c r="T838" s="1" cm="1">
        <f t="array" ref="T838">(_xlfn.SWITCH(Table1[[#This Row],[Product ID]],"P001",140,"P002",80,"P003",72,"P004",30,"P005",110,"P006",24,"P007",14,"P008",12,"P009",115,"P010",360))*Table1[[#This Row],[Quantity]]</f>
        <v>96</v>
      </c>
      <c r="U838" s="1" cm="1">
        <f t="array" ref="U838">_xlfn.SWITCH(Table1[[#This Row],[Product ID]],"P001",15,"P002",0,"P003",8,"P004",8,"P005",0,"P006",7,"P007",7,"P008",6,"P009",45,"P010",60)</f>
        <v>6</v>
      </c>
      <c r="V838" s="1">
        <f>Table1[[#This Row],[Shipping per Unit]]*Table1[[#This Row],[Quantity]]</f>
        <v>48</v>
      </c>
      <c r="W838" s="2">
        <f>IF(Table1[[#This Row],[Total Shipping]]&gt;0.1,0.2,0)</f>
        <v>0.2</v>
      </c>
      <c r="X838" s="4">
        <f>Table1[[#This Row],[Total Shipping]]*Table1[[#This Row],[VAT on Shipping]]</f>
        <v>9.6000000000000014</v>
      </c>
      <c r="Y838" s="1">
        <f>Table1[[#This Row],[Revenue]]-Table1[[#This Row],[COGS]]</f>
        <v>60.800000000000011</v>
      </c>
      <c r="Z838" s="3">
        <f>(Table1[[#This Row],[Profit]]/Table1[[#This Row],[Revenue]])</f>
        <v>0.38775510204081637</v>
      </c>
      <c r="AA838" s="1">
        <f>Table1[[#This Row],[Profit]]-Table1[[#This Row],[Total Shipping]]</f>
        <v>12.800000000000011</v>
      </c>
      <c r="AB838" s="3">
        <f>Table1[[#This Row],[Operating Profit]]/Table1[[#This Row],[Revenue]]</f>
        <v>8.1632653061224553E-2</v>
      </c>
    </row>
    <row r="839" spans="1:28" x14ac:dyDescent="0.25">
      <c r="A839" t="s">
        <v>368</v>
      </c>
      <c r="B839">
        <v>843</v>
      </c>
      <c r="C839" t="s">
        <v>83</v>
      </c>
      <c r="D839" t="s">
        <v>63</v>
      </c>
      <c r="E839" t="s">
        <v>40</v>
      </c>
      <c r="F839" t="s">
        <v>76</v>
      </c>
      <c r="G839" t="str" cm="1">
        <f t="array" ref="G839">_xlfn.SWITCH(F839,"Acme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839" t="s">
        <v>58</v>
      </c>
      <c r="I839" t="s">
        <v>55</v>
      </c>
      <c r="J839" t="str" cm="1">
        <f t="array" ref="J839">_xlfn.SWITCH(I839,"P001","Laptop","P002","Server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39" s="1" cm="1">
        <f t="array" ref="K839">_xlfn.SWITCH(Table1[[#This Row],[Product ID]],"P001",220,"P002",150,"P003",130,"P004",70,"P005",200,"P006",40,"P007",25,"P008",20,"P009",190,"P010",530)</f>
        <v>70</v>
      </c>
      <c r="L839">
        <v>9</v>
      </c>
      <c r="M839" s="1">
        <f>Table1[[#This Row],[Unit Price]]*Table1[[#This Row],[Quantity]]</f>
        <v>630</v>
      </c>
      <c r="N839" s="2">
        <v>0.08</v>
      </c>
      <c r="O839" s="1">
        <f>Table1[[#This Row],[Gross Value]]*(1-Table1[[#This Row],[Discount]])</f>
        <v>579.6</v>
      </c>
      <c r="P839" s="2">
        <v>0.2</v>
      </c>
      <c r="Q839" s="1">
        <f>Table1[[#This Row],[Revenue]]*Table1[[#This Row],[VAT Rate]]</f>
        <v>115.92000000000002</v>
      </c>
      <c r="R839" s="1">
        <f>Table1[[#This Row],[Revenue]]+Table1[[#This Row],[VAT Charged]]</f>
        <v>695.52</v>
      </c>
      <c r="S839" s="1" cm="1">
        <f t="array" ref="S839">_xlfn.SWITCH(Table1[[#This Row],[Product ID]],"P001",140,"P002",80,"P003",72,"P004",30,"P005",110,"P006",24,"P007",14,"P008",12,"P009",115,"P010",360)</f>
        <v>30</v>
      </c>
      <c r="T839" s="1" cm="1">
        <f t="array" ref="T839">(_xlfn.SWITCH(Table1[[#This Row],[Product ID]],"P001",140,"P002",80,"P003",72,"P004",30,"P005",110,"P006",24,"P007",14,"P008",12,"P009",115,"P010",360))*Table1[[#This Row],[Quantity]]</f>
        <v>270</v>
      </c>
      <c r="U839" s="1" cm="1">
        <f t="array" ref="U839">_xlfn.SWITCH(Table1[[#This Row],[Product ID]],"P001",15,"P002",0,"P003",8,"P004",8,"P005",0,"P006",7,"P007",7,"P008",6,"P009",45,"P010",60)</f>
        <v>8</v>
      </c>
      <c r="V839" s="1">
        <f>Table1[[#This Row],[Shipping per Unit]]*Table1[[#This Row],[Quantity]]</f>
        <v>72</v>
      </c>
      <c r="W839" s="2">
        <f>IF(Table1[[#This Row],[Total Shipping]]&gt;0.1,0.2,0)</f>
        <v>0.2</v>
      </c>
      <c r="X839" s="4">
        <f>Table1[[#This Row],[Total Shipping]]*Table1[[#This Row],[VAT on Shipping]]</f>
        <v>14.4</v>
      </c>
      <c r="Y839" s="1">
        <f>Table1[[#This Row],[Revenue]]-Table1[[#This Row],[COGS]]</f>
        <v>309.60000000000002</v>
      </c>
      <c r="Z839" s="3">
        <f>(Table1[[#This Row],[Profit]]/Table1[[#This Row],[Revenue]])</f>
        <v>0.53416149068322982</v>
      </c>
      <c r="AA839" s="1">
        <f>Table1[[#This Row],[Profit]]-Table1[[#This Row],[Total Shipping]]</f>
        <v>237.60000000000002</v>
      </c>
      <c r="AB839" s="3">
        <f>Table1[[#This Row],[Operating Profit]]/Table1[[#This Row],[Revenue]]</f>
        <v>0.40993788819875776</v>
      </c>
    </row>
    <row r="840" spans="1:28" x14ac:dyDescent="0.25">
      <c r="A840" t="s">
        <v>368</v>
      </c>
      <c r="B840">
        <v>852</v>
      </c>
      <c r="C840" t="s">
        <v>62</v>
      </c>
      <c r="D840" t="s">
        <v>57</v>
      </c>
      <c r="E840" t="s">
        <v>31</v>
      </c>
      <c r="F840" t="s">
        <v>78</v>
      </c>
      <c r="G840" t="str" cm="1">
        <f t="array" ref="G840">_xlfn.SWITCH(F840,"Acme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40" t="s">
        <v>33</v>
      </c>
      <c r="I840" t="s">
        <v>91</v>
      </c>
      <c r="J840" t="str" cm="1">
        <f t="array" ref="J840">_xlfn.SWITCH(I840,"P001","Laptop","P002","Server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840" s="1" cm="1">
        <f t="array" ref="K840">_xlfn.SWITCH(Table1[[#This Row],[Product ID]],"P001",220,"P002",150,"P003",130,"P004",70,"P005",200,"P006",40,"P007",25,"P008",20,"P009",190,"P010",530)</f>
        <v>190</v>
      </c>
      <c r="L840">
        <v>5</v>
      </c>
      <c r="M840" s="1">
        <f>Table1[[#This Row],[Unit Price]]*Table1[[#This Row],[Quantity]]</f>
        <v>950</v>
      </c>
      <c r="N840" s="2">
        <v>7.0000000000000007E-2</v>
      </c>
      <c r="O840" s="1">
        <f>Table1[[#This Row],[Gross Value]]*(1-Table1[[#This Row],[Discount]])</f>
        <v>883.49999999999989</v>
      </c>
      <c r="P840" s="2">
        <v>0.2</v>
      </c>
      <c r="Q840" s="1">
        <f>Table1[[#This Row],[Revenue]]*Table1[[#This Row],[VAT Rate]]</f>
        <v>176.7</v>
      </c>
      <c r="R840" s="1">
        <f>Table1[[#This Row],[Revenue]]+Table1[[#This Row],[VAT Charged]]</f>
        <v>1060.1999999999998</v>
      </c>
      <c r="S840" s="1" cm="1">
        <f t="array" ref="S840">_xlfn.SWITCH(Table1[[#This Row],[Product ID]],"P001",140,"P002",80,"P003",72,"P004",30,"P005",110,"P006",24,"P007",14,"P008",12,"P009",115,"P010",360)</f>
        <v>115</v>
      </c>
      <c r="T840" s="1" cm="1">
        <f t="array" ref="T840">(_xlfn.SWITCH(Table1[[#This Row],[Product ID]],"P001",140,"P002",80,"P003",72,"P004",30,"P005",110,"P006",24,"P007",14,"P008",12,"P009",115,"P010",360))*Table1[[#This Row],[Quantity]]</f>
        <v>575</v>
      </c>
      <c r="U840" s="1" cm="1">
        <f t="array" ref="U840">_xlfn.SWITCH(Table1[[#This Row],[Product ID]],"P001",15,"P002",0,"P003",8,"P004",8,"P005",0,"P006",7,"P007",7,"P008",6,"P009",45,"P010",60)</f>
        <v>45</v>
      </c>
      <c r="V840" s="1">
        <f>Table1[[#This Row],[Shipping per Unit]]*Table1[[#This Row],[Quantity]]</f>
        <v>225</v>
      </c>
      <c r="W840" s="2">
        <f>IF(Table1[[#This Row],[Total Shipping]]&gt;0.1,0.2,0)</f>
        <v>0.2</v>
      </c>
      <c r="X840" s="4">
        <f>Table1[[#This Row],[Total Shipping]]*Table1[[#This Row],[VAT on Shipping]]</f>
        <v>45</v>
      </c>
      <c r="Y840" s="1">
        <f>Table1[[#This Row],[Revenue]]-Table1[[#This Row],[COGS]]</f>
        <v>308.49999999999989</v>
      </c>
      <c r="Z840" s="3">
        <f>(Table1[[#This Row],[Profit]]/Table1[[#This Row],[Revenue]])</f>
        <v>0.3491794001131861</v>
      </c>
      <c r="AA840" s="1">
        <f>Table1[[#This Row],[Profit]]-Table1[[#This Row],[Total Shipping]]</f>
        <v>83.499999999999886</v>
      </c>
      <c r="AB840" s="3">
        <f>Table1[[#This Row],[Operating Profit]]/Table1[[#This Row],[Revenue]]</f>
        <v>9.451046972269371E-2</v>
      </c>
    </row>
    <row r="841" spans="1:28" x14ac:dyDescent="0.25">
      <c r="A841" t="s">
        <v>368</v>
      </c>
      <c r="B841">
        <v>962</v>
      </c>
      <c r="C841" t="s">
        <v>71</v>
      </c>
      <c r="D841" t="s">
        <v>36</v>
      </c>
      <c r="E841" t="s">
        <v>40</v>
      </c>
      <c r="F841" t="s">
        <v>50</v>
      </c>
      <c r="G841" t="str" cm="1">
        <f t="array" ref="G841">_xlfn.SWITCH(F841,"Acme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841" t="s">
        <v>45</v>
      </c>
      <c r="I841" t="s">
        <v>42</v>
      </c>
      <c r="J841" t="str" cm="1">
        <f t="array" ref="J841">_xlfn.SWITCH(I841,"P001","Laptop","P002","Server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41" s="1" cm="1">
        <f t="array" ref="K841">_xlfn.SWITCH(Table1[[#This Row],[Product ID]],"P001",220,"P002",150,"P003",130,"P004",70,"P005",200,"P006",40,"P007",25,"P008",20,"P009",190,"P010",530)</f>
        <v>40</v>
      </c>
      <c r="L841">
        <v>16</v>
      </c>
      <c r="M841" s="1">
        <f>Table1[[#This Row],[Unit Price]]*Table1[[#This Row],[Quantity]]</f>
        <v>640</v>
      </c>
      <c r="N841" s="2">
        <v>0.02</v>
      </c>
      <c r="O841" s="1">
        <f>Table1[[#This Row],[Gross Value]]*(1-Table1[[#This Row],[Discount]])</f>
        <v>627.20000000000005</v>
      </c>
      <c r="P841" s="2">
        <v>0.2</v>
      </c>
      <c r="Q841" s="1">
        <f>Table1[[#This Row],[Revenue]]*Table1[[#This Row],[VAT Rate]]</f>
        <v>125.44000000000001</v>
      </c>
      <c r="R841" s="1">
        <f>Table1[[#This Row],[Revenue]]+Table1[[#This Row],[VAT Charged]]</f>
        <v>752.6400000000001</v>
      </c>
      <c r="S841" s="1" cm="1">
        <f t="array" ref="S841">_xlfn.SWITCH(Table1[[#This Row],[Product ID]],"P001",140,"P002",80,"P003",72,"P004",30,"P005",110,"P006",24,"P007",14,"P008",12,"P009",115,"P010",360)</f>
        <v>24</v>
      </c>
      <c r="T841" s="1" cm="1">
        <f t="array" ref="T841">(_xlfn.SWITCH(Table1[[#This Row],[Product ID]],"P001",140,"P002",80,"P003",72,"P004",30,"P005",110,"P006",24,"P007",14,"P008",12,"P009",115,"P010",360))*Table1[[#This Row],[Quantity]]</f>
        <v>384</v>
      </c>
      <c r="U841" s="1" cm="1">
        <f t="array" ref="U841">_xlfn.SWITCH(Table1[[#This Row],[Product ID]],"P001",15,"P002",0,"P003",8,"P004",8,"P005",0,"P006",7,"P007",7,"P008",6,"P009",45,"P010",60)</f>
        <v>7</v>
      </c>
      <c r="V841" s="1">
        <f>Table1[[#This Row],[Shipping per Unit]]*Table1[[#This Row],[Quantity]]</f>
        <v>112</v>
      </c>
      <c r="W841" s="2">
        <f>IF(Table1[[#This Row],[Total Shipping]]&gt;0.1,0.2,0)</f>
        <v>0.2</v>
      </c>
      <c r="X841" s="4">
        <f>Table1[[#This Row],[Total Shipping]]*Table1[[#This Row],[VAT on Shipping]]</f>
        <v>22.400000000000002</v>
      </c>
      <c r="Y841" s="1">
        <f>Table1[[#This Row],[Revenue]]-Table1[[#This Row],[COGS]]</f>
        <v>243.20000000000005</v>
      </c>
      <c r="Z841" s="3">
        <f>(Table1[[#This Row],[Profit]]/Table1[[#This Row],[Revenue]])</f>
        <v>0.38775510204081637</v>
      </c>
      <c r="AA841" s="1">
        <f>Table1[[#This Row],[Profit]]-Table1[[#This Row],[Total Shipping]]</f>
        <v>131.20000000000005</v>
      </c>
      <c r="AB841" s="3">
        <f>Table1[[#This Row],[Operating Profit]]/Table1[[#This Row],[Revenue]]</f>
        <v>0.20918367346938782</v>
      </c>
    </row>
    <row r="842" spans="1:28" x14ac:dyDescent="0.25">
      <c r="A842" t="s">
        <v>369</v>
      </c>
      <c r="B842">
        <v>275</v>
      </c>
      <c r="C842" t="s">
        <v>35</v>
      </c>
      <c r="D842" t="s">
        <v>63</v>
      </c>
      <c r="E842" t="s">
        <v>40</v>
      </c>
      <c r="F842" t="s">
        <v>92</v>
      </c>
      <c r="G842" t="str" cm="1">
        <f t="array" ref="G842">_xlfn.SWITCH(F842,"Acme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42" t="s">
        <v>45</v>
      </c>
      <c r="I842" t="s">
        <v>55</v>
      </c>
      <c r="J842" t="str" cm="1">
        <f t="array" ref="J842">_xlfn.SWITCH(I842,"P001","Laptop","P002","Server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42" s="1" cm="1">
        <f t="array" ref="K842">_xlfn.SWITCH(Table1[[#This Row],[Product ID]],"P001",220,"P002",150,"P003",130,"P004",70,"P005",200,"P006",40,"P007",25,"P008",20,"P009",190,"P010",530)</f>
        <v>70</v>
      </c>
      <c r="L842">
        <v>16</v>
      </c>
      <c r="M842" s="1">
        <f>Table1[[#This Row],[Unit Price]]*Table1[[#This Row],[Quantity]]</f>
        <v>1120</v>
      </c>
      <c r="N842" s="2">
        <v>0.03</v>
      </c>
      <c r="O842" s="1">
        <f>Table1[[#This Row],[Gross Value]]*(1-Table1[[#This Row],[Discount]])</f>
        <v>1086.3999999999999</v>
      </c>
      <c r="P842" s="2">
        <v>0.2</v>
      </c>
      <c r="Q842" s="1">
        <f>Table1[[#This Row],[Revenue]]*Table1[[#This Row],[VAT Rate]]</f>
        <v>217.27999999999997</v>
      </c>
      <c r="R842" s="1">
        <f>Table1[[#This Row],[Revenue]]+Table1[[#This Row],[VAT Charged]]</f>
        <v>1303.6799999999998</v>
      </c>
      <c r="S842" s="1" cm="1">
        <f t="array" ref="S842">_xlfn.SWITCH(Table1[[#This Row],[Product ID]],"P001",140,"P002",80,"P003",72,"P004",30,"P005",110,"P006",24,"P007",14,"P008",12,"P009",115,"P010",360)</f>
        <v>30</v>
      </c>
      <c r="T842" s="1" cm="1">
        <f t="array" ref="T842">(_xlfn.SWITCH(Table1[[#This Row],[Product ID]],"P001",140,"P002",80,"P003",72,"P004",30,"P005",110,"P006",24,"P007",14,"P008",12,"P009",115,"P010",360))*Table1[[#This Row],[Quantity]]</f>
        <v>480</v>
      </c>
      <c r="U842" s="1" cm="1">
        <f t="array" ref="U842">_xlfn.SWITCH(Table1[[#This Row],[Product ID]],"P001",15,"P002",0,"P003",8,"P004",8,"P005",0,"P006",7,"P007",7,"P008",6,"P009",45,"P010",60)</f>
        <v>8</v>
      </c>
      <c r="V842" s="1">
        <f>Table1[[#This Row],[Shipping per Unit]]*Table1[[#This Row],[Quantity]]</f>
        <v>128</v>
      </c>
      <c r="W842" s="2">
        <f>IF(Table1[[#This Row],[Total Shipping]]&gt;0.1,0.2,0)</f>
        <v>0.2</v>
      </c>
      <c r="X842" s="4">
        <f>Table1[[#This Row],[Total Shipping]]*Table1[[#This Row],[VAT on Shipping]]</f>
        <v>25.6</v>
      </c>
      <c r="Y842" s="1">
        <f>Table1[[#This Row],[Revenue]]-Table1[[#This Row],[COGS]]</f>
        <v>606.39999999999986</v>
      </c>
      <c r="Z842" s="3">
        <f>(Table1[[#This Row],[Profit]]/Table1[[#This Row],[Revenue]])</f>
        <v>0.55817378497790859</v>
      </c>
      <c r="AA842" s="1">
        <f>Table1[[#This Row],[Profit]]-Table1[[#This Row],[Total Shipping]]</f>
        <v>478.39999999999986</v>
      </c>
      <c r="AB842" s="3">
        <f>Table1[[#This Row],[Operating Profit]]/Table1[[#This Row],[Revenue]]</f>
        <v>0.44035346097201761</v>
      </c>
    </row>
    <row r="843" spans="1:28" x14ac:dyDescent="0.25">
      <c r="A843" t="s">
        <v>369</v>
      </c>
      <c r="B843">
        <v>380</v>
      </c>
      <c r="C843" t="s">
        <v>35</v>
      </c>
      <c r="D843" t="s">
        <v>57</v>
      </c>
      <c r="E843" t="s">
        <v>40</v>
      </c>
      <c r="F843" t="s">
        <v>84</v>
      </c>
      <c r="G843" t="str" cm="1">
        <f t="array" ref="G843">_xlfn.SWITCH(F843,"Acme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843" t="s">
        <v>45</v>
      </c>
      <c r="I843" t="s">
        <v>70</v>
      </c>
      <c r="J843" t="str" cm="1">
        <f t="array" ref="J843">_xlfn.SWITCH(I843,"P001","Laptop","P002","Server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843" s="1" cm="1">
        <f t="array" ref="K843">_xlfn.SWITCH(Table1[[#This Row],[Product ID]],"P001",220,"P002",150,"P003",130,"P004",70,"P005",200,"P006",40,"P007",25,"P008",20,"P009",190,"P010",530)</f>
        <v>150</v>
      </c>
      <c r="L843">
        <v>9</v>
      </c>
      <c r="M843" s="1">
        <f>Table1[[#This Row],[Unit Price]]*Table1[[#This Row],[Quantity]]</f>
        <v>1350</v>
      </c>
      <c r="N843" s="2">
        <v>0.05</v>
      </c>
      <c r="O843" s="1">
        <f>Table1[[#This Row],[Gross Value]]*(1-Table1[[#This Row],[Discount]])</f>
        <v>1282.5</v>
      </c>
      <c r="P843" s="2">
        <v>0.2</v>
      </c>
      <c r="Q843" s="1">
        <f>Table1[[#This Row],[Revenue]]*Table1[[#This Row],[VAT Rate]]</f>
        <v>256.5</v>
      </c>
      <c r="R843" s="1">
        <f>Table1[[#This Row],[Revenue]]+Table1[[#This Row],[VAT Charged]]</f>
        <v>1539</v>
      </c>
      <c r="S843" s="1" cm="1">
        <f t="array" ref="S843">_xlfn.SWITCH(Table1[[#This Row],[Product ID]],"P001",140,"P002",80,"P003",72,"P004",30,"P005",110,"P006",24,"P007",14,"P008",12,"P009",115,"P010",360)</f>
        <v>80</v>
      </c>
      <c r="T843" s="1" cm="1">
        <f t="array" ref="T843">(_xlfn.SWITCH(Table1[[#This Row],[Product ID]],"P001",140,"P002",80,"P003",72,"P004",30,"P005",110,"P006",24,"P007",14,"P008",12,"P009",115,"P010",360))*Table1[[#This Row],[Quantity]]</f>
        <v>720</v>
      </c>
      <c r="U843" s="1" cm="1">
        <f t="array" ref="U843">_xlfn.SWITCH(Table1[[#This Row],[Product ID]],"P001",15,"P002",0,"P003",8,"P004",8,"P005",0,"P006",7,"P007",7,"P008",6,"P009",45,"P010",60)</f>
        <v>0</v>
      </c>
      <c r="V843" s="1">
        <f>Table1[[#This Row],[Shipping per Unit]]*Table1[[#This Row],[Quantity]]</f>
        <v>0</v>
      </c>
      <c r="W843" s="2">
        <f>IF(Table1[[#This Row],[Total Shipping]]&gt;0.1,0.2,0)</f>
        <v>0</v>
      </c>
      <c r="X843" s="4">
        <f>Table1[[#This Row],[Total Shipping]]*Table1[[#This Row],[VAT on Shipping]]</f>
        <v>0</v>
      </c>
      <c r="Y843" s="1">
        <f>Table1[[#This Row],[Revenue]]-Table1[[#This Row],[COGS]]</f>
        <v>562.5</v>
      </c>
      <c r="Z843" s="3">
        <f>(Table1[[#This Row],[Profit]]/Table1[[#This Row],[Revenue]])</f>
        <v>0.43859649122807015</v>
      </c>
      <c r="AA843" s="1">
        <f>Table1[[#This Row],[Profit]]-Table1[[#This Row],[Total Shipping]]</f>
        <v>562.5</v>
      </c>
      <c r="AB843" s="3">
        <f>Table1[[#This Row],[Operating Profit]]/Table1[[#This Row],[Revenue]]</f>
        <v>0.43859649122807015</v>
      </c>
    </row>
    <row r="844" spans="1:28" x14ac:dyDescent="0.25">
      <c r="A844" t="s">
        <v>369</v>
      </c>
      <c r="B844">
        <v>525</v>
      </c>
      <c r="C844" t="s">
        <v>83</v>
      </c>
      <c r="D844" t="s">
        <v>36</v>
      </c>
      <c r="E844" t="s">
        <v>40</v>
      </c>
      <c r="F844" t="s">
        <v>119</v>
      </c>
      <c r="G844" t="str" cm="1">
        <f t="array" ref="G844">_xlfn.SWITCH(F844,"Acme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844" t="s">
        <v>45</v>
      </c>
      <c r="I844" t="s">
        <v>34</v>
      </c>
      <c r="J844" t="str" cm="1">
        <f t="array" ref="J844">_xlfn.SWITCH(I844,"P001","Laptop","P002","Server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44" s="1" cm="1">
        <f t="array" ref="K844">_xlfn.SWITCH(Table1[[#This Row],[Product ID]],"P001",220,"P002",150,"P003",130,"P004",70,"P005",200,"P006",40,"P007",25,"P008",20,"P009",190,"P010",530)</f>
        <v>20</v>
      </c>
      <c r="L844">
        <v>14</v>
      </c>
      <c r="M844" s="1">
        <f>Table1[[#This Row],[Unit Price]]*Table1[[#This Row],[Quantity]]</f>
        <v>280</v>
      </c>
      <c r="N844" s="2">
        <v>0.06</v>
      </c>
      <c r="O844" s="1">
        <f>Table1[[#This Row],[Gross Value]]*(1-Table1[[#This Row],[Discount]])</f>
        <v>263.2</v>
      </c>
      <c r="P844" s="2">
        <v>0.2</v>
      </c>
      <c r="Q844" s="1">
        <f>Table1[[#This Row],[Revenue]]*Table1[[#This Row],[VAT Rate]]</f>
        <v>52.64</v>
      </c>
      <c r="R844" s="1">
        <f>Table1[[#This Row],[Revenue]]+Table1[[#This Row],[VAT Charged]]</f>
        <v>315.83999999999997</v>
      </c>
      <c r="S844" s="1" cm="1">
        <f t="array" ref="S844">_xlfn.SWITCH(Table1[[#This Row],[Product ID]],"P001",140,"P002",80,"P003",72,"P004",30,"P005",110,"P006",24,"P007",14,"P008",12,"P009",115,"P010",360)</f>
        <v>12</v>
      </c>
      <c r="T844" s="1" cm="1">
        <f t="array" ref="T844">(_xlfn.SWITCH(Table1[[#This Row],[Product ID]],"P001",140,"P002",80,"P003",72,"P004",30,"P005",110,"P006",24,"P007",14,"P008",12,"P009",115,"P010",360))*Table1[[#This Row],[Quantity]]</f>
        <v>168</v>
      </c>
      <c r="U844" s="1" cm="1">
        <f t="array" ref="U844">_xlfn.SWITCH(Table1[[#This Row],[Product ID]],"P001",15,"P002",0,"P003",8,"P004",8,"P005",0,"P006",7,"P007",7,"P008",6,"P009",45,"P010",60)</f>
        <v>6</v>
      </c>
      <c r="V844" s="1">
        <f>Table1[[#This Row],[Shipping per Unit]]*Table1[[#This Row],[Quantity]]</f>
        <v>84</v>
      </c>
      <c r="W844" s="2">
        <f>IF(Table1[[#This Row],[Total Shipping]]&gt;0.1,0.2,0)</f>
        <v>0.2</v>
      </c>
      <c r="X844" s="4">
        <f>Table1[[#This Row],[Total Shipping]]*Table1[[#This Row],[VAT on Shipping]]</f>
        <v>16.8</v>
      </c>
      <c r="Y844" s="1">
        <f>Table1[[#This Row],[Revenue]]-Table1[[#This Row],[COGS]]</f>
        <v>95.199999999999989</v>
      </c>
      <c r="Z844" s="3">
        <f>(Table1[[#This Row],[Profit]]/Table1[[#This Row],[Revenue]])</f>
        <v>0.36170212765957444</v>
      </c>
      <c r="AA844" s="1">
        <f>Table1[[#This Row],[Profit]]-Table1[[#This Row],[Total Shipping]]</f>
        <v>11.199999999999989</v>
      </c>
      <c r="AB844" s="3">
        <f>Table1[[#This Row],[Operating Profit]]/Table1[[#This Row],[Revenue]]</f>
        <v>4.2553191489361659E-2</v>
      </c>
    </row>
    <row r="845" spans="1:28" x14ac:dyDescent="0.25">
      <c r="A845" t="s">
        <v>369</v>
      </c>
      <c r="B845">
        <v>976</v>
      </c>
      <c r="C845" t="s">
        <v>83</v>
      </c>
      <c r="D845" t="s">
        <v>95</v>
      </c>
      <c r="E845" t="s">
        <v>40</v>
      </c>
      <c r="F845" t="s">
        <v>87</v>
      </c>
      <c r="G845" t="str" cm="1">
        <f t="array" ref="G845">_xlfn.SWITCH(F845,"Acme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845" t="s">
        <v>45</v>
      </c>
      <c r="I845" t="s">
        <v>42</v>
      </c>
      <c r="J845" t="str" cm="1">
        <f t="array" ref="J845">_xlfn.SWITCH(I845,"P001","Laptop","P002","Server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45" s="1" cm="1">
        <f t="array" ref="K845">_xlfn.SWITCH(Table1[[#This Row],[Product ID]],"P001",220,"P002",150,"P003",130,"P004",70,"P005",200,"P006",40,"P007",25,"P008",20,"P009",190,"P010",530)</f>
        <v>40</v>
      </c>
      <c r="L845">
        <v>20</v>
      </c>
      <c r="M845" s="1">
        <f>Table1[[#This Row],[Unit Price]]*Table1[[#This Row],[Quantity]]</f>
        <v>800</v>
      </c>
      <c r="N845" s="2">
        <v>7.0000000000000007E-2</v>
      </c>
      <c r="O845" s="1">
        <f>Table1[[#This Row],[Gross Value]]*(1-Table1[[#This Row],[Discount]])</f>
        <v>744</v>
      </c>
      <c r="P845" s="2">
        <v>0.2</v>
      </c>
      <c r="Q845" s="1">
        <f>Table1[[#This Row],[Revenue]]*Table1[[#This Row],[VAT Rate]]</f>
        <v>148.80000000000001</v>
      </c>
      <c r="R845" s="1">
        <f>Table1[[#This Row],[Revenue]]+Table1[[#This Row],[VAT Charged]]</f>
        <v>892.8</v>
      </c>
      <c r="S845" s="1" cm="1">
        <f t="array" ref="S845">_xlfn.SWITCH(Table1[[#This Row],[Product ID]],"P001",140,"P002",80,"P003",72,"P004",30,"P005",110,"P006",24,"P007",14,"P008",12,"P009",115,"P010",360)</f>
        <v>24</v>
      </c>
      <c r="T845" s="1" cm="1">
        <f t="array" ref="T845">(_xlfn.SWITCH(Table1[[#This Row],[Product ID]],"P001",140,"P002",80,"P003",72,"P004",30,"P005",110,"P006",24,"P007",14,"P008",12,"P009",115,"P010",360))*Table1[[#This Row],[Quantity]]</f>
        <v>480</v>
      </c>
      <c r="U845" s="1" cm="1">
        <f t="array" ref="U845">_xlfn.SWITCH(Table1[[#This Row],[Product ID]],"P001",15,"P002",0,"P003",8,"P004",8,"P005",0,"P006",7,"P007",7,"P008",6,"P009",45,"P010",60)</f>
        <v>7</v>
      </c>
      <c r="V845" s="1">
        <f>Table1[[#This Row],[Shipping per Unit]]*Table1[[#This Row],[Quantity]]</f>
        <v>140</v>
      </c>
      <c r="W845" s="2">
        <f>IF(Table1[[#This Row],[Total Shipping]]&gt;0.1,0.2,0)</f>
        <v>0.2</v>
      </c>
      <c r="X845" s="4">
        <f>Table1[[#This Row],[Total Shipping]]*Table1[[#This Row],[VAT on Shipping]]</f>
        <v>28</v>
      </c>
      <c r="Y845" s="1">
        <f>Table1[[#This Row],[Revenue]]-Table1[[#This Row],[COGS]]</f>
        <v>264</v>
      </c>
      <c r="Z845" s="3">
        <f>(Table1[[#This Row],[Profit]]/Table1[[#This Row],[Revenue]])</f>
        <v>0.35483870967741937</v>
      </c>
      <c r="AA845" s="1">
        <f>Table1[[#This Row],[Profit]]-Table1[[#This Row],[Total Shipping]]</f>
        <v>124</v>
      </c>
      <c r="AB845" s="3">
        <f>Table1[[#This Row],[Operating Profit]]/Table1[[#This Row],[Revenue]]</f>
        <v>0.16666666666666666</v>
      </c>
    </row>
    <row r="846" spans="1:28" x14ac:dyDescent="0.25">
      <c r="A846" t="s">
        <v>370</v>
      </c>
      <c r="B846">
        <v>238</v>
      </c>
      <c r="C846" t="s">
        <v>29</v>
      </c>
      <c r="D846" t="s">
        <v>39</v>
      </c>
      <c r="E846" t="s">
        <v>49</v>
      </c>
      <c r="F846" t="s">
        <v>98</v>
      </c>
      <c r="G846" t="str" cm="1">
        <f t="array" ref="G846">_xlfn.SWITCH(F846,"Acme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846" t="s">
        <v>69</v>
      </c>
      <c r="I846" t="s">
        <v>42</v>
      </c>
      <c r="J846" t="str" cm="1">
        <f t="array" ref="J846">_xlfn.SWITCH(I846,"P001","Laptop","P002","Server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46" s="1" cm="1">
        <f t="array" ref="K846">_xlfn.SWITCH(Table1[[#This Row],[Product ID]],"P001",220,"P002",150,"P003",130,"P004",70,"P005",200,"P006",40,"P007",25,"P008",20,"P009",190,"P010",530)</f>
        <v>40</v>
      </c>
      <c r="L846">
        <v>11</v>
      </c>
      <c r="M846" s="1">
        <f>Table1[[#This Row],[Unit Price]]*Table1[[#This Row],[Quantity]]</f>
        <v>440</v>
      </c>
      <c r="N846" s="2">
        <v>0.05</v>
      </c>
      <c r="O846" s="1">
        <f>Table1[[#This Row],[Gross Value]]*(1-Table1[[#This Row],[Discount]])</f>
        <v>418</v>
      </c>
      <c r="P846" s="2">
        <v>0.2</v>
      </c>
      <c r="Q846" s="1">
        <f>Table1[[#This Row],[Revenue]]*Table1[[#This Row],[VAT Rate]]</f>
        <v>83.600000000000009</v>
      </c>
      <c r="R846" s="1">
        <f>Table1[[#This Row],[Revenue]]+Table1[[#This Row],[VAT Charged]]</f>
        <v>501.6</v>
      </c>
      <c r="S846" s="1" cm="1">
        <f t="array" ref="S846">_xlfn.SWITCH(Table1[[#This Row],[Product ID]],"P001",140,"P002",80,"P003",72,"P004",30,"P005",110,"P006",24,"P007",14,"P008",12,"P009",115,"P010",360)</f>
        <v>24</v>
      </c>
      <c r="T846" s="1" cm="1">
        <f t="array" ref="T846">(_xlfn.SWITCH(Table1[[#This Row],[Product ID]],"P001",140,"P002",80,"P003",72,"P004",30,"P005",110,"P006",24,"P007",14,"P008",12,"P009",115,"P010",360))*Table1[[#This Row],[Quantity]]</f>
        <v>264</v>
      </c>
      <c r="U846" s="1" cm="1">
        <f t="array" ref="U846">_xlfn.SWITCH(Table1[[#This Row],[Product ID]],"P001",15,"P002",0,"P003",8,"P004",8,"P005",0,"P006",7,"P007",7,"P008",6,"P009",45,"P010",60)</f>
        <v>7</v>
      </c>
      <c r="V846" s="1">
        <f>Table1[[#This Row],[Shipping per Unit]]*Table1[[#This Row],[Quantity]]</f>
        <v>77</v>
      </c>
      <c r="W846" s="2">
        <f>IF(Table1[[#This Row],[Total Shipping]]&gt;0.1,0.2,0)</f>
        <v>0.2</v>
      </c>
      <c r="X846" s="4">
        <f>Table1[[#This Row],[Total Shipping]]*Table1[[#This Row],[VAT on Shipping]]</f>
        <v>15.4</v>
      </c>
      <c r="Y846" s="1">
        <f>Table1[[#This Row],[Revenue]]-Table1[[#This Row],[COGS]]</f>
        <v>154</v>
      </c>
      <c r="Z846" s="3">
        <f>(Table1[[#This Row],[Profit]]/Table1[[#This Row],[Revenue]])</f>
        <v>0.36842105263157893</v>
      </c>
      <c r="AA846" s="1">
        <f>Table1[[#This Row],[Profit]]-Table1[[#This Row],[Total Shipping]]</f>
        <v>77</v>
      </c>
      <c r="AB846" s="3">
        <f>Table1[[#This Row],[Operating Profit]]/Table1[[#This Row],[Revenue]]</f>
        <v>0.18421052631578946</v>
      </c>
    </row>
    <row r="847" spans="1:28" x14ac:dyDescent="0.25">
      <c r="A847" t="s">
        <v>370</v>
      </c>
      <c r="B847">
        <v>448</v>
      </c>
      <c r="C847" t="s">
        <v>65</v>
      </c>
      <c r="D847" t="s">
        <v>72</v>
      </c>
      <c r="E847" t="s">
        <v>49</v>
      </c>
      <c r="F847" t="s">
        <v>79</v>
      </c>
      <c r="G847" t="str" cm="1">
        <f t="array" ref="G847">_xlfn.SWITCH(F847,"Acme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847" t="s">
        <v>33</v>
      </c>
      <c r="I847" t="s">
        <v>42</v>
      </c>
      <c r="J847" t="str" cm="1">
        <f t="array" ref="J847">_xlfn.SWITCH(I847,"P001","Laptop","P002","Server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47" s="1" cm="1">
        <f t="array" ref="K847">_xlfn.SWITCH(Table1[[#This Row],[Product ID]],"P001",220,"P002",150,"P003",130,"P004",70,"P005",200,"P006",40,"P007",25,"P008",20,"P009",190,"P010",530)</f>
        <v>40</v>
      </c>
      <c r="L847">
        <v>9</v>
      </c>
      <c r="M847" s="1">
        <f>Table1[[#This Row],[Unit Price]]*Table1[[#This Row],[Quantity]]</f>
        <v>360</v>
      </c>
      <c r="N847" s="2">
        <v>0.05</v>
      </c>
      <c r="O847" s="1">
        <f>Table1[[#This Row],[Gross Value]]*(1-Table1[[#This Row],[Discount]])</f>
        <v>342</v>
      </c>
      <c r="P847" s="2">
        <v>0.2</v>
      </c>
      <c r="Q847" s="1">
        <f>Table1[[#This Row],[Revenue]]*Table1[[#This Row],[VAT Rate]]</f>
        <v>68.400000000000006</v>
      </c>
      <c r="R847" s="1">
        <f>Table1[[#This Row],[Revenue]]+Table1[[#This Row],[VAT Charged]]</f>
        <v>410.4</v>
      </c>
      <c r="S847" s="1" cm="1">
        <f t="array" ref="S847">_xlfn.SWITCH(Table1[[#This Row],[Product ID]],"P001",140,"P002",80,"P003",72,"P004",30,"P005",110,"P006",24,"P007",14,"P008",12,"P009",115,"P010",360)</f>
        <v>24</v>
      </c>
      <c r="T847" s="1" cm="1">
        <f t="array" ref="T847">(_xlfn.SWITCH(Table1[[#This Row],[Product ID]],"P001",140,"P002",80,"P003",72,"P004",30,"P005",110,"P006",24,"P007",14,"P008",12,"P009",115,"P010",360))*Table1[[#This Row],[Quantity]]</f>
        <v>216</v>
      </c>
      <c r="U847" s="1" cm="1">
        <f t="array" ref="U847">_xlfn.SWITCH(Table1[[#This Row],[Product ID]],"P001",15,"P002",0,"P003",8,"P004",8,"P005",0,"P006",7,"P007",7,"P008",6,"P009",45,"P010",60)</f>
        <v>7</v>
      </c>
      <c r="V847" s="1">
        <f>Table1[[#This Row],[Shipping per Unit]]*Table1[[#This Row],[Quantity]]</f>
        <v>63</v>
      </c>
      <c r="W847" s="2">
        <f>IF(Table1[[#This Row],[Total Shipping]]&gt;0.1,0.2,0)</f>
        <v>0.2</v>
      </c>
      <c r="X847" s="4">
        <f>Table1[[#This Row],[Total Shipping]]*Table1[[#This Row],[VAT on Shipping]]</f>
        <v>12.600000000000001</v>
      </c>
      <c r="Y847" s="1">
        <f>Table1[[#This Row],[Revenue]]-Table1[[#This Row],[COGS]]</f>
        <v>126</v>
      </c>
      <c r="Z847" s="3">
        <f>(Table1[[#This Row],[Profit]]/Table1[[#This Row],[Revenue]])</f>
        <v>0.36842105263157893</v>
      </c>
      <c r="AA847" s="1">
        <f>Table1[[#This Row],[Profit]]-Table1[[#This Row],[Total Shipping]]</f>
        <v>63</v>
      </c>
      <c r="AB847" s="3">
        <f>Table1[[#This Row],[Operating Profit]]/Table1[[#This Row],[Revenue]]</f>
        <v>0.18421052631578946</v>
      </c>
    </row>
    <row r="848" spans="1:28" x14ac:dyDescent="0.25">
      <c r="A848" t="s">
        <v>370</v>
      </c>
      <c r="B848">
        <v>930</v>
      </c>
      <c r="C848" t="s">
        <v>71</v>
      </c>
      <c r="D848" t="s">
        <v>39</v>
      </c>
      <c r="E848" t="s">
        <v>49</v>
      </c>
      <c r="F848" t="s">
        <v>90</v>
      </c>
      <c r="G848" t="str" cm="1">
        <f t="array" ref="G848">_xlfn.SWITCH(F848,"Acme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848" t="s">
        <v>104</v>
      </c>
      <c r="I848" t="s">
        <v>46</v>
      </c>
      <c r="J848" t="str" cm="1">
        <f t="array" ref="J848">_xlfn.SWITCH(I848,"P001","Laptop","P002","Server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848" s="1" cm="1">
        <f t="array" ref="K848">_xlfn.SWITCH(Table1[[#This Row],[Product ID]],"P001",220,"P002",150,"P003",130,"P004",70,"P005",200,"P006",40,"P007",25,"P008",20,"P009",190,"P010",530)</f>
        <v>530</v>
      </c>
      <c r="L848">
        <v>14</v>
      </c>
      <c r="M848" s="1">
        <f>Table1[[#This Row],[Unit Price]]*Table1[[#This Row],[Quantity]]</f>
        <v>7420</v>
      </c>
      <c r="N848" s="2">
        <v>7.0000000000000007E-2</v>
      </c>
      <c r="O848" s="1">
        <f>Table1[[#This Row],[Gross Value]]*(1-Table1[[#This Row],[Discount]])</f>
        <v>6900.5999999999995</v>
      </c>
      <c r="P848" s="2">
        <v>0.2</v>
      </c>
      <c r="Q848" s="1">
        <f>Table1[[#This Row],[Revenue]]*Table1[[#This Row],[VAT Rate]]</f>
        <v>1380.12</v>
      </c>
      <c r="R848" s="1">
        <f>Table1[[#This Row],[Revenue]]+Table1[[#This Row],[VAT Charged]]</f>
        <v>8280.7199999999993</v>
      </c>
      <c r="S848" s="1" cm="1">
        <f t="array" ref="S848">_xlfn.SWITCH(Table1[[#This Row],[Product ID]],"P001",140,"P002",80,"P003",72,"P004",30,"P005",110,"P006",24,"P007",14,"P008",12,"P009",115,"P010",360)</f>
        <v>360</v>
      </c>
      <c r="T848" s="1" cm="1">
        <f t="array" ref="T848">(_xlfn.SWITCH(Table1[[#This Row],[Product ID]],"P001",140,"P002",80,"P003",72,"P004",30,"P005",110,"P006",24,"P007",14,"P008",12,"P009",115,"P010",360))*Table1[[#This Row],[Quantity]]</f>
        <v>5040</v>
      </c>
      <c r="U848" s="1" cm="1">
        <f t="array" ref="U848">_xlfn.SWITCH(Table1[[#This Row],[Product ID]],"P001",15,"P002",0,"P003",8,"P004",8,"P005",0,"P006",7,"P007",7,"P008",6,"P009",45,"P010",60)</f>
        <v>60</v>
      </c>
      <c r="V848" s="1">
        <f>Table1[[#This Row],[Shipping per Unit]]*Table1[[#This Row],[Quantity]]</f>
        <v>840</v>
      </c>
      <c r="W848" s="2">
        <f>IF(Table1[[#This Row],[Total Shipping]]&gt;0.1,0.2,0)</f>
        <v>0.2</v>
      </c>
      <c r="X848" s="4">
        <f>Table1[[#This Row],[Total Shipping]]*Table1[[#This Row],[VAT on Shipping]]</f>
        <v>168</v>
      </c>
      <c r="Y848" s="1">
        <f>Table1[[#This Row],[Revenue]]-Table1[[#This Row],[COGS]]</f>
        <v>1860.5999999999995</v>
      </c>
      <c r="Z848" s="3">
        <f>(Table1[[#This Row],[Profit]]/Table1[[#This Row],[Revenue]])</f>
        <v>0.26962872793670112</v>
      </c>
      <c r="AA848" s="1">
        <f>Table1[[#This Row],[Profit]]-Table1[[#This Row],[Total Shipping]]</f>
        <v>1020.5999999999995</v>
      </c>
      <c r="AB848" s="3">
        <f>Table1[[#This Row],[Operating Profit]]/Table1[[#This Row],[Revenue]]</f>
        <v>0.14790018259281795</v>
      </c>
    </row>
    <row r="849" spans="1:28" x14ac:dyDescent="0.25">
      <c r="A849" t="s">
        <v>371</v>
      </c>
      <c r="B849">
        <v>33</v>
      </c>
      <c r="C849" t="s">
        <v>35</v>
      </c>
      <c r="D849" t="s">
        <v>30</v>
      </c>
      <c r="E849" t="s">
        <v>49</v>
      </c>
      <c r="F849" t="s">
        <v>87</v>
      </c>
      <c r="G849" t="str" cm="1">
        <f t="array" ref="G849">_xlfn.SWITCH(F849,"Acme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849" t="s">
        <v>45</v>
      </c>
      <c r="I849" t="s">
        <v>75</v>
      </c>
      <c r="J849" t="str" cm="1">
        <f t="array" ref="J849">_xlfn.SWITCH(I849,"P001","Laptop","P002","Server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849" s="1" cm="1">
        <f t="array" ref="K849">_xlfn.SWITCH(Table1[[#This Row],[Product ID]],"P001",220,"P002",150,"P003",130,"P004",70,"P005",200,"P006",40,"P007",25,"P008",20,"P009",190,"P010",530)</f>
        <v>200</v>
      </c>
      <c r="L849">
        <v>11</v>
      </c>
      <c r="M849" s="1">
        <f>Table1[[#This Row],[Unit Price]]*Table1[[#This Row],[Quantity]]</f>
        <v>2200</v>
      </c>
      <c r="N849" s="2">
        <v>0.03</v>
      </c>
      <c r="O849" s="1">
        <f>Table1[[#This Row],[Gross Value]]*(1-Table1[[#This Row],[Discount]])</f>
        <v>2134</v>
      </c>
      <c r="P849" s="2">
        <v>0.2</v>
      </c>
      <c r="Q849" s="1">
        <f>Table1[[#This Row],[Revenue]]*Table1[[#This Row],[VAT Rate]]</f>
        <v>426.8</v>
      </c>
      <c r="R849" s="1">
        <f>Table1[[#This Row],[Revenue]]+Table1[[#This Row],[VAT Charged]]</f>
        <v>2560.8000000000002</v>
      </c>
      <c r="S849" s="1" cm="1">
        <f t="array" ref="S849">_xlfn.SWITCH(Table1[[#This Row],[Product ID]],"P001",140,"P002",80,"P003",72,"P004",30,"P005",110,"P006",24,"P007",14,"P008",12,"P009",115,"P010",360)</f>
        <v>110</v>
      </c>
      <c r="T849" s="1" cm="1">
        <f t="array" ref="T849">(_xlfn.SWITCH(Table1[[#This Row],[Product ID]],"P001",140,"P002",80,"P003",72,"P004",30,"P005",110,"P006",24,"P007",14,"P008",12,"P009",115,"P010",360))*Table1[[#This Row],[Quantity]]</f>
        <v>1210</v>
      </c>
      <c r="U849" s="1" cm="1">
        <f t="array" ref="U849">_xlfn.SWITCH(Table1[[#This Row],[Product ID]],"P001",15,"P002",0,"P003",8,"P004",8,"P005",0,"P006",7,"P007",7,"P008",6,"P009",45,"P010",60)</f>
        <v>0</v>
      </c>
      <c r="V849" s="1">
        <f>Table1[[#This Row],[Shipping per Unit]]*Table1[[#This Row],[Quantity]]</f>
        <v>0</v>
      </c>
      <c r="W849" s="2">
        <f>IF(Table1[[#This Row],[Total Shipping]]&gt;0.1,0.2,0)</f>
        <v>0</v>
      </c>
      <c r="X849" s="4">
        <f>Table1[[#This Row],[Total Shipping]]*Table1[[#This Row],[VAT on Shipping]]</f>
        <v>0</v>
      </c>
      <c r="Y849" s="1">
        <f>Table1[[#This Row],[Revenue]]-Table1[[#This Row],[COGS]]</f>
        <v>924</v>
      </c>
      <c r="Z849" s="3">
        <f>(Table1[[#This Row],[Profit]]/Table1[[#This Row],[Revenue]])</f>
        <v>0.4329896907216495</v>
      </c>
      <c r="AA849" s="1">
        <f>Table1[[#This Row],[Profit]]-Table1[[#This Row],[Total Shipping]]</f>
        <v>924</v>
      </c>
      <c r="AB849" s="3">
        <f>Table1[[#This Row],[Operating Profit]]/Table1[[#This Row],[Revenue]]</f>
        <v>0.4329896907216495</v>
      </c>
    </row>
    <row r="850" spans="1:28" x14ac:dyDescent="0.25">
      <c r="A850" t="s">
        <v>372</v>
      </c>
      <c r="B850">
        <v>114</v>
      </c>
      <c r="C850" t="s">
        <v>83</v>
      </c>
      <c r="D850" t="s">
        <v>36</v>
      </c>
      <c r="E850" t="s">
        <v>31</v>
      </c>
      <c r="F850" t="s">
        <v>92</v>
      </c>
      <c r="G850" t="str" cm="1">
        <f t="array" ref="G850">_xlfn.SWITCH(F850,"Acme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50" t="s">
        <v>45</v>
      </c>
      <c r="I850" t="s">
        <v>91</v>
      </c>
      <c r="J850" t="str" cm="1">
        <f t="array" ref="J850">_xlfn.SWITCH(I850,"P001","Laptop","P002","Server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850" s="1" cm="1">
        <f t="array" ref="K850">_xlfn.SWITCH(Table1[[#This Row],[Product ID]],"P001",220,"P002",150,"P003",130,"P004",70,"P005",200,"P006",40,"P007",25,"P008",20,"P009",190,"P010",530)</f>
        <v>190</v>
      </c>
      <c r="L850">
        <v>7</v>
      </c>
      <c r="M850" s="1">
        <f>Table1[[#This Row],[Unit Price]]*Table1[[#This Row],[Quantity]]</f>
        <v>1330</v>
      </c>
      <c r="N850" s="2">
        <v>0.05</v>
      </c>
      <c r="O850" s="1">
        <f>Table1[[#This Row],[Gross Value]]*(1-Table1[[#This Row],[Discount]])</f>
        <v>1263.5</v>
      </c>
      <c r="P850" s="2">
        <v>0.2</v>
      </c>
      <c r="Q850" s="1">
        <f>Table1[[#This Row],[Revenue]]*Table1[[#This Row],[VAT Rate]]</f>
        <v>252.70000000000002</v>
      </c>
      <c r="R850" s="1">
        <f>Table1[[#This Row],[Revenue]]+Table1[[#This Row],[VAT Charged]]</f>
        <v>1516.2</v>
      </c>
      <c r="S850" s="1" cm="1">
        <f t="array" ref="S850">_xlfn.SWITCH(Table1[[#This Row],[Product ID]],"P001",140,"P002",80,"P003",72,"P004",30,"P005",110,"P006",24,"P007",14,"P008",12,"P009",115,"P010",360)</f>
        <v>115</v>
      </c>
      <c r="T850" s="1" cm="1">
        <f t="array" ref="T850">(_xlfn.SWITCH(Table1[[#This Row],[Product ID]],"P001",140,"P002",80,"P003",72,"P004",30,"P005",110,"P006",24,"P007",14,"P008",12,"P009",115,"P010",360))*Table1[[#This Row],[Quantity]]</f>
        <v>805</v>
      </c>
      <c r="U850" s="1" cm="1">
        <f t="array" ref="U850">_xlfn.SWITCH(Table1[[#This Row],[Product ID]],"P001",15,"P002",0,"P003",8,"P004",8,"P005",0,"P006",7,"P007",7,"P008",6,"P009",45,"P010",60)</f>
        <v>45</v>
      </c>
      <c r="V850" s="1">
        <f>Table1[[#This Row],[Shipping per Unit]]*Table1[[#This Row],[Quantity]]</f>
        <v>315</v>
      </c>
      <c r="W850" s="2">
        <f>IF(Table1[[#This Row],[Total Shipping]]&gt;0.1,0.2,0)</f>
        <v>0.2</v>
      </c>
      <c r="X850" s="4">
        <f>Table1[[#This Row],[Total Shipping]]*Table1[[#This Row],[VAT on Shipping]]</f>
        <v>63</v>
      </c>
      <c r="Y850" s="1">
        <f>Table1[[#This Row],[Revenue]]-Table1[[#This Row],[COGS]]</f>
        <v>458.5</v>
      </c>
      <c r="Z850" s="3">
        <f>(Table1[[#This Row],[Profit]]/Table1[[#This Row],[Revenue]])</f>
        <v>0.36288088642659277</v>
      </c>
      <c r="AA850" s="1">
        <f>Table1[[#This Row],[Profit]]-Table1[[#This Row],[Total Shipping]]</f>
        <v>143.5</v>
      </c>
      <c r="AB850" s="3">
        <f>Table1[[#This Row],[Operating Profit]]/Table1[[#This Row],[Revenue]]</f>
        <v>0.11357340720221606</v>
      </c>
    </row>
    <row r="851" spans="1:28" x14ac:dyDescent="0.25">
      <c r="A851" t="s">
        <v>373</v>
      </c>
      <c r="B851">
        <v>56</v>
      </c>
      <c r="C851" t="s">
        <v>38</v>
      </c>
      <c r="D851" t="s">
        <v>67</v>
      </c>
      <c r="E851" t="s">
        <v>31</v>
      </c>
      <c r="F851" t="s">
        <v>84</v>
      </c>
      <c r="G851" t="str" cm="1">
        <f t="array" ref="G851">_xlfn.SWITCH(F851,"Acme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851" t="s">
        <v>58</v>
      </c>
      <c r="I851" t="s">
        <v>34</v>
      </c>
      <c r="J851" t="str" cm="1">
        <f t="array" ref="J851">_xlfn.SWITCH(I851,"P001","Laptop","P002","Server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51" s="1" cm="1">
        <f t="array" ref="K851">_xlfn.SWITCH(Table1[[#This Row],[Product ID]],"P001",220,"P002",150,"P003",130,"P004",70,"P005",200,"P006",40,"P007",25,"P008",20,"P009",190,"P010",530)</f>
        <v>20</v>
      </c>
      <c r="L851">
        <v>15</v>
      </c>
      <c r="M851" s="1">
        <f>Table1[[#This Row],[Unit Price]]*Table1[[#This Row],[Quantity]]</f>
        <v>300</v>
      </c>
      <c r="N851" s="2">
        <v>0.1</v>
      </c>
      <c r="O851" s="1">
        <f>Table1[[#This Row],[Gross Value]]*(1-Table1[[#This Row],[Discount]])</f>
        <v>270</v>
      </c>
      <c r="P851" s="2">
        <v>0.2</v>
      </c>
      <c r="Q851" s="1">
        <f>Table1[[#This Row],[Revenue]]*Table1[[#This Row],[VAT Rate]]</f>
        <v>54</v>
      </c>
      <c r="R851" s="1">
        <f>Table1[[#This Row],[Revenue]]+Table1[[#This Row],[VAT Charged]]</f>
        <v>324</v>
      </c>
      <c r="S851" s="1" cm="1">
        <f t="array" ref="S851">_xlfn.SWITCH(Table1[[#This Row],[Product ID]],"P001",140,"P002",80,"P003",72,"P004",30,"P005",110,"P006",24,"P007",14,"P008",12,"P009",115,"P010",360)</f>
        <v>12</v>
      </c>
      <c r="T851" s="1" cm="1">
        <f t="array" ref="T851">(_xlfn.SWITCH(Table1[[#This Row],[Product ID]],"P001",140,"P002",80,"P003",72,"P004",30,"P005",110,"P006",24,"P007",14,"P008",12,"P009",115,"P010",360))*Table1[[#This Row],[Quantity]]</f>
        <v>180</v>
      </c>
      <c r="U851" s="1" cm="1">
        <f t="array" ref="U851">_xlfn.SWITCH(Table1[[#This Row],[Product ID]],"P001",15,"P002",0,"P003",8,"P004",8,"P005",0,"P006",7,"P007",7,"P008",6,"P009",45,"P010",60)</f>
        <v>6</v>
      </c>
      <c r="V851" s="1">
        <f>Table1[[#This Row],[Shipping per Unit]]*Table1[[#This Row],[Quantity]]</f>
        <v>90</v>
      </c>
      <c r="W851" s="2">
        <f>IF(Table1[[#This Row],[Total Shipping]]&gt;0.1,0.2,0)</f>
        <v>0.2</v>
      </c>
      <c r="X851" s="4">
        <f>Table1[[#This Row],[Total Shipping]]*Table1[[#This Row],[VAT on Shipping]]</f>
        <v>18</v>
      </c>
      <c r="Y851" s="1">
        <f>Table1[[#This Row],[Revenue]]-Table1[[#This Row],[COGS]]</f>
        <v>90</v>
      </c>
      <c r="Z851" s="3">
        <f>(Table1[[#This Row],[Profit]]/Table1[[#This Row],[Revenue]])</f>
        <v>0.33333333333333331</v>
      </c>
      <c r="AA851" s="1">
        <f>Table1[[#This Row],[Profit]]-Table1[[#This Row],[Total Shipping]]</f>
        <v>0</v>
      </c>
      <c r="AB851" s="3">
        <f>Table1[[#This Row],[Operating Profit]]/Table1[[#This Row],[Revenue]]</f>
        <v>0</v>
      </c>
    </row>
    <row r="852" spans="1:28" x14ac:dyDescent="0.25">
      <c r="A852" t="s">
        <v>373</v>
      </c>
      <c r="B852">
        <v>220</v>
      </c>
      <c r="C852" t="s">
        <v>38</v>
      </c>
      <c r="D852" t="s">
        <v>67</v>
      </c>
      <c r="E852" t="s">
        <v>40</v>
      </c>
      <c r="F852" t="s">
        <v>59</v>
      </c>
      <c r="G852" t="str" cm="1">
        <f t="array" ref="G852">_xlfn.SWITCH(F852,"Acme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852" t="s">
        <v>69</v>
      </c>
      <c r="I852" t="s">
        <v>52</v>
      </c>
      <c r="J852" t="str" cm="1">
        <f t="array" ref="J852">_xlfn.SWITCH(I852,"P001","Laptop","P002","Server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52" s="1" cm="1">
        <f t="array" ref="K852">_xlfn.SWITCH(Table1[[#This Row],[Product ID]],"P001",220,"P002",150,"P003",130,"P004",70,"P005",200,"P006",40,"P007",25,"P008",20,"P009",190,"P010",530)</f>
        <v>130</v>
      </c>
      <c r="L852">
        <v>6</v>
      </c>
      <c r="M852" s="1">
        <f>Table1[[#This Row],[Unit Price]]*Table1[[#This Row],[Quantity]]</f>
        <v>780</v>
      </c>
      <c r="N852" s="2">
        <v>0.05</v>
      </c>
      <c r="O852" s="1">
        <f>Table1[[#This Row],[Gross Value]]*(1-Table1[[#This Row],[Discount]])</f>
        <v>741</v>
      </c>
      <c r="P852" s="2">
        <v>0.2</v>
      </c>
      <c r="Q852" s="1">
        <f>Table1[[#This Row],[Revenue]]*Table1[[#This Row],[VAT Rate]]</f>
        <v>148.20000000000002</v>
      </c>
      <c r="R852" s="1">
        <f>Table1[[#This Row],[Revenue]]+Table1[[#This Row],[VAT Charged]]</f>
        <v>889.2</v>
      </c>
      <c r="S852" s="1" cm="1">
        <f t="array" ref="S852">_xlfn.SWITCH(Table1[[#This Row],[Product ID]],"P001",140,"P002",80,"P003",72,"P004",30,"P005",110,"P006",24,"P007",14,"P008",12,"P009",115,"P010",360)</f>
        <v>72</v>
      </c>
      <c r="T852" s="1" cm="1">
        <f t="array" ref="T852">(_xlfn.SWITCH(Table1[[#This Row],[Product ID]],"P001",140,"P002",80,"P003",72,"P004",30,"P005",110,"P006",24,"P007",14,"P008",12,"P009",115,"P010",360))*Table1[[#This Row],[Quantity]]</f>
        <v>432</v>
      </c>
      <c r="U852" s="1" cm="1">
        <f t="array" ref="U852">_xlfn.SWITCH(Table1[[#This Row],[Product ID]],"P001",15,"P002",0,"P003",8,"P004",8,"P005",0,"P006",7,"P007",7,"P008",6,"P009",45,"P010",60)</f>
        <v>8</v>
      </c>
      <c r="V852" s="1">
        <f>Table1[[#This Row],[Shipping per Unit]]*Table1[[#This Row],[Quantity]]</f>
        <v>48</v>
      </c>
      <c r="W852" s="2">
        <f>IF(Table1[[#This Row],[Total Shipping]]&gt;0.1,0.2,0)</f>
        <v>0.2</v>
      </c>
      <c r="X852" s="4">
        <f>Table1[[#This Row],[Total Shipping]]*Table1[[#This Row],[VAT on Shipping]]</f>
        <v>9.6000000000000014</v>
      </c>
      <c r="Y852" s="1">
        <f>Table1[[#This Row],[Revenue]]-Table1[[#This Row],[COGS]]</f>
        <v>309</v>
      </c>
      <c r="Z852" s="3">
        <f>(Table1[[#This Row],[Profit]]/Table1[[#This Row],[Revenue]])</f>
        <v>0.41700404858299595</v>
      </c>
      <c r="AA852" s="1">
        <f>Table1[[#This Row],[Profit]]-Table1[[#This Row],[Total Shipping]]</f>
        <v>261</v>
      </c>
      <c r="AB852" s="3">
        <f>Table1[[#This Row],[Operating Profit]]/Table1[[#This Row],[Revenue]]</f>
        <v>0.35222672064777327</v>
      </c>
    </row>
    <row r="853" spans="1:28" x14ac:dyDescent="0.25">
      <c r="A853" t="s">
        <v>374</v>
      </c>
      <c r="B853">
        <v>153</v>
      </c>
      <c r="C853" t="s">
        <v>65</v>
      </c>
      <c r="D853" t="s">
        <v>30</v>
      </c>
      <c r="E853" t="s">
        <v>49</v>
      </c>
      <c r="F853" t="s">
        <v>50</v>
      </c>
      <c r="G853" t="str" cm="1">
        <f t="array" ref="G853">_xlfn.SWITCH(F853,"Acme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853" t="s">
        <v>33</v>
      </c>
      <c r="I853" t="s">
        <v>52</v>
      </c>
      <c r="J853" t="str" cm="1">
        <f t="array" ref="J853">_xlfn.SWITCH(I853,"P001","Laptop","P002","Server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53" s="1" cm="1">
        <f t="array" ref="K853">_xlfn.SWITCH(Table1[[#This Row],[Product ID]],"P001",220,"P002",150,"P003",130,"P004",70,"P005",200,"P006",40,"P007",25,"P008",20,"P009",190,"P010",530)</f>
        <v>130</v>
      </c>
      <c r="L853">
        <v>17</v>
      </c>
      <c r="M853" s="1">
        <f>Table1[[#This Row],[Unit Price]]*Table1[[#This Row],[Quantity]]</f>
        <v>2210</v>
      </c>
      <c r="N853" s="2">
        <v>0.06</v>
      </c>
      <c r="O853" s="1">
        <f>Table1[[#This Row],[Gross Value]]*(1-Table1[[#This Row],[Discount]])</f>
        <v>2077.4</v>
      </c>
      <c r="P853" s="2">
        <v>0.2</v>
      </c>
      <c r="Q853" s="1">
        <f>Table1[[#This Row],[Revenue]]*Table1[[#This Row],[VAT Rate]]</f>
        <v>415.48</v>
      </c>
      <c r="R853" s="1">
        <f>Table1[[#This Row],[Revenue]]+Table1[[#This Row],[VAT Charged]]</f>
        <v>2492.88</v>
      </c>
      <c r="S853" s="1" cm="1">
        <f t="array" ref="S853">_xlfn.SWITCH(Table1[[#This Row],[Product ID]],"P001",140,"P002",80,"P003",72,"P004",30,"P005",110,"P006",24,"P007",14,"P008",12,"P009",115,"P010",360)</f>
        <v>72</v>
      </c>
      <c r="T853" s="1" cm="1">
        <f t="array" ref="T853">(_xlfn.SWITCH(Table1[[#This Row],[Product ID]],"P001",140,"P002",80,"P003",72,"P004",30,"P005",110,"P006",24,"P007",14,"P008",12,"P009",115,"P010",360))*Table1[[#This Row],[Quantity]]</f>
        <v>1224</v>
      </c>
      <c r="U853" s="1" cm="1">
        <f t="array" ref="U853">_xlfn.SWITCH(Table1[[#This Row],[Product ID]],"P001",15,"P002",0,"P003",8,"P004",8,"P005",0,"P006",7,"P007",7,"P008",6,"P009",45,"P010",60)</f>
        <v>8</v>
      </c>
      <c r="V853" s="1">
        <f>Table1[[#This Row],[Shipping per Unit]]*Table1[[#This Row],[Quantity]]</f>
        <v>136</v>
      </c>
      <c r="W853" s="2">
        <f>IF(Table1[[#This Row],[Total Shipping]]&gt;0.1,0.2,0)</f>
        <v>0.2</v>
      </c>
      <c r="X853" s="4">
        <f>Table1[[#This Row],[Total Shipping]]*Table1[[#This Row],[VAT on Shipping]]</f>
        <v>27.200000000000003</v>
      </c>
      <c r="Y853" s="1">
        <f>Table1[[#This Row],[Revenue]]-Table1[[#This Row],[COGS]]</f>
        <v>853.40000000000009</v>
      </c>
      <c r="Z853" s="3">
        <f>(Table1[[#This Row],[Profit]]/Table1[[#This Row],[Revenue]])</f>
        <v>0.41080196399345337</v>
      </c>
      <c r="AA853" s="1">
        <f>Table1[[#This Row],[Profit]]-Table1[[#This Row],[Total Shipping]]</f>
        <v>717.40000000000009</v>
      </c>
      <c r="AB853" s="3">
        <f>Table1[[#This Row],[Operating Profit]]/Table1[[#This Row],[Revenue]]</f>
        <v>0.34533551554828151</v>
      </c>
    </row>
    <row r="854" spans="1:28" x14ac:dyDescent="0.25">
      <c r="A854" t="s">
        <v>374</v>
      </c>
      <c r="B854">
        <v>411</v>
      </c>
      <c r="C854" t="s">
        <v>83</v>
      </c>
      <c r="D854" t="s">
        <v>67</v>
      </c>
      <c r="E854" t="s">
        <v>49</v>
      </c>
      <c r="F854" t="s">
        <v>32</v>
      </c>
      <c r="G854" t="str" cm="1">
        <f t="array" ref="G854">_xlfn.SWITCH(F854,"Acme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854" t="s">
        <v>45</v>
      </c>
      <c r="I854" t="s">
        <v>55</v>
      </c>
      <c r="J854" t="str" cm="1">
        <f t="array" ref="J854">_xlfn.SWITCH(I854,"P001","Laptop","P002","Server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54" s="1" cm="1">
        <f t="array" ref="K854">_xlfn.SWITCH(Table1[[#This Row],[Product ID]],"P001",220,"P002",150,"P003",130,"P004",70,"P005",200,"P006",40,"P007",25,"P008",20,"P009",190,"P010",530)</f>
        <v>70</v>
      </c>
      <c r="L854">
        <v>18</v>
      </c>
      <c r="M854" s="1">
        <f>Table1[[#This Row],[Unit Price]]*Table1[[#This Row],[Quantity]]</f>
        <v>1260</v>
      </c>
      <c r="N854" s="2">
        <v>0.05</v>
      </c>
      <c r="O854" s="1">
        <f>Table1[[#This Row],[Gross Value]]*(1-Table1[[#This Row],[Discount]])</f>
        <v>1197</v>
      </c>
      <c r="P854" s="2">
        <v>0.2</v>
      </c>
      <c r="Q854" s="1">
        <f>Table1[[#This Row],[Revenue]]*Table1[[#This Row],[VAT Rate]]</f>
        <v>239.4</v>
      </c>
      <c r="R854" s="1">
        <f>Table1[[#This Row],[Revenue]]+Table1[[#This Row],[VAT Charged]]</f>
        <v>1436.4</v>
      </c>
      <c r="S854" s="1" cm="1">
        <f t="array" ref="S854">_xlfn.SWITCH(Table1[[#This Row],[Product ID]],"P001",140,"P002",80,"P003",72,"P004",30,"P005",110,"P006",24,"P007",14,"P008",12,"P009",115,"P010",360)</f>
        <v>30</v>
      </c>
      <c r="T854" s="1" cm="1">
        <f t="array" ref="T854">(_xlfn.SWITCH(Table1[[#This Row],[Product ID]],"P001",140,"P002",80,"P003",72,"P004",30,"P005",110,"P006",24,"P007",14,"P008",12,"P009",115,"P010",360))*Table1[[#This Row],[Quantity]]</f>
        <v>540</v>
      </c>
      <c r="U854" s="1" cm="1">
        <f t="array" ref="U854">_xlfn.SWITCH(Table1[[#This Row],[Product ID]],"P001",15,"P002",0,"P003",8,"P004",8,"P005",0,"P006",7,"P007",7,"P008",6,"P009",45,"P010",60)</f>
        <v>8</v>
      </c>
      <c r="V854" s="1">
        <f>Table1[[#This Row],[Shipping per Unit]]*Table1[[#This Row],[Quantity]]</f>
        <v>144</v>
      </c>
      <c r="W854" s="2">
        <f>IF(Table1[[#This Row],[Total Shipping]]&gt;0.1,0.2,0)</f>
        <v>0.2</v>
      </c>
      <c r="X854" s="4">
        <f>Table1[[#This Row],[Total Shipping]]*Table1[[#This Row],[VAT on Shipping]]</f>
        <v>28.8</v>
      </c>
      <c r="Y854" s="1">
        <f>Table1[[#This Row],[Revenue]]-Table1[[#This Row],[COGS]]</f>
        <v>657</v>
      </c>
      <c r="Z854" s="3">
        <f>(Table1[[#This Row],[Profit]]/Table1[[#This Row],[Revenue]])</f>
        <v>0.54887218045112784</v>
      </c>
      <c r="AA854" s="1">
        <f>Table1[[#This Row],[Profit]]-Table1[[#This Row],[Total Shipping]]</f>
        <v>513</v>
      </c>
      <c r="AB854" s="3">
        <f>Table1[[#This Row],[Operating Profit]]/Table1[[#This Row],[Revenue]]</f>
        <v>0.42857142857142855</v>
      </c>
    </row>
    <row r="855" spans="1:28" x14ac:dyDescent="0.25">
      <c r="A855" t="s">
        <v>374</v>
      </c>
      <c r="B855">
        <v>929</v>
      </c>
      <c r="C855" t="s">
        <v>83</v>
      </c>
      <c r="D855" t="s">
        <v>48</v>
      </c>
      <c r="E855" t="s">
        <v>40</v>
      </c>
      <c r="F855" t="s">
        <v>76</v>
      </c>
      <c r="G855" t="str" cm="1">
        <f t="array" ref="G855">_xlfn.SWITCH(F855,"Acme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855" t="s">
        <v>33</v>
      </c>
      <c r="I855" t="s">
        <v>55</v>
      </c>
      <c r="J855" t="str" cm="1">
        <f t="array" ref="J855">_xlfn.SWITCH(I855,"P001","Laptop","P002","Server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55" s="1" cm="1">
        <f t="array" ref="K855">_xlfn.SWITCH(Table1[[#This Row],[Product ID]],"P001",220,"P002",150,"P003",130,"P004",70,"P005",200,"P006",40,"P007",25,"P008",20,"P009",190,"P010",530)</f>
        <v>70</v>
      </c>
      <c r="L855">
        <v>4</v>
      </c>
      <c r="M855" s="1">
        <f>Table1[[#This Row],[Unit Price]]*Table1[[#This Row],[Quantity]]</f>
        <v>280</v>
      </c>
      <c r="N855" s="2">
        <v>0.06</v>
      </c>
      <c r="O855" s="1">
        <f>Table1[[#This Row],[Gross Value]]*(1-Table1[[#This Row],[Discount]])</f>
        <v>263.2</v>
      </c>
      <c r="P855" s="2">
        <v>0.2</v>
      </c>
      <c r="Q855" s="1">
        <f>Table1[[#This Row],[Revenue]]*Table1[[#This Row],[VAT Rate]]</f>
        <v>52.64</v>
      </c>
      <c r="R855" s="1">
        <f>Table1[[#This Row],[Revenue]]+Table1[[#This Row],[VAT Charged]]</f>
        <v>315.83999999999997</v>
      </c>
      <c r="S855" s="1" cm="1">
        <f t="array" ref="S855">_xlfn.SWITCH(Table1[[#This Row],[Product ID]],"P001",140,"P002",80,"P003",72,"P004",30,"P005",110,"P006",24,"P007",14,"P008",12,"P009",115,"P010",360)</f>
        <v>30</v>
      </c>
      <c r="T855" s="1" cm="1">
        <f t="array" ref="T855">(_xlfn.SWITCH(Table1[[#This Row],[Product ID]],"P001",140,"P002",80,"P003",72,"P004",30,"P005",110,"P006",24,"P007",14,"P008",12,"P009",115,"P010",360))*Table1[[#This Row],[Quantity]]</f>
        <v>120</v>
      </c>
      <c r="U855" s="1" cm="1">
        <f t="array" ref="U855">_xlfn.SWITCH(Table1[[#This Row],[Product ID]],"P001",15,"P002",0,"P003",8,"P004",8,"P005",0,"P006",7,"P007",7,"P008",6,"P009",45,"P010",60)</f>
        <v>8</v>
      </c>
      <c r="V855" s="1">
        <f>Table1[[#This Row],[Shipping per Unit]]*Table1[[#This Row],[Quantity]]</f>
        <v>32</v>
      </c>
      <c r="W855" s="2">
        <f>IF(Table1[[#This Row],[Total Shipping]]&gt;0.1,0.2,0)</f>
        <v>0.2</v>
      </c>
      <c r="X855" s="4">
        <f>Table1[[#This Row],[Total Shipping]]*Table1[[#This Row],[VAT on Shipping]]</f>
        <v>6.4</v>
      </c>
      <c r="Y855" s="1">
        <f>Table1[[#This Row],[Revenue]]-Table1[[#This Row],[COGS]]</f>
        <v>143.19999999999999</v>
      </c>
      <c r="Z855" s="3">
        <f>(Table1[[#This Row],[Profit]]/Table1[[#This Row],[Revenue]])</f>
        <v>0.54407294832826747</v>
      </c>
      <c r="AA855" s="1">
        <f>Table1[[#This Row],[Profit]]-Table1[[#This Row],[Total Shipping]]</f>
        <v>111.19999999999999</v>
      </c>
      <c r="AB855" s="3">
        <f>Table1[[#This Row],[Operating Profit]]/Table1[[#This Row],[Revenue]]</f>
        <v>0.42249240121580545</v>
      </c>
    </row>
    <row r="856" spans="1:28" x14ac:dyDescent="0.25">
      <c r="A856" t="s">
        <v>375</v>
      </c>
      <c r="B856">
        <v>767</v>
      </c>
      <c r="C856" t="s">
        <v>29</v>
      </c>
      <c r="D856" t="s">
        <v>39</v>
      </c>
      <c r="E856" t="s">
        <v>49</v>
      </c>
      <c r="F856" t="s">
        <v>50</v>
      </c>
      <c r="G856" t="str" cm="1">
        <f t="array" ref="G856">_xlfn.SWITCH(F856,"Acme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856" t="s">
        <v>58</v>
      </c>
      <c r="I856" t="s">
        <v>46</v>
      </c>
      <c r="J856" t="str" cm="1">
        <f t="array" ref="J856">_xlfn.SWITCH(I856,"P001","Laptop","P002","Server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856" s="1" cm="1">
        <f t="array" ref="K856">_xlfn.SWITCH(Table1[[#This Row],[Product ID]],"P001",220,"P002",150,"P003",130,"P004",70,"P005",200,"P006",40,"P007",25,"P008",20,"P009",190,"P010",530)</f>
        <v>530</v>
      </c>
      <c r="L856">
        <v>10</v>
      </c>
      <c r="M856" s="1">
        <f>Table1[[#This Row],[Unit Price]]*Table1[[#This Row],[Quantity]]</f>
        <v>5300</v>
      </c>
      <c r="N856" s="2">
        <v>0.09</v>
      </c>
      <c r="O856" s="1">
        <f>Table1[[#This Row],[Gross Value]]*(1-Table1[[#This Row],[Discount]])</f>
        <v>4823</v>
      </c>
      <c r="P856" s="2">
        <v>0.2</v>
      </c>
      <c r="Q856" s="1">
        <f>Table1[[#This Row],[Revenue]]*Table1[[#This Row],[VAT Rate]]</f>
        <v>964.6</v>
      </c>
      <c r="R856" s="1">
        <f>Table1[[#This Row],[Revenue]]+Table1[[#This Row],[VAT Charged]]</f>
        <v>5787.6</v>
      </c>
      <c r="S856" s="1" cm="1">
        <f t="array" ref="S856">_xlfn.SWITCH(Table1[[#This Row],[Product ID]],"P001",140,"P002",80,"P003",72,"P004",30,"P005",110,"P006",24,"P007",14,"P008",12,"P009",115,"P010",360)</f>
        <v>360</v>
      </c>
      <c r="T856" s="1" cm="1">
        <f t="array" ref="T856">(_xlfn.SWITCH(Table1[[#This Row],[Product ID]],"P001",140,"P002",80,"P003",72,"P004",30,"P005",110,"P006",24,"P007",14,"P008",12,"P009",115,"P010",360))*Table1[[#This Row],[Quantity]]</f>
        <v>3600</v>
      </c>
      <c r="U856" s="1" cm="1">
        <f t="array" ref="U856">_xlfn.SWITCH(Table1[[#This Row],[Product ID]],"P001",15,"P002",0,"P003",8,"P004",8,"P005",0,"P006",7,"P007",7,"P008",6,"P009",45,"P010",60)</f>
        <v>60</v>
      </c>
      <c r="V856" s="1">
        <f>Table1[[#This Row],[Shipping per Unit]]*Table1[[#This Row],[Quantity]]</f>
        <v>600</v>
      </c>
      <c r="W856" s="2">
        <f>IF(Table1[[#This Row],[Total Shipping]]&gt;0.1,0.2,0)</f>
        <v>0.2</v>
      </c>
      <c r="X856" s="4">
        <f>Table1[[#This Row],[Total Shipping]]*Table1[[#This Row],[VAT on Shipping]]</f>
        <v>120</v>
      </c>
      <c r="Y856" s="1">
        <f>Table1[[#This Row],[Revenue]]-Table1[[#This Row],[COGS]]</f>
        <v>1223</v>
      </c>
      <c r="Z856" s="3">
        <f>(Table1[[#This Row],[Profit]]/Table1[[#This Row],[Revenue]])</f>
        <v>0.25357661206717813</v>
      </c>
      <c r="AA856" s="1">
        <f>Table1[[#This Row],[Profit]]-Table1[[#This Row],[Total Shipping]]</f>
        <v>623</v>
      </c>
      <c r="AB856" s="3">
        <f>Table1[[#This Row],[Operating Profit]]/Table1[[#This Row],[Revenue]]</f>
        <v>0.12917271407837447</v>
      </c>
    </row>
    <row r="857" spans="1:28" x14ac:dyDescent="0.25">
      <c r="A857" t="s">
        <v>376</v>
      </c>
      <c r="B857">
        <v>19</v>
      </c>
      <c r="C857" t="s">
        <v>35</v>
      </c>
      <c r="D857" t="s">
        <v>63</v>
      </c>
      <c r="E857" t="s">
        <v>49</v>
      </c>
      <c r="F857" t="s">
        <v>66</v>
      </c>
      <c r="G857" t="str" cm="1">
        <f t="array" ref="G857">_xlfn.SWITCH(F857,"Acme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857" t="s">
        <v>51</v>
      </c>
      <c r="I857" t="s">
        <v>55</v>
      </c>
      <c r="J857" t="str" cm="1">
        <f t="array" ref="J857">_xlfn.SWITCH(I857,"P001","Laptop","P002","Server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57" s="1" cm="1">
        <f t="array" ref="K857">_xlfn.SWITCH(Table1[[#This Row],[Product ID]],"P001",220,"P002",150,"P003",130,"P004",70,"P005",200,"P006",40,"P007",25,"P008",20,"P009",190,"P010",530)</f>
        <v>70</v>
      </c>
      <c r="L857">
        <v>17</v>
      </c>
      <c r="M857" s="1">
        <f>Table1[[#This Row],[Unit Price]]*Table1[[#This Row],[Quantity]]</f>
        <v>1190</v>
      </c>
      <c r="N857" s="2">
        <v>0.06</v>
      </c>
      <c r="O857" s="1">
        <f>Table1[[#This Row],[Gross Value]]*(1-Table1[[#This Row],[Discount]])</f>
        <v>1118.5999999999999</v>
      </c>
      <c r="P857" s="2">
        <v>0.2</v>
      </c>
      <c r="Q857" s="1">
        <f>Table1[[#This Row],[Revenue]]*Table1[[#This Row],[VAT Rate]]</f>
        <v>223.72</v>
      </c>
      <c r="R857" s="1">
        <f>Table1[[#This Row],[Revenue]]+Table1[[#This Row],[VAT Charged]]</f>
        <v>1342.32</v>
      </c>
      <c r="S857" s="1" cm="1">
        <f t="array" ref="S857">_xlfn.SWITCH(Table1[[#This Row],[Product ID]],"P001",140,"P002",80,"P003",72,"P004",30,"P005",110,"P006",24,"P007",14,"P008",12,"P009",115,"P010",360)</f>
        <v>30</v>
      </c>
      <c r="T857" s="1" cm="1">
        <f t="array" ref="T857">(_xlfn.SWITCH(Table1[[#This Row],[Product ID]],"P001",140,"P002",80,"P003",72,"P004",30,"P005",110,"P006",24,"P007",14,"P008",12,"P009",115,"P010",360))*Table1[[#This Row],[Quantity]]</f>
        <v>510</v>
      </c>
      <c r="U857" s="1" cm="1">
        <f t="array" ref="U857">_xlfn.SWITCH(Table1[[#This Row],[Product ID]],"P001",15,"P002",0,"P003",8,"P004",8,"P005",0,"P006",7,"P007",7,"P008",6,"P009",45,"P010",60)</f>
        <v>8</v>
      </c>
      <c r="V857" s="1">
        <f>Table1[[#This Row],[Shipping per Unit]]*Table1[[#This Row],[Quantity]]</f>
        <v>136</v>
      </c>
      <c r="W857" s="2">
        <f>IF(Table1[[#This Row],[Total Shipping]]&gt;0.1,0.2,0)</f>
        <v>0.2</v>
      </c>
      <c r="X857" s="4">
        <f>Table1[[#This Row],[Total Shipping]]*Table1[[#This Row],[VAT on Shipping]]</f>
        <v>27.200000000000003</v>
      </c>
      <c r="Y857" s="1">
        <f>Table1[[#This Row],[Revenue]]-Table1[[#This Row],[COGS]]</f>
        <v>608.59999999999991</v>
      </c>
      <c r="Z857" s="3">
        <f>(Table1[[#This Row],[Profit]]/Table1[[#This Row],[Revenue]])</f>
        <v>0.54407294832826747</v>
      </c>
      <c r="AA857" s="1">
        <f>Table1[[#This Row],[Profit]]-Table1[[#This Row],[Total Shipping]]</f>
        <v>472.59999999999991</v>
      </c>
      <c r="AB857" s="3">
        <f>Table1[[#This Row],[Operating Profit]]/Table1[[#This Row],[Revenue]]</f>
        <v>0.42249240121580545</v>
      </c>
    </row>
    <row r="858" spans="1:28" x14ac:dyDescent="0.25">
      <c r="A858" t="s">
        <v>376</v>
      </c>
      <c r="B858">
        <v>583</v>
      </c>
      <c r="C858" t="s">
        <v>56</v>
      </c>
      <c r="D858" t="s">
        <v>95</v>
      </c>
      <c r="E858" t="s">
        <v>49</v>
      </c>
      <c r="F858" t="s">
        <v>32</v>
      </c>
      <c r="G858" t="str" cm="1">
        <f t="array" ref="G858">_xlfn.SWITCH(F858,"Acme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858" t="s">
        <v>58</v>
      </c>
      <c r="I858" t="s">
        <v>34</v>
      </c>
      <c r="J858" t="str" cm="1">
        <f t="array" ref="J858">_xlfn.SWITCH(I858,"P001","Laptop","P002","Server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58" s="1" cm="1">
        <f t="array" ref="K858">_xlfn.SWITCH(Table1[[#This Row],[Product ID]],"P001",220,"P002",150,"P003",130,"P004",70,"P005",200,"P006",40,"P007",25,"P008",20,"P009",190,"P010",530)</f>
        <v>20</v>
      </c>
      <c r="L858">
        <v>14</v>
      </c>
      <c r="M858" s="1">
        <f>Table1[[#This Row],[Unit Price]]*Table1[[#This Row],[Quantity]]</f>
        <v>280</v>
      </c>
      <c r="N858" s="2">
        <v>0.1</v>
      </c>
      <c r="O858" s="1">
        <f>Table1[[#This Row],[Gross Value]]*(1-Table1[[#This Row],[Discount]])</f>
        <v>252</v>
      </c>
      <c r="P858" s="2">
        <v>0.2</v>
      </c>
      <c r="Q858" s="1">
        <f>Table1[[#This Row],[Revenue]]*Table1[[#This Row],[VAT Rate]]</f>
        <v>50.400000000000006</v>
      </c>
      <c r="R858" s="1">
        <f>Table1[[#This Row],[Revenue]]+Table1[[#This Row],[VAT Charged]]</f>
        <v>302.39999999999998</v>
      </c>
      <c r="S858" s="1" cm="1">
        <f t="array" ref="S858">_xlfn.SWITCH(Table1[[#This Row],[Product ID]],"P001",140,"P002",80,"P003",72,"P004",30,"P005",110,"P006",24,"P007",14,"P008",12,"P009",115,"P010",360)</f>
        <v>12</v>
      </c>
      <c r="T858" s="1" cm="1">
        <f t="array" ref="T858">(_xlfn.SWITCH(Table1[[#This Row],[Product ID]],"P001",140,"P002",80,"P003",72,"P004",30,"P005",110,"P006",24,"P007",14,"P008",12,"P009",115,"P010",360))*Table1[[#This Row],[Quantity]]</f>
        <v>168</v>
      </c>
      <c r="U858" s="1" cm="1">
        <f t="array" ref="U858">_xlfn.SWITCH(Table1[[#This Row],[Product ID]],"P001",15,"P002",0,"P003",8,"P004",8,"P005",0,"P006",7,"P007",7,"P008",6,"P009",45,"P010",60)</f>
        <v>6</v>
      </c>
      <c r="V858" s="1">
        <f>Table1[[#This Row],[Shipping per Unit]]*Table1[[#This Row],[Quantity]]</f>
        <v>84</v>
      </c>
      <c r="W858" s="2">
        <f>IF(Table1[[#This Row],[Total Shipping]]&gt;0.1,0.2,0)</f>
        <v>0.2</v>
      </c>
      <c r="X858" s="4">
        <f>Table1[[#This Row],[Total Shipping]]*Table1[[#This Row],[VAT on Shipping]]</f>
        <v>16.8</v>
      </c>
      <c r="Y858" s="1">
        <f>Table1[[#This Row],[Revenue]]-Table1[[#This Row],[COGS]]</f>
        <v>84</v>
      </c>
      <c r="Z858" s="3">
        <f>(Table1[[#This Row],[Profit]]/Table1[[#This Row],[Revenue]])</f>
        <v>0.33333333333333331</v>
      </c>
      <c r="AA858" s="1">
        <f>Table1[[#This Row],[Profit]]-Table1[[#This Row],[Total Shipping]]</f>
        <v>0</v>
      </c>
      <c r="AB858" s="3">
        <f>Table1[[#This Row],[Operating Profit]]/Table1[[#This Row],[Revenue]]</f>
        <v>0</v>
      </c>
    </row>
    <row r="859" spans="1:28" x14ac:dyDescent="0.25">
      <c r="A859" t="s">
        <v>376</v>
      </c>
      <c r="B859">
        <v>991</v>
      </c>
      <c r="C859" t="s">
        <v>38</v>
      </c>
      <c r="D859" t="s">
        <v>39</v>
      </c>
      <c r="E859" t="s">
        <v>40</v>
      </c>
      <c r="F859" t="s">
        <v>92</v>
      </c>
      <c r="G859" t="str" cm="1">
        <f t="array" ref="G859">_xlfn.SWITCH(F859,"Acme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59" t="s">
        <v>33</v>
      </c>
      <c r="I859" t="s">
        <v>55</v>
      </c>
      <c r="J859" t="str" cm="1">
        <f t="array" ref="J859">_xlfn.SWITCH(I859,"P001","Laptop","P002","Server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59" s="1" cm="1">
        <f t="array" ref="K859">_xlfn.SWITCH(Table1[[#This Row],[Product ID]],"P001",220,"P002",150,"P003",130,"P004",70,"P005",200,"P006",40,"P007",25,"P008",20,"P009",190,"P010",530)</f>
        <v>70</v>
      </c>
      <c r="L859">
        <v>2</v>
      </c>
      <c r="M859" s="1">
        <f>Table1[[#This Row],[Unit Price]]*Table1[[#This Row],[Quantity]]</f>
        <v>140</v>
      </c>
      <c r="N859" s="2">
        <v>0.06</v>
      </c>
      <c r="O859" s="1">
        <f>Table1[[#This Row],[Gross Value]]*(1-Table1[[#This Row],[Discount]])</f>
        <v>131.6</v>
      </c>
      <c r="P859" s="2">
        <v>0.2</v>
      </c>
      <c r="Q859" s="1">
        <f>Table1[[#This Row],[Revenue]]*Table1[[#This Row],[VAT Rate]]</f>
        <v>26.32</v>
      </c>
      <c r="R859" s="1">
        <f>Table1[[#This Row],[Revenue]]+Table1[[#This Row],[VAT Charged]]</f>
        <v>157.91999999999999</v>
      </c>
      <c r="S859" s="1" cm="1">
        <f t="array" ref="S859">_xlfn.SWITCH(Table1[[#This Row],[Product ID]],"P001",140,"P002",80,"P003",72,"P004",30,"P005",110,"P006",24,"P007",14,"P008",12,"P009",115,"P010",360)</f>
        <v>30</v>
      </c>
      <c r="T859" s="1" cm="1">
        <f t="array" ref="T859">(_xlfn.SWITCH(Table1[[#This Row],[Product ID]],"P001",140,"P002",80,"P003",72,"P004",30,"P005",110,"P006",24,"P007",14,"P008",12,"P009",115,"P010",360))*Table1[[#This Row],[Quantity]]</f>
        <v>60</v>
      </c>
      <c r="U859" s="1" cm="1">
        <f t="array" ref="U859">_xlfn.SWITCH(Table1[[#This Row],[Product ID]],"P001",15,"P002",0,"P003",8,"P004",8,"P005",0,"P006",7,"P007",7,"P008",6,"P009",45,"P010",60)</f>
        <v>8</v>
      </c>
      <c r="V859" s="1">
        <f>Table1[[#This Row],[Shipping per Unit]]*Table1[[#This Row],[Quantity]]</f>
        <v>16</v>
      </c>
      <c r="W859" s="2">
        <f>IF(Table1[[#This Row],[Total Shipping]]&gt;0.1,0.2,0)</f>
        <v>0.2</v>
      </c>
      <c r="X859" s="4">
        <f>Table1[[#This Row],[Total Shipping]]*Table1[[#This Row],[VAT on Shipping]]</f>
        <v>3.2</v>
      </c>
      <c r="Y859" s="1">
        <f>Table1[[#This Row],[Revenue]]-Table1[[#This Row],[COGS]]</f>
        <v>71.599999999999994</v>
      </c>
      <c r="Z859" s="3">
        <f>(Table1[[#This Row],[Profit]]/Table1[[#This Row],[Revenue]])</f>
        <v>0.54407294832826747</v>
      </c>
      <c r="AA859" s="1">
        <f>Table1[[#This Row],[Profit]]-Table1[[#This Row],[Total Shipping]]</f>
        <v>55.599999999999994</v>
      </c>
      <c r="AB859" s="3">
        <f>Table1[[#This Row],[Operating Profit]]/Table1[[#This Row],[Revenue]]</f>
        <v>0.42249240121580545</v>
      </c>
    </row>
    <row r="860" spans="1:28" x14ac:dyDescent="0.25">
      <c r="A860" t="s">
        <v>377</v>
      </c>
      <c r="B860">
        <v>106</v>
      </c>
      <c r="C860" t="s">
        <v>56</v>
      </c>
      <c r="D860" t="s">
        <v>57</v>
      </c>
      <c r="E860" t="s">
        <v>49</v>
      </c>
      <c r="F860" t="s">
        <v>41</v>
      </c>
      <c r="G860" t="str" cm="1">
        <f t="array" ref="G860">_xlfn.SWITCH(F860,"Acme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860" t="s">
        <v>51</v>
      </c>
      <c r="I860" t="s">
        <v>70</v>
      </c>
      <c r="J860" t="str" cm="1">
        <f t="array" ref="J860">_xlfn.SWITCH(I860,"P001","Laptop","P002","Server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860" s="1" cm="1">
        <f t="array" ref="K860">_xlfn.SWITCH(Table1[[#This Row],[Product ID]],"P001",220,"P002",150,"P003",130,"P004",70,"P005",200,"P006",40,"P007",25,"P008",20,"P009",190,"P010",530)</f>
        <v>150</v>
      </c>
      <c r="L860">
        <v>8</v>
      </c>
      <c r="M860" s="1">
        <f>Table1[[#This Row],[Unit Price]]*Table1[[#This Row],[Quantity]]</f>
        <v>1200</v>
      </c>
      <c r="N860" s="2">
        <v>0.03</v>
      </c>
      <c r="O860" s="1">
        <f>Table1[[#This Row],[Gross Value]]*(1-Table1[[#This Row],[Discount]])</f>
        <v>1164</v>
      </c>
      <c r="P860" s="2">
        <v>0.2</v>
      </c>
      <c r="Q860" s="1">
        <f>Table1[[#This Row],[Revenue]]*Table1[[#This Row],[VAT Rate]]</f>
        <v>232.8</v>
      </c>
      <c r="R860" s="1">
        <f>Table1[[#This Row],[Revenue]]+Table1[[#This Row],[VAT Charged]]</f>
        <v>1396.8</v>
      </c>
      <c r="S860" s="1" cm="1">
        <f t="array" ref="S860">_xlfn.SWITCH(Table1[[#This Row],[Product ID]],"P001",140,"P002",80,"P003",72,"P004",30,"P005",110,"P006",24,"P007",14,"P008",12,"P009",115,"P010",360)</f>
        <v>80</v>
      </c>
      <c r="T860" s="1" cm="1">
        <f t="array" ref="T860">(_xlfn.SWITCH(Table1[[#This Row],[Product ID]],"P001",140,"P002",80,"P003",72,"P004",30,"P005",110,"P006",24,"P007",14,"P008",12,"P009",115,"P010",360))*Table1[[#This Row],[Quantity]]</f>
        <v>640</v>
      </c>
      <c r="U860" s="1" cm="1">
        <f t="array" ref="U860">_xlfn.SWITCH(Table1[[#This Row],[Product ID]],"P001",15,"P002",0,"P003",8,"P004",8,"P005",0,"P006",7,"P007",7,"P008",6,"P009",45,"P010",60)</f>
        <v>0</v>
      </c>
      <c r="V860" s="1">
        <f>Table1[[#This Row],[Shipping per Unit]]*Table1[[#This Row],[Quantity]]</f>
        <v>0</v>
      </c>
      <c r="W860" s="2">
        <f>IF(Table1[[#This Row],[Total Shipping]]&gt;0.1,0.2,0)</f>
        <v>0</v>
      </c>
      <c r="X860" s="4">
        <f>Table1[[#This Row],[Total Shipping]]*Table1[[#This Row],[VAT on Shipping]]</f>
        <v>0</v>
      </c>
      <c r="Y860" s="1">
        <f>Table1[[#This Row],[Revenue]]-Table1[[#This Row],[COGS]]</f>
        <v>524</v>
      </c>
      <c r="Z860" s="3">
        <f>(Table1[[#This Row],[Profit]]/Table1[[#This Row],[Revenue]])</f>
        <v>0.45017182130584193</v>
      </c>
      <c r="AA860" s="1">
        <f>Table1[[#This Row],[Profit]]-Table1[[#This Row],[Total Shipping]]</f>
        <v>524</v>
      </c>
      <c r="AB860" s="3">
        <f>Table1[[#This Row],[Operating Profit]]/Table1[[#This Row],[Revenue]]</f>
        <v>0.45017182130584193</v>
      </c>
    </row>
    <row r="861" spans="1:28" x14ac:dyDescent="0.25">
      <c r="A861" t="s">
        <v>377</v>
      </c>
      <c r="B861">
        <v>178</v>
      </c>
      <c r="C861" t="s">
        <v>56</v>
      </c>
      <c r="D861" t="s">
        <v>57</v>
      </c>
      <c r="E861" t="s">
        <v>31</v>
      </c>
      <c r="F861" t="s">
        <v>44</v>
      </c>
      <c r="G861" t="str" cm="1">
        <f t="array" ref="G861">_xlfn.SWITCH(F861,"Acme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861" t="s">
        <v>33</v>
      </c>
      <c r="I861" t="s">
        <v>68</v>
      </c>
      <c r="J861" t="str" cm="1">
        <f t="array" ref="J861">_xlfn.SWITCH(I861,"P001","Laptop","P002","Server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61" s="1" cm="1">
        <f t="array" ref="K861">_xlfn.SWITCH(Table1[[#This Row],[Product ID]],"P001",220,"P002",150,"P003",130,"P004",70,"P005",200,"P006",40,"P007",25,"P008",20,"P009",190,"P010",530)</f>
        <v>220</v>
      </c>
      <c r="L861">
        <v>17</v>
      </c>
      <c r="M861" s="1">
        <f>Table1[[#This Row],[Unit Price]]*Table1[[#This Row],[Quantity]]</f>
        <v>3740</v>
      </c>
      <c r="N861" s="2">
        <v>0.09</v>
      </c>
      <c r="O861" s="1">
        <f>Table1[[#This Row],[Gross Value]]*(1-Table1[[#This Row],[Discount]])</f>
        <v>3403.4</v>
      </c>
      <c r="P861" s="2">
        <v>0.2</v>
      </c>
      <c r="Q861" s="1">
        <f>Table1[[#This Row],[Revenue]]*Table1[[#This Row],[VAT Rate]]</f>
        <v>680.68000000000006</v>
      </c>
      <c r="R861" s="1">
        <f>Table1[[#This Row],[Revenue]]+Table1[[#This Row],[VAT Charged]]</f>
        <v>4084.08</v>
      </c>
      <c r="S861" s="1" cm="1">
        <f t="array" ref="S861">_xlfn.SWITCH(Table1[[#This Row],[Product ID]],"P001",140,"P002",80,"P003",72,"P004",30,"P005",110,"P006",24,"P007",14,"P008",12,"P009",115,"P010",360)</f>
        <v>140</v>
      </c>
      <c r="T861" s="1" cm="1">
        <f t="array" ref="T861">(_xlfn.SWITCH(Table1[[#This Row],[Product ID]],"P001",140,"P002",80,"P003",72,"P004",30,"P005",110,"P006",24,"P007",14,"P008",12,"P009",115,"P010",360))*Table1[[#This Row],[Quantity]]</f>
        <v>2380</v>
      </c>
      <c r="U861" s="1" cm="1">
        <f t="array" ref="U861">_xlfn.SWITCH(Table1[[#This Row],[Product ID]],"P001",15,"P002",0,"P003",8,"P004",8,"P005",0,"P006",7,"P007",7,"P008",6,"P009",45,"P010",60)</f>
        <v>15</v>
      </c>
      <c r="V861" s="1">
        <f>Table1[[#This Row],[Shipping per Unit]]*Table1[[#This Row],[Quantity]]</f>
        <v>255</v>
      </c>
      <c r="W861" s="2">
        <f>IF(Table1[[#This Row],[Total Shipping]]&gt;0.1,0.2,0)</f>
        <v>0.2</v>
      </c>
      <c r="X861" s="4">
        <f>Table1[[#This Row],[Total Shipping]]*Table1[[#This Row],[VAT on Shipping]]</f>
        <v>51</v>
      </c>
      <c r="Y861" s="1">
        <f>Table1[[#This Row],[Revenue]]-Table1[[#This Row],[COGS]]</f>
        <v>1023.4000000000001</v>
      </c>
      <c r="Z861" s="3">
        <f>(Table1[[#This Row],[Profit]]/Table1[[#This Row],[Revenue]])</f>
        <v>0.30069930069930073</v>
      </c>
      <c r="AA861" s="1">
        <f>Table1[[#This Row],[Profit]]-Table1[[#This Row],[Total Shipping]]</f>
        <v>768.40000000000009</v>
      </c>
      <c r="AB861" s="3">
        <f>Table1[[#This Row],[Operating Profit]]/Table1[[#This Row],[Revenue]]</f>
        <v>0.22577422577422579</v>
      </c>
    </row>
    <row r="862" spans="1:28" x14ac:dyDescent="0.25">
      <c r="A862" t="s">
        <v>377</v>
      </c>
      <c r="B862">
        <v>770</v>
      </c>
      <c r="C862" t="s">
        <v>29</v>
      </c>
      <c r="D862" t="s">
        <v>36</v>
      </c>
      <c r="E862" t="s">
        <v>31</v>
      </c>
      <c r="F862" t="s">
        <v>92</v>
      </c>
      <c r="G862" t="str" cm="1">
        <f t="array" ref="G862">_xlfn.SWITCH(F862,"Acme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62" t="s">
        <v>33</v>
      </c>
      <c r="I862" t="s">
        <v>42</v>
      </c>
      <c r="J862" t="str" cm="1">
        <f t="array" ref="J862">_xlfn.SWITCH(I862,"P001","Laptop","P002","Server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62" s="1" cm="1">
        <f t="array" ref="K862">_xlfn.SWITCH(Table1[[#This Row],[Product ID]],"P001",220,"P002",150,"P003",130,"P004",70,"P005",200,"P006",40,"P007",25,"P008",20,"P009",190,"P010",530)</f>
        <v>40</v>
      </c>
      <c r="L862">
        <v>11</v>
      </c>
      <c r="M862" s="1">
        <f>Table1[[#This Row],[Unit Price]]*Table1[[#This Row],[Quantity]]</f>
        <v>440</v>
      </c>
      <c r="N862" s="2">
        <v>0.04</v>
      </c>
      <c r="O862" s="1">
        <f>Table1[[#This Row],[Gross Value]]*(1-Table1[[#This Row],[Discount]])</f>
        <v>422.4</v>
      </c>
      <c r="P862" s="2">
        <v>0.2</v>
      </c>
      <c r="Q862" s="1">
        <f>Table1[[#This Row],[Revenue]]*Table1[[#This Row],[VAT Rate]]</f>
        <v>84.48</v>
      </c>
      <c r="R862" s="1">
        <f>Table1[[#This Row],[Revenue]]+Table1[[#This Row],[VAT Charged]]</f>
        <v>506.88</v>
      </c>
      <c r="S862" s="1" cm="1">
        <f t="array" ref="S862">_xlfn.SWITCH(Table1[[#This Row],[Product ID]],"P001",140,"P002",80,"P003",72,"P004",30,"P005",110,"P006",24,"P007",14,"P008",12,"P009",115,"P010",360)</f>
        <v>24</v>
      </c>
      <c r="T862" s="1" cm="1">
        <f t="array" ref="T862">(_xlfn.SWITCH(Table1[[#This Row],[Product ID]],"P001",140,"P002",80,"P003",72,"P004",30,"P005",110,"P006",24,"P007",14,"P008",12,"P009",115,"P010",360))*Table1[[#This Row],[Quantity]]</f>
        <v>264</v>
      </c>
      <c r="U862" s="1" cm="1">
        <f t="array" ref="U862">_xlfn.SWITCH(Table1[[#This Row],[Product ID]],"P001",15,"P002",0,"P003",8,"P004",8,"P005",0,"P006",7,"P007",7,"P008",6,"P009",45,"P010",60)</f>
        <v>7</v>
      </c>
      <c r="V862" s="1">
        <f>Table1[[#This Row],[Shipping per Unit]]*Table1[[#This Row],[Quantity]]</f>
        <v>77</v>
      </c>
      <c r="W862" s="2">
        <f>IF(Table1[[#This Row],[Total Shipping]]&gt;0.1,0.2,0)</f>
        <v>0.2</v>
      </c>
      <c r="X862" s="4">
        <f>Table1[[#This Row],[Total Shipping]]*Table1[[#This Row],[VAT on Shipping]]</f>
        <v>15.4</v>
      </c>
      <c r="Y862" s="1">
        <f>Table1[[#This Row],[Revenue]]-Table1[[#This Row],[COGS]]</f>
        <v>158.39999999999998</v>
      </c>
      <c r="Z862" s="3">
        <f>(Table1[[#This Row],[Profit]]/Table1[[#This Row],[Revenue]])</f>
        <v>0.37499999999999994</v>
      </c>
      <c r="AA862" s="1">
        <f>Table1[[#This Row],[Profit]]-Table1[[#This Row],[Total Shipping]]</f>
        <v>81.399999999999977</v>
      </c>
      <c r="AB862" s="3">
        <f>Table1[[#This Row],[Operating Profit]]/Table1[[#This Row],[Revenue]]</f>
        <v>0.19270833333333329</v>
      </c>
    </row>
    <row r="863" spans="1:28" x14ac:dyDescent="0.25">
      <c r="A863" t="s">
        <v>378</v>
      </c>
      <c r="B863">
        <v>378</v>
      </c>
      <c r="C863" t="s">
        <v>83</v>
      </c>
      <c r="D863" t="s">
        <v>72</v>
      </c>
      <c r="E863" t="s">
        <v>40</v>
      </c>
      <c r="F863" t="s">
        <v>59</v>
      </c>
      <c r="G863" t="str" cm="1">
        <f t="array" ref="G863">_xlfn.SWITCH(F863,"Acme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863" t="s">
        <v>33</v>
      </c>
      <c r="I863" t="s">
        <v>68</v>
      </c>
      <c r="J863" t="str" cm="1">
        <f t="array" ref="J863">_xlfn.SWITCH(I863,"P001","Laptop","P002","Server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63" s="1" cm="1">
        <f t="array" ref="K863">_xlfn.SWITCH(Table1[[#This Row],[Product ID]],"P001",220,"P002",150,"P003",130,"P004",70,"P005",200,"P006",40,"P007",25,"P008",20,"P009",190,"P010",530)</f>
        <v>220</v>
      </c>
      <c r="L863">
        <v>3</v>
      </c>
      <c r="M863" s="1">
        <f>Table1[[#This Row],[Unit Price]]*Table1[[#This Row],[Quantity]]</f>
        <v>660</v>
      </c>
      <c r="N863" s="2">
        <v>0.08</v>
      </c>
      <c r="O863" s="1">
        <f>Table1[[#This Row],[Gross Value]]*(1-Table1[[#This Row],[Discount]])</f>
        <v>607.20000000000005</v>
      </c>
      <c r="P863" s="2">
        <v>0.2</v>
      </c>
      <c r="Q863" s="1">
        <f>Table1[[#This Row],[Revenue]]*Table1[[#This Row],[VAT Rate]]</f>
        <v>121.44000000000001</v>
      </c>
      <c r="R863" s="1">
        <f>Table1[[#This Row],[Revenue]]+Table1[[#This Row],[VAT Charged]]</f>
        <v>728.6400000000001</v>
      </c>
      <c r="S863" s="1" cm="1">
        <f t="array" ref="S863">_xlfn.SWITCH(Table1[[#This Row],[Product ID]],"P001",140,"P002",80,"P003",72,"P004",30,"P005",110,"P006",24,"P007",14,"P008",12,"P009",115,"P010",360)</f>
        <v>140</v>
      </c>
      <c r="T863" s="1" cm="1">
        <f t="array" ref="T863">(_xlfn.SWITCH(Table1[[#This Row],[Product ID]],"P001",140,"P002",80,"P003",72,"P004",30,"P005",110,"P006",24,"P007",14,"P008",12,"P009",115,"P010",360))*Table1[[#This Row],[Quantity]]</f>
        <v>420</v>
      </c>
      <c r="U863" s="1" cm="1">
        <f t="array" ref="U863">_xlfn.SWITCH(Table1[[#This Row],[Product ID]],"P001",15,"P002",0,"P003",8,"P004",8,"P005",0,"P006",7,"P007",7,"P008",6,"P009",45,"P010",60)</f>
        <v>15</v>
      </c>
      <c r="V863" s="1">
        <f>Table1[[#This Row],[Shipping per Unit]]*Table1[[#This Row],[Quantity]]</f>
        <v>45</v>
      </c>
      <c r="W863" s="2">
        <f>IF(Table1[[#This Row],[Total Shipping]]&gt;0.1,0.2,0)</f>
        <v>0.2</v>
      </c>
      <c r="X863" s="4">
        <f>Table1[[#This Row],[Total Shipping]]*Table1[[#This Row],[VAT on Shipping]]</f>
        <v>9</v>
      </c>
      <c r="Y863" s="1">
        <f>Table1[[#This Row],[Revenue]]-Table1[[#This Row],[COGS]]</f>
        <v>187.20000000000005</v>
      </c>
      <c r="Z863" s="3">
        <f>(Table1[[#This Row],[Profit]]/Table1[[#This Row],[Revenue]])</f>
        <v>0.30830039525691705</v>
      </c>
      <c r="AA863" s="1">
        <f>Table1[[#This Row],[Profit]]-Table1[[#This Row],[Total Shipping]]</f>
        <v>142.20000000000005</v>
      </c>
      <c r="AB863" s="3">
        <f>Table1[[#This Row],[Operating Profit]]/Table1[[#This Row],[Revenue]]</f>
        <v>0.23418972332015817</v>
      </c>
    </row>
    <row r="864" spans="1:28" x14ac:dyDescent="0.25">
      <c r="A864" t="s">
        <v>379</v>
      </c>
      <c r="B864">
        <v>318</v>
      </c>
      <c r="C864" t="s">
        <v>65</v>
      </c>
      <c r="D864" t="s">
        <v>53</v>
      </c>
      <c r="E864" t="s">
        <v>31</v>
      </c>
      <c r="F864" t="s">
        <v>98</v>
      </c>
      <c r="G864" t="str" cm="1">
        <f t="array" ref="G864">_xlfn.SWITCH(F864,"Acme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864" t="s">
        <v>33</v>
      </c>
      <c r="I864" t="s">
        <v>34</v>
      </c>
      <c r="J864" t="str" cm="1">
        <f t="array" ref="J864">_xlfn.SWITCH(I864,"P001","Laptop","P002","Server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64" s="1" cm="1">
        <f t="array" ref="K864">_xlfn.SWITCH(Table1[[#This Row],[Product ID]],"P001",220,"P002",150,"P003",130,"P004",70,"P005",200,"P006",40,"P007",25,"P008",20,"P009",190,"P010",530)</f>
        <v>20</v>
      </c>
      <c r="L864">
        <v>9</v>
      </c>
      <c r="M864" s="1">
        <f>Table1[[#This Row],[Unit Price]]*Table1[[#This Row],[Quantity]]</f>
        <v>180</v>
      </c>
      <c r="N864" s="2">
        <v>0.05</v>
      </c>
      <c r="O864" s="1">
        <f>Table1[[#This Row],[Gross Value]]*(1-Table1[[#This Row],[Discount]])</f>
        <v>171</v>
      </c>
      <c r="P864" s="2">
        <v>0.2</v>
      </c>
      <c r="Q864" s="1">
        <f>Table1[[#This Row],[Revenue]]*Table1[[#This Row],[VAT Rate]]</f>
        <v>34.200000000000003</v>
      </c>
      <c r="R864" s="1">
        <f>Table1[[#This Row],[Revenue]]+Table1[[#This Row],[VAT Charged]]</f>
        <v>205.2</v>
      </c>
      <c r="S864" s="1" cm="1">
        <f t="array" ref="S864">_xlfn.SWITCH(Table1[[#This Row],[Product ID]],"P001",140,"P002",80,"P003",72,"P004",30,"P005",110,"P006",24,"P007",14,"P008",12,"P009",115,"P010",360)</f>
        <v>12</v>
      </c>
      <c r="T864" s="1" cm="1">
        <f t="array" ref="T864">(_xlfn.SWITCH(Table1[[#This Row],[Product ID]],"P001",140,"P002",80,"P003",72,"P004",30,"P005",110,"P006",24,"P007",14,"P008",12,"P009",115,"P010",360))*Table1[[#This Row],[Quantity]]</f>
        <v>108</v>
      </c>
      <c r="U864" s="1" cm="1">
        <f t="array" ref="U864">_xlfn.SWITCH(Table1[[#This Row],[Product ID]],"P001",15,"P002",0,"P003",8,"P004",8,"P005",0,"P006",7,"P007",7,"P008",6,"P009",45,"P010",60)</f>
        <v>6</v>
      </c>
      <c r="V864" s="1">
        <f>Table1[[#This Row],[Shipping per Unit]]*Table1[[#This Row],[Quantity]]</f>
        <v>54</v>
      </c>
      <c r="W864" s="2">
        <f>IF(Table1[[#This Row],[Total Shipping]]&gt;0.1,0.2,0)</f>
        <v>0.2</v>
      </c>
      <c r="X864" s="4">
        <f>Table1[[#This Row],[Total Shipping]]*Table1[[#This Row],[VAT on Shipping]]</f>
        <v>10.8</v>
      </c>
      <c r="Y864" s="1">
        <f>Table1[[#This Row],[Revenue]]-Table1[[#This Row],[COGS]]</f>
        <v>63</v>
      </c>
      <c r="Z864" s="3">
        <f>(Table1[[#This Row],[Profit]]/Table1[[#This Row],[Revenue]])</f>
        <v>0.36842105263157893</v>
      </c>
      <c r="AA864" s="1">
        <f>Table1[[#This Row],[Profit]]-Table1[[#This Row],[Total Shipping]]</f>
        <v>9</v>
      </c>
      <c r="AB864" s="3">
        <f>Table1[[#This Row],[Operating Profit]]/Table1[[#This Row],[Revenue]]</f>
        <v>5.2631578947368418E-2</v>
      </c>
    </row>
    <row r="865" spans="1:28" x14ac:dyDescent="0.25">
      <c r="A865" t="s">
        <v>379</v>
      </c>
      <c r="B865">
        <v>420</v>
      </c>
      <c r="C865" t="s">
        <v>65</v>
      </c>
      <c r="D865" t="s">
        <v>67</v>
      </c>
      <c r="E865" t="s">
        <v>40</v>
      </c>
      <c r="F865" t="s">
        <v>90</v>
      </c>
      <c r="G865" t="str" cm="1">
        <f t="array" ref="G865">_xlfn.SWITCH(F865,"Acme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865" t="s">
        <v>33</v>
      </c>
      <c r="I865" t="s">
        <v>75</v>
      </c>
      <c r="J865" t="str" cm="1">
        <f t="array" ref="J865">_xlfn.SWITCH(I865,"P001","Laptop","P002","Server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865" s="1" cm="1">
        <f t="array" ref="K865">_xlfn.SWITCH(Table1[[#This Row],[Product ID]],"P001",220,"P002",150,"P003",130,"P004",70,"P005",200,"P006",40,"P007",25,"P008",20,"P009",190,"P010",530)</f>
        <v>200</v>
      </c>
      <c r="L865">
        <v>8</v>
      </c>
      <c r="M865" s="1">
        <f>Table1[[#This Row],[Unit Price]]*Table1[[#This Row],[Quantity]]</f>
        <v>1600</v>
      </c>
      <c r="N865" s="2">
        <v>7.0000000000000007E-2</v>
      </c>
      <c r="O865" s="1">
        <f>Table1[[#This Row],[Gross Value]]*(1-Table1[[#This Row],[Discount]])</f>
        <v>1488</v>
      </c>
      <c r="P865" s="2">
        <v>0.2</v>
      </c>
      <c r="Q865" s="1">
        <f>Table1[[#This Row],[Revenue]]*Table1[[#This Row],[VAT Rate]]</f>
        <v>297.60000000000002</v>
      </c>
      <c r="R865" s="1">
        <f>Table1[[#This Row],[Revenue]]+Table1[[#This Row],[VAT Charged]]</f>
        <v>1785.6</v>
      </c>
      <c r="S865" s="1" cm="1">
        <f t="array" ref="S865">_xlfn.SWITCH(Table1[[#This Row],[Product ID]],"P001",140,"P002",80,"P003",72,"P004",30,"P005",110,"P006",24,"P007",14,"P008",12,"P009",115,"P010",360)</f>
        <v>110</v>
      </c>
      <c r="T865" s="1" cm="1">
        <f t="array" ref="T865">(_xlfn.SWITCH(Table1[[#This Row],[Product ID]],"P001",140,"P002",80,"P003",72,"P004",30,"P005",110,"P006",24,"P007",14,"P008",12,"P009",115,"P010",360))*Table1[[#This Row],[Quantity]]</f>
        <v>880</v>
      </c>
      <c r="U865" s="1" cm="1">
        <f t="array" ref="U865">_xlfn.SWITCH(Table1[[#This Row],[Product ID]],"P001",15,"P002",0,"P003",8,"P004",8,"P005",0,"P006",7,"P007",7,"P008",6,"P009",45,"P010",60)</f>
        <v>0</v>
      </c>
      <c r="V865" s="1">
        <f>Table1[[#This Row],[Shipping per Unit]]*Table1[[#This Row],[Quantity]]</f>
        <v>0</v>
      </c>
      <c r="W865" s="2">
        <f>IF(Table1[[#This Row],[Total Shipping]]&gt;0.1,0.2,0)</f>
        <v>0</v>
      </c>
      <c r="X865" s="4">
        <f>Table1[[#This Row],[Total Shipping]]*Table1[[#This Row],[VAT on Shipping]]</f>
        <v>0</v>
      </c>
      <c r="Y865" s="1">
        <f>Table1[[#This Row],[Revenue]]-Table1[[#This Row],[COGS]]</f>
        <v>608</v>
      </c>
      <c r="Z865" s="3">
        <f>(Table1[[#This Row],[Profit]]/Table1[[#This Row],[Revenue]])</f>
        <v>0.40860215053763443</v>
      </c>
      <c r="AA865" s="1">
        <f>Table1[[#This Row],[Profit]]-Table1[[#This Row],[Total Shipping]]</f>
        <v>608</v>
      </c>
      <c r="AB865" s="3">
        <f>Table1[[#This Row],[Operating Profit]]/Table1[[#This Row],[Revenue]]</f>
        <v>0.40860215053763443</v>
      </c>
    </row>
    <row r="866" spans="1:28" x14ac:dyDescent="0.25">
      <c r="A866" t="s">
        <v>379</v>
      </c>
      <c r="B866">
        <v>431</v>
      </c>
      <c r="C866" t="s">
        <v>38</v>
      </c>
      <c r="D866" t="s">
        <v>48</v>
      </c>
      <c r="E866" t="s">
        <v>49</v>
      </c>
      <c r="F866" t="s">
        <v>37</v>
      </c>
      <c r="G866" t="str" cm="1">
        <f t="array" ref="G866">_xlfn.SWITCH(F866,"Acme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866" t="s">
        <v>33</v>
      </c>
      <c r="I866" t="s">
        <v>34</v>
      </c>
      <c r="J866" t="str" cm="1">
        <f t="array" ref="J866">_xlfn.SWITCH(I866,"P001","Laptop","P002","Server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66" s="1" cm="1">
        <f t="array" ref="K866">_xlfn.SWITCH(Table1[[#This Row],[Product ID]],"P001",220,"P002",150,"P003",130,"P004",70,"P005",200,"P006",40,"P007",25,"P008",20,"P009",190,"P010",530)</f>
        <v>20</v>
      </c>
      <c r="L866">
        <v>2</v>
      </c>
      <c r="M866" s="1">
        <f>Table1[[#This Row],[Unit Price]]*Table1[[#This Row],[Quantity]]</f>
        <v>40</v>
      </c>
      <c r="N866" s="2">
        <v>0.05</v>
      </c>
      <c r="O866" s="1">
        <f>Table1[[#This Row],[Gross Value]]*(1-Table1[[#This Row],[Discount]])</f>
        <v>38</v>
      </c>
      <c r="P866" s="2">
        <v>0.2</v>
      </c>
      <c r="Q866" s="1">
        <f>Table1[[#This Row],[Revenue]]*Table1[[#This Row],[VAT Rate]]</f>
        <v>7.6000000000000005</v>
      </c>
      <c r="R866" s="1">
        <f>Table1[[#This Row],[Revenue]]+Table1[[#This Row],[VAT Charged]]</f>
        <v>45.6</v>
      </c>
      <c r="S866" s="1" cm="1">
        <f t="array" ref="S866">_xlfn.SWITCH(Table1[[#This Row],[Product ID]],"P001",140,"P002",80,"P003",72,"P004",30,"P005",110,"P006",24,"P007",14,"P008",12,"P009",115,"P010",360)</f>
        <v>12</v>
      </c>
      <c r="T866" s="1" cm="1">
        <f t="array" ref="T866">(_xlfn.SWITCH(Table1[[#This Row],[Product ID]],"P001",140,"P002",80,"P003",72,"P004",30,"P005",110,"P006",24,"P007",14,"P008",12,"P009",115,"P010",360))*Table1[[#This Row],[Quantity]]</f>
        <v>24</v>
      </c>
      <c r="U866" s="1" cm="1">
        <f t="array" ref="U866">_xlfn.SWITCH(Table1[[#This Row],[Product ID]],"P001",15,"P002",0,"P003",8,"P004",8,"P005",0,"P006",7,"P007",7,"P008",6,"P009",45,"P010",60)</f>
        <v>6</v>
      </c>
      <c r="V866" s="1">
        <f>Table1[[#This Row],[Shipping per Unit]]*Table1[[#This Row],[Quantity]]</f>
        <v>12</v>
      </c>
      <c r="W866" s="2">
        <f>IF(Table1[[#This Row],[Total Shipping]]&gt;0.1,0.2,0)</f>
        <v>0.2</v>
      </c>
      <c r="X866" s="4">
        <f>Table1[[#This Row],[Total Shipping]]*Table1[[#This Row],[VAT on Shipping]]</f>
        <v>2.4000000000000004</v>
      </c>
      <c r="Y866" s="1">
        <f>Table1[[#This Row],[Revenue]]-Table1[[#This Row],[COGS]]</f>
        <v>14</v>
      </c>
      <c r="Z866" s="3">
        <f>(Table1[[#This Row],[Profit]]/Table1[[#This Row],[Revenue]])</f>
        <v>0.36842105263157893</v>
      </c>
      <c r="AA866" s="1">
        <f>Table1[[#This Row],[Profit]]-Table1[[#This Row],[Total Shipping]]</f>
        <v>2</v>
      </c>
      <c r="AB866" s="3">
        <f>Table1[[#This Row],[Operating Profit]]/Table1[[#This Row],[Revenue]]</f>
        <v>5.2631578947368418E-2</v>
      </c>
    </row>
    <row r="867" spans="1:28" x14ac:dyDescent="0.25">
      <c r="A867" t="s">
        <v>379</v>
      </c>
      <c r="B867">
        <v>502</v>
      </c>
      <c r="C867" t="s">
        <v>38</v>
      </c>
      <c r="D867" t="s">
        <v>48</v>
      </c>
      <c r="E867" t="s">
        <v>40</v>
      </c>
      <c r="F867" t="s">
        <v>97</v>
      </c>
      <c r="G867" t="str" cm="1">
        <f t="array" ref="G867">_xlfn.SWITCH(F867,"Acme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867" t="s">
        <v>45</v>
      </c>
      <c r="I867" t="s">
        <v>55</v>
      </c>
      <c r="J867" t="str" cm="1">
        <f t="array" ref="J867">_xlfn.SWITCH(I867,"P001","Laptop","P002","Server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67" s="1" cm="1">
        <f t="array" ref="K867">_xlfn.SWITCH(Table1[[#This Row],[Product ID]],"P001",220,"P002",150,"P003",130,"P004",70,"P005",200,"P006",40,"P007",25,"P008",20,"P009",190,"P010",530)</f>
        <v>70</v>
      </c>
      <c r="L867">
        <v>17</v>
      </c>
      <c r="M867" s="1">
        <f>Table1[[#This Row],[Unit Price]]*Table1[[#This Row],[Quantity]]</f>
        <v>1190</v>
      </c>
      <c r="N867" s="2">
        <v>0.08</v>
      </c>
      <c r="O867" s="1">
        <f>Table1[[#This Row],[Gross Value]]*(1-Table1[[#This Row],[Discount]])</f>
        <v>1094.8</v>
      </c>
      <c r="P867" s="2">
        <v>0.2</v>
      </c>
      <c r="Q867" s="1">
        <f>Table1[[#This Row],[Revenue]]*Table1[[#This Row],[VAT Rate]]</f>
        <v>218.96</v>
      </c>
      <c r="R867" s="1">
        <f>Table1[[#This Row],[Revenue]]+Table1[[#This Row],[VAT Charged]]</f>
        <v>1313.76</v>
      </c>
      <c r="S867" s="1" cm="1">
        <f t="array" ref="S867">_xlfn.SWITCH(Table1[[#This Row],[Product ID]],"P001",140,"P002",80,"P003",72,"P004",30,"P005",110,"P006",24,"P007",14,"P008",12,"P009",115,"P010",360)</f>
        <v>30</v>
      </c>
      <c r="T867" s="1" cm="1">
        <f t="array" ref="T867">(_xlfn.SWITCH(Table1[[#This Row],[Product ID]],"P001",140,"P002",80,"P003",72,"P004",30,"P005",110,"P006",24,"P007",14,"P008",12,"P009",115,"P010",360))*Table1[[#This Row],[Quantity]]</f>
        <v>510</v>
      </c>
      <c r="U867" s="1" cm="1">
        <f t="array" ref="U867">_xlfn.SWITCH(Table1[[#This Row],[Product ID]],"P001",15,"P002",0,"P003",8,"P004",8,"P005",0,"P006",7,"P007",7,"P008",6,"P009",45,"P010",60)</f>
        <v>8</v>
      </c>
      <c r="V867" s="1">
        <f>Table1[[#This Row],[Shipping per Unit]]*Table1[[#This Row],[Quantity]]</f>
        <v>136</v>
      </c>
      <c r="W867" s="2">
        <f>IF(Table1[[#This Row],[Total Shipping]]&gt;0.1,0.2,0)</f>
        <v>0.2</v>
      </c>
      <c r="X867" s="4">
        <f>Table1[[#This Row],[Total Shipping]]*Table1[[#This Row],[VAT on Shipping]]</f>
        <v>27.200000000000003</v>
      </c>
      <c r="Y867" s="1">
        <f>Table1[[#This Row],[Revenue]]-Table1[[#This Row],[COGS]]</f>
        <v>584.79999999999995</v>
      </c>
      <c r="Z867" s="3">
        <f>(Table1[[#This Row],[Profit]]/Table1[[#This Row],[Revenue]])</f>
        <v>0.53416149068322982</v>
      </c>
      <c r="AA867" s="1">
        <f>Table1[[#This Row],[Profit]]-Table1[[#This Row],[Total Shipping]]</f>
        <v>448.79999999999995</v>
      </c>
      <c r="AB867" s="3">
        <f>Table1[[#This Row],[Operating Profit]]/Table1[[#This Row],[Revenue]]</f>
        <v>0.40993788819875776</v>
      </c>
    </row>
    <row r="868" spans="1:28" x14ac:dyDescent="0.25">
      <c r="A868" t="s">
        <v>379</v>
      </c>
      <c r="B868">
        <v>531</v>
      </c>
      <c r="C868" t="s">
        <v>35</v>
      </c>
      <c r="D868" t="s">
        <v>36</v>
      </c>
      <c r="E868" t="s">
        <v>49</v>
      </c>
      <c r="F868" t="s">
        <v>87</v>
      </c>
      <c r="G868" t="str" cm="1">
        <f t="array" ref="G868">_xlfn.SWITCH(F868,"Acme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868" t="s">
        <v>45</v>
      </c>
      <c r="I868" t="s">
        <v>42</v>
      </c>
      <c r="J868" t="str" cm="1">
        <f t="array" ref="J868">_xlfn.SWITCH(I868,"P001","Laptop","P002","Server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68" s="1" cm="1">
        <f t="array" ref="K868">_xlfn.SWITCH(Table1[[#This Row],[Product ID]],"P001",220,"P002",150,"P003",130,"P004",70,"P005",200,"P006",40,"P007",25,"P008",20,"P009",190,"P010",530)</f>
        <v>40</v>
      </c>
      <c r="L868">
        <v>14</v>
      </c>
      <c r="M868" s="1">
        <f>Table1[[#This Row],[Unit Price]]*Table1[[#This Row],[Quantity]]</f>
        <v>560</v>
      </c>
      <c r="N868" s="2">
        <v>0.1</v>
      </c>
      <c r="O868" s="1">
        <f>Table1[[#This Row],[Gross Value]]*(1-Table1[[#This Row],[Discount]])</f>
        <v>504</v>
      </c>
      <c r="P868" s="2">
        <v>0.2</v>
      </c>
      <c r="Q868" s="1">
        <f>Table1[[#This Row],[Revenue]]*Table1[[#This Row],[VAT Rate]]</f>
        <v>100.80000000000001</v>
      </c>
      <c r="R868" s="1">
        <f>Table1[[#This Row],[Revenue]]+Table1[[#This Row],[VAT Charged]]</f>
        <v>604.79999999999995</v>
      </c>
      <c r="S868" s="1" cm="1">
        <f t="array" ref="S868">_xlfn.SWITCH(Table1[[#This Row],[Product ID]],"P001",140,"P002",80,"P003",72,"P004",30,"P005",110,"P006",24,"P007",14,"P008",12,"P009",115,"P010",360)</f>
        <v>24</v>
      </c>
      <c r="T868" s="1" cm="1">
        <f t="array" ref="T868">(_xlfn.SWITCH(Table1[[#This Row],[Product ID]],"P001",140,"P002",80,"P003",72,"P004",30,"P005",110,"P006",24,"P007",14,"P008",12,"P009",115,"P010",360))*Table1[[#This Row],[Quantity]]</f>
        <v>336</v>
      </c>
      <c r="U868" s="1" cm="1">
        <f t="array" ref="U868">_xlfn.SWITCH(Table1[[#This Row],[Product ID]],"P001",15,"P002",0,"P003",8,"P004",8,"P005",0,"P006",7,"P007",7,"P008",6,"P009",45,"P010",60)</f>
        <v>7</v>
      </c>
      <c r="V868" s="1">
        <f>Table1[[#This Row],[Shipping per Unit]]*Table1[[#This Row],[Quantity]]</f>
        <v>98</v>
      </c>
      <c r="W868" s="2">
        <f>IF(Table1[[#This Row],[Total Shipping]]&gt;0.1,0.2,0)</f>
        <v>0.2</v>
      </c>
      <c r="X868" s="4">
        <f>Table1[[#This Row],[Total Shipping]]*Table1[[#This Row],[VAT on Shipping]]</f>
        <v>19.600000000000001</v>
      </c>
      <c r="Y868" s="1">
        <f>Table1[[#This Row],[Revenue]]-Table1[[#This Row],[COGS]]</f>
        <v>168</v>
      </c>
      <c r="Z868" s="3">
        <f>(Table1[[#This Row],[Profit]]/Table1[[#This Row],[Revenue]])</f>
        <v>0.33333333333333331</v>
      </c>
      <c r="AA868" s="1">
        <f>Table1[[#This Row],[Profit]]-Table1[[#This Row],[Total Shipping]]</f>
        <v>70</v>
      </c>
      <c r="AB868" s="3">
        <f>Table1[[#This Row],[Operating Profit]]/Table1[[#This Row],[Revenue]]</f>
        <v>0.1388888888888889</v>
      </c>
    </row>
    <row r="869" spans="1:28" x14ac:dyDescent="0.25">
      <c r="A869" t="s">
        <v>379</v>
      </c>
      <c r="B869">
        <v>735</v>
      </c>
      <c r="C869" t="s">
        <v>62</v>
      </c>
      <c r="D869" t="s">
        <v>72</v>
      </c>
      <c r="E869" t="s">
        <v>40</v>
      </c>
      <c r="F869" t="s">
        <v>41</v>
      </c>
      <c r="G869" t="str" cm="1">
        <f t="array" ref="G869">_xlfn.SWITCH(F869,"Acme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869" t="s">
        <v>45</v>
      </c>
      <c r="I869" t="s">
        <v>68</v>
      </c>
      <c r="J869" t="str" cm="1">
        <f t="array" ref="J869">_xlfn.SWITCH(I869,"P001","Laptop","P002","Server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69" s="1" cm="1">
        <f t="array" ref="K869">_xlfn.SWITCH(Table1[[#This Row],[Product ID]],"P001",220,"P002",150,"P003",130,"P004",70,"P005",200,"P006",40,"P007",25,"P008",20,"P009",190,"P010",530)</f>
        <v>220</v>
      </c>
      <c r="L869">
        <v>3</v>
      </c>
      <c r="M869" s="1">
        <f>Table1[[#This Row],[Unit Price]]*Table1[[#This Row],[Quantity]]</f>
        <v>660</v>
      </c>
      <c r="N869" s="2">
        <v>0.04</v>
      </c>
      <c r="O869" s="1">
        <f>Table1[[#This Row],[Gross Value]]*(1-Table1[[#This Row],[Discount]])</f>
        <v>633.6</v>
      </c>
      <c r="P869" s="2">
        <v>0.2</v>
      </c>
      <c r="Q869" s="1">
        <f>Table1[[#This Row],[Revenue]]*Table1[[#This Row],[VAT Rate]]</f>
        <v>126.72000000000001</v>
      </c>
      <c r="R869" s="1">
        <f>Table1[[#This Row],[Revenue]]+Table1[[#This Row],[VAT Charged]]</f>
        <v>760.32</v>
      </c>
      <c r="S869" s="1" cm="1">
        <f t="array" ref="S869">_xlfn.SWITCH(Table1[[#This Row],[Product ID]],"P001",140,"P002",80,"P003",72,"P004",30,"P005",110,"P006",24,"P007",14,"P008",12,"P009",115,"P010",360)</f>
        <v>140</v>
      </c>
      <c r="T869" s="1" cm="1">
        <f t="array" ref="T869">(_xlfn.SWITCH(Table1[[#This Row],[Product ID]],"P001",140,"P002",80,"P003",72,"P004",30,"P005",110,"P006",24,"P007",14,"P008",12,"P009",115,"P010",360))*Table1[[#This Row],[Quantity]]</f>
        <v>420</v>
      </c>
      <c r="U869" s="1" cm="1">
        <f t="array" ref="U869">_xlfn.SWITCH(Table1[[#This Row],[Product ID]],"P001",15,"P002",0,"P003",8,"P004",8,"P005",0,"P006",7,"P007",7,"P008",6,"P009",45,"P010",60)</f>
        <v>15</v>
      </c>
      <c r="V869" s="1">
        <f>Table1[[#This Row],[Shipping per Unit]]*Table1[[#This Row],[Quantity]]</f>
        <v>45</v>
      </c>
      <c r="W869" s="2">
        <f>IF(Table1[[#This Row],[Total Shipping]]&gt;0.1,0.2,0)</f>
        <v>0.2</v>
      </c>
      <c r="X869" s="4">
        <f>Table1[[#This Row],[Total Shipping]]*Table1[[#This Row],[VAT on Shipping]]</f>
        <v>9</v>
      </c>
      <c r="Y869" s="1">
        <f>Table1[[#This Row],[Revenue]]-Table1[[#This Row],[COGS]]</f>
        <v>213.60000000000002</v>
      </c>
      <c r="Z869" s="3">
        <f>(Table1[[#This Row],[Profit]]/Table1[[#This Row],[Revenue]])</f>
        <v>0.33712121212121215</v>
      </c>
      <c r="AA869" s="1">
        <f>Table1[[#This Row],[Profit]]-Table1[[#This Row],[Total Shipping]]</f>
        <v>168.60000000000002</v>
      </c>
      <c r="AB869" s="3">
        <f>Table1[[#This Row],[Operating Profit]]/Table1[[#This Row],[Revenue]]</f>
        <v>0.26609848484848486</v>
      </c>
    </row>
    <row r="870" spans="1:28" x14ac:dyDescent="0.25">
      <c r="A870" t="s">
        <v>380</v>
      </c>
      <c r="B870">
        <v>49</v>
      </c>
      <c r="C870" t="s">
        <v>83</v>
      </c>
      <c r="D870" t="s">
        <v>72</v>
      </c>
      <c r="E870" t="s">
        <v>31</v>
      </c>
      <c r="F870" t="s">
        <v>78</v>
      </c>
      <c r="G870" t="str" cm="1">
        <f t="array" ref="G870">_xlfn.SWITCH(F870,"Acme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70" t="s">
        <v>104</v>
      </c>
      <c r="I870" t="s">
        <v>42</v>
      </c>
      <c r="J870" t="str" cm="1">
        <f t="array" ref="J870">_xlfn.SWITCH(I870,"P001","Laptop","P002","Server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70" s="1" cm="1">
        <f t="array" ref="K870">_xlfn.SWITCH(Table1[[#This Row],[Product ID]],"P001",220,"P002",150,"P003",130,"P004",70,"P005",200,"P006",40,"P007",25,"P008",20,"P009",190,"P010",530)</f>
        <v>40</v>
      </c>
      <c r="L870">
        <v>19</v>
      </c>
      <c r="M870" s="1">
        <f>Table1[[#This Row],[Unit Price]]*Table1[[#This Row],[Quantity]]</f>
        <v>760</v>
      </c>
      <c r="N870" s="2">
        <v>0.08</v>
      </c>
      <c r="O870" s="1">
        <f>Table1[[#This Row],[Gross Value]]*(1-Table1[[#This Row],[Discount]])</f>
        <v>699.2</v>
      </c>
      <c r="P870" s="2">
        <v>0.2</v>
      </c>
      <c r="Q870" s="1">
        <f>Table1[[#This Row],[Revenue]]*Table1[[#This Row],[VAT Rate]]</f>
        <v>139.84</v>
      </c>
      <c r="R870" s="1">
        <f>Table1[[#This Row],[Revenue]]+Table1[[#This Row],[VAT Charged]]</f>
        <v>839.04000000000008</v>
      </c>
      <c r="S870" s="1" cm="1">
        <f t="array" ref="S870">_xlfn.SWITCH(Table1[[#This Row],[Product ID]],"P001",140,"P002",80,"P003",72,"P004",30,"P005",110,"P006",24,"P007",14,"P008",12,"P009",115,"P010",360)</f>
        <v>24</v>
      </c>
      <c r="T870" s="1" cm="1">
        <f t="array" ref="T870">(_xlfn.SWITCH(Table1[[#This Row],[Product ID]],"P001",140,"P002",80,"P003",72,"P004",30,"P005",110,"P006",24,"P007",14,"P008",12,"P009",115,"P010",360))*Table1[[#This Row],[Quantity]]</f>
        <v>456</v>
      </c>
      <c r="U870" s="1" cm="1">
        <f t="array" ref="U870">_xlfn.SWITCH(Table1[[#This Row],[Product ID]],"P001",15,"P002",0,"P003",8,"P004",8,"P005",0,"P006",7,"P007",7,"P008",6,"P009",45,"P010",60)</f>
        <v>7</v>
      </c>
      <c r="V870" s="1">
        <f>Table1[[#This Row],[Shipping per Unit]]*Table1[[#This Row],[Quantity]]</f>
        <v>133</v>
      </c>
      <c r="W870" s="2">
        <f>IF(Table1[[#This Row],[Total Shipping]]&gt;0.1,0.2,0)</f>
        <v>0.2</v>
      </c>
      <c r="X870" s="4">
        <f>Table1[[#This Row],[Total Shipping]]*Table1[[#This Row],[VAT on Shipping]]</f>
        <v>26.6</v>
      </c>
      <c r="Y870" s="1">
        <f>Table1[[#This Row],[Revenue]]-Table1[[#This Row],[COGS]]</f>
        <v>243.20000000000005</v>
      </c>
      <c r="Z870" s="3">
        <f>(Table1[[#This Row],[Profit]]/Table1[[#This Row],[Revenue]])</f>
        <v>0.34782608695652178</v>
      </c>
      <c r="AA870" s="1">
        <f>Table1[[#This Row],[Profit]]-Table1[[#This Row],[Total Shipping]]</f>
        <v>110.20000000000005</v>
      </c>
      <c r="AB870" s="3">
        <f>Table1[[#This Row],[Operating Profit]]/Table1[[#This Row],[Revenue]]</f>
        <v>0.15760869565217397</v>
      </c>
    </row>
    <row r="871" spans="1:28" x14ac:dyDescent="0.25">
      <c r="A871" t="s">
        <v>380</v>
      </c>
      <c r="B871">
        <v>399</v>
      </c>
      <c r="C871" t="s">
        <v>65</v>
      </c>
      <c r="D871" t="s">
        <v>57</v>
      </c>
      <c r="E871" t="s">
        <v>49</v>
      </c>
      <c r="F871" t="s">
        <v>87</v>
      </c>
      <c r="G871" t="str" cm="1">
        <f t="array" ref="G871">_xlfn.SWITCH(F871,"Acme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871" t="s">
        <v>58</v>
      </c>
      <c r="I871" t="s">
        <v>55</v>
      </c>
      <c r="J871" t="str" cm="1">
        <f t="array" ref="J871">_xlfn.SWITCH(I871,"P001","Laptop","P002","Server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71" s="1" cm="1">
        <f t="array" ref="K871">_xlfn.SWITCH(Table1[[#This Row],[Product ID]],"P001",220,"P002",150,"P003",130,"P004",70,"P005",200,"P006",40,"P007",25,"P008",20,"P009",190,"P010",530)</f>
        <v>70</v>
      </c>
      <c r="L871">
        <v>11</v>
      </c>
      <c r="M871" s="1">
        <f>Table1[[#This Row],[Unit Price]]*Table1[[#This Row],[Quantity]]</f>
        <v>770</v>
      </c>
      <c r="N871" s="2">
        <v>0.03</v>
      </c>
      <c r="O871" s="1">
        <f>Table1[[#This Row],[Gross Value]]*(1-Table1[[#This Row],[Discount]])</f>
        <v>746.9</v>
      </c>
      <c r="P871" s="2">
        <v>0.2</v>
      </c>
      <c r="Q871" s="1">
        <f>Table1[[#This Row],[Revenue]]*Table1[[#This Row],[VAT Rate]]</f>
        <v>149.38</v>
      </c>
      <c r="R871" s="1">
        <f>Table1[[#This Row],[Revenue]]+Table1[[#This Row],[VAT Charged]]</f>
        <v>896.28</v>
      </c>
      <c r="S871" s="1" cm="1">
        <f t="array" ref="S871">_xlfn.SWITCH(Table1[[#This Row],[Product ID]],"P001",140,"P002",80,"P003",72,"P004",30,"P005",110,"P006",24,"P007",14,"P008",12,"P009",115,"P010",360)</f>
        <v>30</v>
      </c>
      <c r="T871" s="1" cm="1">
        <f t="array" ref="T871">(_xlfn.SWITCH(Table1[[#This Row],[Product ID]],"P001",140,"P002",80,"P003",72,"P004",30,"P005",110,"P006",24,"P007",14,"P008",12,"P009",115,"P010",360))*Table1[[#This Row],[Quantity]]</f>
        <v>330</v>
      </c>
      <c r="U871" s="1" cm="1">
        <f t="array" ref="U871">_xlfn.SWITCH(Table1[[#This Row],[Product ID]],"P001",15,"P002",0,"P003",8,"P004",8,"P005",0,"P006",7,"P007",7,"P008",6,"P009",45,"P010",60)</f>
        <v>8</v>
      </c>
      <c r="V871" s="1">
        <f>Table1[[#This Row],[Shipping per Unit]]*Table1[[#This Row],[Quantity]]</f>
        <v>88</v>
      </c>
      <c r="W871" s="2">
        <f>IF(Table1[[#This Row],[Total Shipping]]&gt;0.1,0.2,0)</f>
        <v>0.2</v>
      </c>
      <c r="X871" s="4">
        <f>Table1[[#This Row],[Total Shipping]]*Table1[[#This Row],[VAT on Shipping]]</f>
        <v>17.600000000000001</v>
      </c>
      <c r="Y871" s="1">
        <f>Table1[[#This Row],[Revenue]]-Table1[[#This Row],[COGS]]</f>
        <v>416.9</v>
      </c>
      <c r="Z871" s="3">
        <f>(Table1[[#This Row],[Profit]]/Table1[[#This Row],[Revenue]])</f>
        <v>0.5581737849779087</v>
      </c>
      <c r="AA871" s="1">
        <f>Table1[[#This Row],[Profit]]-Table1[[#This Row],[Total Shipping]]</f>
        <v>328.9</v>
      </c>
      <c r="AB871" s="3">
        <f>Table1[[#This Row],[Operating Profit]]/Table1[[#This Row],[Revenue]]</f>
        <v>0.44035346097201766</v>
      </c>
    </row>
    <row r="872" spans="1:28" x14ac:dyDescent="0.25">
      <c r="A872" t="s">
        <v>381</v>
      </c>
      <c r="B872">
        <v>696</v>
      </c>
      <c r="C872" t="s">
        <v>83</v>
      </c>
      <c r="D872" t="s">
        <v>36</v>
      </c>
      <c r="E872" t="s">
        <v>40</v>
      </c>
      <c r="F872" t="s">
        <v>54</v>
      </c>
      <c r="G872" t="str" cm="1">
        <f t="array" ref="G872">_xlfn.SWITCH(F872,"Acme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872" t="s">
        <v>104</v>
      </c>
      <c r="I872" t="s">
        <v>70</v>
      </c>
      <c r="J872" t="str" cm="1">
        <f t="array" ref="J872">_xlfn.SWITCH(I872,"P001","Laptop","P002","Server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872" s="1" cm="1">
        <f t="array" ref="K872">_xlfn.SWITCH(Table1[[#This Row],[Product ID]],"P001",220,"P002",150,"P003",130,"P004",70,"P005",200,"P006",40,"P007",25,"P008",20,"P009",190,"P010",530)</f>
        <v>150</v>
      </c>
      <c r="L872">
        <v>1</v>
      </c>
      <c r="M872" s="1">
        <f>Table1[[#This Row],[Unit Price]]*Table1[[#This Row],[Quantity]]</f>
        <v>150</v>
      </c>
      <c r="N872" s="2">
        <v>0.05</v>
      </c>
      <c r="O872" s="1">
        <f>Table1[[#This Row],[Gross Value]]*(1-Table1[[#This Row],[Discount]])</f>
        <v>142.5</v>
      </c>
      <c r="P872" s="2">
        <v>0.2</v>
      </c>
      <c r="Q872" s="1">
        <f>Table1[[#This Row],[Revenue]]*Table1[[#This Row],[VAT Rate]]</f>
        <v>28.5</v>
      </c>
      <c r="R872" s="1">
        <f>Table1[[#This Row],[Revenue]]+Table1[[#This Row],[VAT Charged]]</f>
        <v>171</v>
      </c>
      <c r="S872" s="1" cm="1">
        <f t="array" ref="S872">_xlfn.SWITCH(Table1[[#This Row],[Product ID]],"P001",140,"P002",80,"P003",72,"P004",30,"P005",110,"P006",24,"P007",14,"P008",12,"P009",115,"P010",360)</f>
        <v>80</v>
      </c>
      <c r="T872" s="1" cm="1">
        <f t="array" ref="T872">(_xlfn.SWITCH(Table1[[#This Row],[Product ID]],"P001",140,"P002",80,"P003",72,"P004",30,"P005",110,"P006",24,"P007",14,"P008",12,"P009",115,"P010",360))*Table1[[#This Row],[Quantity]]</f>
        <v>80</v>
      </c>
      <c r="U872" s="1" cm="1">
        <f t="array" ref="U872">_xlfn.SWITCH(Table1[[#This Row],[Product ID]],"P001",15,"P002",0,"P003",8,"P004",8,"P005",0,"P006",7,"P007",7,"P008",6,"P009",45,"P010",60)</f>
        <v>0</v>
      </c>
      <c r="V872" s="1">
        <f>Table1[[#This Row],[Shipping per Unit]]*Table1[[#This Row],[Quantity]]</f>
        <v>0</v>
      </c>
      <c r="W872" s="2">
        <f>IF(Table1[[#This Row],[Total Shipping]]&gt;0.1,0.2,0)</f>
        <v>0</v>
      </c>
      <c r="X872" s="4">
        <f>Table1[[#This Row],[Total Shipping]]*Table1[[#This Row],[VAT on Shipping]]</f>
        <v>0</v>
      </c>
      <c r="Y872" s="1">
        <f>Table1[[#This Row],[Revenue]]-Table1[[#This Row],[COGS]]</f>
        <v>62.5</v>
      </c>
      <c r="Z872" s="3">
        <f>(Table1[[#This Row],[Profit]]/Table1[[#This Row],[Revenue]])</f>
        <v>0.43859649122807015</v>
      </c>
      <c r="AA872" s="1">
        <f>Table1[[#This Row],[Profit]]-Table1[[#This Row],[Total Shipping]]</f>
        <v>62.5</v>
      </c>
      <c r="AB872" s="3">
        <f>Table1[[#This Row],[Operating Profit]]/Table1[[#This Row],[Revenue]]</f>
        <v>0.43859649122807015</v>
      </c>
    </row>
    <row r="873" spans="1:28" x14ac:dyDescent="0.25">
      <c r="A873" t="s">
        <v>382</v>
      </c>
      <c r="B873">
        <v>3</v>
      </c>
      <c r="C873" t="s">
        <v>29</v>
      </c>
      <c r="D873" t="s">
        <v>72</v>
      </c>
      <c r="E873" t="s">
        <v>49</v>
      </c>
      <c r="F873" t="s">
        <v>78</v>
      </c>
      <c r="G873" t="str" cm="1">
        <f t="array" ref="G873">_xlfn.SWITCH(F873,"Acme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73" t="s">
        <v>69</v>
      </c>
      <c r="I873" t="s">
        <v>68</v>
      </c>
      <c r="J873" t="str" cm="1">
        <f t="array" ref="J873">_xlfn.SWITCH(I873,"P001","Laptop","P002","Server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73" s="1" cm="1">
        <f t="array" ref="K873">_xlfn.SWITCH(Table1[[#This Row],[Product ID]],"P001",220,"P002",150,"P003",130,"P004",70,"P005",200,"P006",40,"P007",25,"P008",20,"P009",190,"P010",530)</f>
        <v>220</v>
      </c>
      <c r="L873">
        <v>16</v>
      </c>
      <c r="M873" s="1">
        <f>Table1[[#This Row],[Unit Price]]*Table1[[#This Row],[Quantity]]</f>
        <v>3520</v>
      </c>
      <c r="N873" s="2">
        <v>0.05</v>
      </c>
      <c r="O873" s="1">
        <f>Table1[[#This Row],[Gross Value]]*(1-Table1[[#This Row],[Discount]])</f>
        <v>3344</v>
      </c>
      <c r="P873" s="2">
        <v>0.2</v>
      </c>
      <c r="Q873" s="1">
        <f>Table1[[#This Row],[Revenue]]*Table1[[#This Row],[VAT Rate]]</f>
        <v>668.80000000000007</v>
      </c>
      <c r="R873" s="1">
        <f>Table1[[#This Row],[Revenue]]+Table1[[#This Row],[VAT Charged]]</f>
        <v>4012.8</v>
      </c>
      <c r="S873" s="1" cm="1">
        <f t="array" ref="S873">_xlfn.SWITCH(Table1[[#This Row],[Product ID]],"P001",140,"P002",80,"P003",72,"P004",30,"P005",110,"P006",24,"P007",14,"P008",12,"P009",115,"P010",360)</f>
        <v>140</v>
      </c>
      <c r="T873" s="1" cm="1">
        <f t="array" ref="T873">(_xlfn.SWITCH(Table1[[#This Row],[Product ID]],"P001",140,"P002",80,"P003",72,"P004",30,"P005",110,"P006",24,"P007",14,"P008",12,"P009",115,"P010",360))*Table1[[#This Row],[Quantity]]</f>
        <v>2240</v>
      </c>
      <c r="U873" s="1" cm="1">
        <f t="array" ref="U873">_xlfn.SWITCH(Table1[[#This Row],[Product ID]],"P001",15,"P002",0,"P003",8,"P004",8,"P005",0,"P006",7,"P007",7,"P008",6,"P009",45,"P010",60)</f>
        <v>15</v>
      </c>
      <c r="V873" s="1">
        <f>Table1[[#This Row],[Shipping per Unit]]*Table1[[#This Row],[Quantity]]</f>
        <v>240</v>
      </c>
      <c r="W873" s="2">
        <f>IF(Table1[[#This Row],[Total Shipping]]&gt;0.1,0.2,0)</f>
        <v>0.2</v>
      </c>
      <c r="X873" s="4">
        <f>Table1[[#This Row],[Total Shipping]]*Table1[[#This Row],[VAT on Shipping]]</f>
        <v>48</v>
      </c>
      <c r="Y873" s="1">
        <f>Table1[[#This Row],[Revenue]]-Table1[[#This Row],[COGS]]</f>
        <v>1104</v>
      </c>
      <c r="Z873" s="3">
        <f>(Table1[[#This Row],[Profit]]/Table1[[#This Row],[Revenue]])</f>
        <v>0.33014354066985646</v>
      </c>
      <c r="AA873" s="1">
        <f>Table1[[#This Row],[Profit]]-Table1[[#This Row],[Total Shipping]]</f>
        <v>864</v>
      </c>
      <c r="AB873" s="3">
        <f>Table1[[#This Row],[Operating Profit]]/Table1[[#This Row],[Revenue]]</f>
        <v>0.25837320574162681</v>
      </c>
    </row>
    <row r="874" spans="1:28" x14ac:dyDescent="0.25">
      <c r="A874" t="s">
        <v>382</v>
      </c>
      <c r="B874">
        <v>23</v>
      </c>
      <c r="C874" t="s">
        <v>62</v>
      </c>
      <c r="D874" t="s">
        <v>36</v>
      </c>
      <c r="E874" t="s">
        <v>49</v>
      </c>
      <c r="F874" t="s">
        <v>50</v>
      </c>
      <c r="G874" t="str" cm="1">
        <f t="array" ref="G874">_xlfn.SWITCH(F874,"Acme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874" t="s">
        <v>51</v>
      </c>
      <c r="I874" t="s">
        <v>55</v>
      </c>
      <c r="J874" t="str" cm="1">
        <f t="array" ref="J874">_xlfn.SWITCH(I874,"P001","Laptop","P002","Server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74" s="1" cm="1">
        <f t="array" ref="K874">_xlfn.SWITCH(Table1[[#This Row],[Product ID]],"P001",220,"P002",150,"P003",130,"P004",70,"P005",200,"P006",40,"P007",25,"P008",20,"P009",190,"P010",530)</f>
        <v>70</v>
      </c>
      <c r="L874">
        <v>12</v>
      </c>
      <c r="M874" s="1">
        <f>Table1[[#This Row],[Unit Price]]*Table1[[#This Row],[Quantity]]</f>
        <v>840</v>
      </c>
      <c r="N874" s="2">
        <v>0.09</v>
      </c>
      <c r="O874" s="1">
        <f>Table1[[#This Row],[Gross Value]]*(1-Table1[[#This Row],[Discount]])</f>
        <v>764.4</v>
      </c>
      <c r="P874" s="2">
        <v>0.2</v>
      </c>
      <c r="Q874" s="1">
        <f>Table1[[#This Row],[Revenue]]*Table1[[#This Row],[VAT Rate]]</f>
        <v>152.88</v>
      </c>
      <c r="R874" s="1">
        <f>Table1[[#This Row],[Revenue]]+Table1[[#This Row],[VAT Charged]]</f>
        <v>917.28</v>
      </c>
      <c r="S874" s="1" cm="1">
        <f t="array" ref="S874">_xlfn.SWITCH(Table1[[#This Row],[Product ID]],"P001",140,"P002",80,"P003",72,"P004",30,"P005",110,"P006",24,"P007",14,"P008",12,"P009",115,"P010",360)</f>
        <v>30</v>
      </c>
      <c r="T874" s="1" cm="1">
        <f t="array" ref="T874">(_xlfn.SWITCH(Table1[[#This Row],[Product ID]],"P001",140,"P002",80,"P003",72,"P004",30,"P005",110,"P006",24,"P007",14,"P008",12,"P009",115,"P010",360))*Table1[[#This Row],[Quantity]]</f>
        <v>360</v>
      </c>
      <c r="U874" s="1" cm="1">
        <f t="array" ref="U874">_xlfn.SWITCH(Table1[[#This Row],[Product ID]],"P001",15,"P002",0,"P003",8,"P004",8,"P005",0,"P006",7,"P007",7,"P008",6,"P009",45,"P010",60)</f>
        <v>8</v>
      </c>
      <c r="V874" s="1">
        <f>Table1[[#This Row],[Shipping per Unit]]*Table1[[#This Row],[Quantity]]</f>
        <v>96</v>
      </c>
      <c r="W874" s="2">
        <f>IF(Table1[[#This Row],[Total Shipping]]&gt;0.1,0.2,0)</f>
        <v>0.2</v>
      </c>
      <c r="X874" s="4">
        <f>Table1[[#This Row],[Total Shipping]]*Table1[[#This Row],[VAT on Shipping]]</f>
        <v>19.200000000000003</v>
      </c>
      <c r="Y874" s="1">
        <f>Table1[[#This Row],[Revenue]]-Table1[[#This Row],[COGS]]</f>
        <v>404.4</v>
      </c>
      <c r="Z874" s="3">
        <f>(Table1[[#This Row],[Profit]]/Table1[[#This Row],[Revenue]])</f>
        <v>0.52904238618524335</v>
      </c>
      <c r="AA874" s="1">
        <f>Table1[[#This Row],[Profit]]-Table1[[#This Row],[Total Shipping]]</f>
        <v>308.39999999999998</v>
      </c>
      <c r="AB874" s="3">
        <f>Table1[[#This Row],[Operating Profit]]/Table1[[#This Row],[Revenue]]</f>
        <v>0.40345368916797486</v>
      </c>
    </row>
    <row r="875" spans="1:28" x14ac:dyDescent="0.25">
      <c r="A875" t="s">
        <v>382</v>
      </c>
      <c r="B875">
        <v>620</v>
      </c>
      <c r="C875" t="s">
        <v>62</v>
      </c>
      <c r="D875" t="s">
        <v>57</v>
      </c>
      <c r="E875" t="s">
        <v>40</v>
      </c>
      <c r="F875" t="s">
        <v>86</v>
      </c>
      <c r="G875" t="str" cm="1">
        <f t="array" ref="G875">_xlfn.SWITCH(F875,"Acme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875" t="s">
        <v>58</v>
      </c>
      <c r="I875" t="s">
        <v>68</v>
      </c>
      <c r="J875" t="str" cm="1">
        <f t="array" ref="J875">_xlfn.SWITCH(I875,"P001","Laptop","P002","Server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75" s="1" cm="1">
        <f t="array" ref="K875">_xlfn.SWITCH(Table1[[#This Row],[Product ID]],"P001",220,"P002",150,"P003",130,"P004",70,"P005",200,"P006",40,"P007",25,"P008",20,"P009",190,"P010",530)</f>
        <v>220</v>
      </c>
      <c r="L875">
        <v>16</v>
      </c>
      <c r="M875" s="1">
        <f>Table1[[#This Row],[Unit Price]]*Table1[[#This Row],[Quantity]]</f>
        <v>3520</v>
      </c>
      <c r="N875" s="2">
        <v>7.0000000000000007E-2</v>
      </c>
      <c r="O875" s="1">
        <f>Table1[[#This Row],[Gross Value]]*(1-Table1[[#This Row],[Discount]])</f>
        <v>3273.6</v>
      </c>
      <c r="P875" s="2">
        <v>0.2</v>
      </c>
      <c r="Q875" s="1">
        <f>Table1[[#This Row],[Revenue]]*Table1[[#This Row],[VAT Rate]]</f>
        <v>654.72</v>
      </c>
      <c r="R875" s="1">
        <f>Table1[[#This Row],[Revenue]]+Table1[[#This Row],[VAT Charged]]</f>
        <v>3928.3199999999997</v>
      </c>
      <c r="S875" s="1" cm="1">
        <f t="array" ref="S875">_xlfn.SWITCH(Table1[[#This Row],[Product ID]],"P001",140,"P002",80,"P003",72,"P004",30,"P005",110,"P006",24,"P007",14,"P008",12,"P009",115,"P010",360)</f>
        <v>140</v>
      </c>
      <c r="T875" s="1" cm="1">
        <f t="array" ref="T875">(_xlfn.SWITCH(Table1[[#This Row],[Product ID]],"P001",140,"P002",80,"P003",72,"P004",30,"P005",110,"P006",24,"P007",14,"P008",12,"P009",115,"P010",360))*Table1[[#This Row],[Quantity]]</f>
        <v>2240</v>
      </c>
      <c r="U875" s="1" cm="1">
        <f t="array" ref="U875">_xlfn.SWITCH(Table1[[#This Row],[Product ID]],"P001",15,"P002",0,"P003",8,"P004",8,"P005",0,"P006",7,"P007",7,"P008",6,"P009",45,"P010",60)</f>
        <v>15</v>
      </c>
      <c r="V875" s="1">
        <f>Table1[[#This Row],[Shipping per Unit]]*Table1[[#This Row],[Quantity]]</f>
        <v>240</v>
      </c>
      <c r="W875" s="2">
        <f>IF(Table1[[#This Row],[Total Shipping]]&gt;0.1,0.2,0)</f>
        <v>0.2</v>
      </c>
      <c r="X875" s="4">
        <f>Table1[[#This Row],[Total Shipping]]*Table1[[#This Row],[VAT on Shipping]]</f>
        <v>48</v>
      </c>
      <c r="Y875" s="1">
        <f>Table1[[#This Row],[Revenue]]-Table1[[#This Row],[COGS]]</f>
        <v>1033.5999999999999</v>
      </c>
      <c r="Z875" s="3">
        <f>(Table1[[#This Row],[Profit]]/Table1[[#This Row],[Revenue]])</f>
        <v>0.31573802541544477</v>
      </c>
      <c r="AA875" s="1">
        <f>Table1[[#This Row],[Profit]]-Table1[[#This Row],[Total Shipping]]</f>
        <v>793.59999999999991</v>
      </c>
      <c r="AB875" s="3">
        <f>Table1[[#This Row],[Operating Profit]]/Table1[[#This Row],[Revenue]]</f>
        <v>0.2424242424242424</v>
      </c>
    </row>
    <row r="876" spans="1:28" x14ac:dyDescent="0.25">
      <c r="A876" t="s">
        <v>382</v>
      </c>
      <c r="B876">
        <v>650</v>
      </c>
      <c r="C876" t="s">
        <v>65</v>
      </c>
      <c r="D876" t="s">
        <v>67</v>
      </c>
      <c r="E876" t="s">
        <v>49</v>
      </c>
      <c r="F876" t="s">
        <v>119</v>
      </c>
      <c r="G876" t="str" cm="1">
        <f t="array" ref="G876">_xlfn.SWITCH(F876,"Acme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876" t="s">
        <v>33</v>
      </c>
      <c r="I876" t="s">
        <v>34</v>
      </c>
      <c r="J876" t="str" cm="1">
        <f t="array" ref="J876">_xlfn.SWITCH(I876,"P001","Laptop","P002","Server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76" s="1" cm="1">
        <f t="array" ref="K876">_xlfn.SWITCH(Table1[[#This Row],[Product ID]],"P001",220,"P002",150,"P003",130,"P004",70,"P005",200,"P006",40,"P007",25,"P008",20,"P009",190,"P010",530)</f>
        <v>20</v>
      </c>
      <c r="L876">
        <v>11</v>
      </c>
      <c r="M876" s="1">
        <f>Table1[[#This Row],[Unit Price]]*Table1[[#This Row],[Quantity]]</f>
        <v>220</v>
      </c>
      <c r="N876" s="2">
        <v>0.06</v>
      </c>
      <c r="O876" s="1">
        <f>Table1[[#This Row],[Gross Value]]*(1-Table1[[#This Row],[Discount]])</f>
        <v>206.79999999999998</v>
      </c>
      <c r="P876" s="2">
        <v>0.2</v>
      </c>
      <c r="Q876" s="1">
        <f>Table1[[#This Row],[Revenue]]*Table1[[#This Row],[VAT Rate]]</f>
        <v>41.36</v>
      </c>
      <c r="R876" s="1">
        <f>Table1[[#This Row],[Revenue]]+Table1[[#This Row],[VAT Charged]]</f>
        <v>248.15999999999997</v>
      </c>
      <c r="S876" s="1" cm="1">
        <f t="array" ref="S876">_xlfn.SWITCH(Table1[[#This Row],[Product ID]],"P001",140,"P002",80,"P003",72,"P004",30,"P005",110,"P006",24,"P007",14,"P008",12,"P009",115,"P010",360)</f>
        <v>12</v>
      </c>
      <c r="T876" s="1" cm="1">
        <f t="array" ref="T876">(_xlfn.SWITCH(Table1[[#This Row],[Product ID]],"P001",140,"P002",80,"P003",72,"P004",30,"P005",110,"P006",24,"P007",14,"P008",12,"P009",115,"P010",360))*Table1[[#This Row],[Quantity]]</f>
        <v>132</v>
      </c>
      <c r="U876" s="1" cm="1">
        <f t="array" ref="U876">_xlfn.SWITCH(Table1[[#This Row],[Product ID]],"P001",15,"P002",0,"P003",8,"P004",8,"P005",0,"P006",7,"P007",7,"P008",6,"P009",45,"P010",60)</f>
        <v>6</v>
      </c>
      <c r="V876" s="1">
        <f>Table1[[#This Row],[Shipping per Unit]]*Table1[[#This Row],[Quantity]]</f>
        <v>66</v>
      </c>
      <c r="W876" s="2">
        <f>IF(Table1[[#This Row],[Total Shipping]]&gt;0.1,0.2,0)</f>
        <v>0.2</v>
      </c>
      <c r="X876" s="4">
        <f>Table1[[#This Row],[Total Shipping]]*Table1[[#This Row],[VAT on Shipping]]</f>
        <v>13.200000000000001</v>
      </c>
      <c r="Y876" s="1">
        <f>Table1[[#This Row],[Revenue]]-Table1[[#This Row],[COGS]]</f>
        <v>74.799999999999983</v>
      </c>
      <c r="Z876" s="3">
        <f>(Table1[[#This Row],[Profit]]/Table1[[#This Row],[Revenue]])</f>
        <v>0.36170212765957444</v>
      </c>
      <c r="AA876" s="1">
        <f>Table1[[#This Row],[Profit]]-Table1[[#This Row],[Total Shipping]]</f>
        <v>8.7999999999999829</v>
      </c>
      <c r="AB876" s="3">
        <f>Table1[[#This Row],[Operating Profit]]/Table1[[#This Row],[Revenue]]</f>
        <v>4.2553191489361625E-2</v>
      </c>
    </row>
    <row r="877" spans="1:28" x14ac:dyDescent="0.25">
      <c r="A877" t="s">
        <v>383</v>
      </c>
      <c r="B877">
        <v>854</v>
      </c>
      <c r="C877" t="s">
        <v>56</v>
      </c>
      <c r="D877" t="s">
        <v>72</v>
      </c>
      <c r="E877" t="s">
        <v>49</v>
      </c>
      <c r="F877" t="s">
        <v>126</v>
      </c>
      <c r="G877" t="str" cm="1">
        <f t="array" ref="G877">_xlfn.SWITCH(F877,"Acme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877" t="s">
        <v>58</v>
      </c>
      <c r="I877" t="s">
        <v>52</v>
      </c>
      <c r="J877" t="str" cm="1">
        <f t="array" ref="J877">_xlfn.SWITCH(I877,"P001","Laptop","P002","Server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77" s="1" cm="1">
        <f t="array" ref="K877">_xlfn.SWITCH(Table1[[#This Row],[Product ID]],"P001",220,"P002",150,"P003",130,"P004",70,"P005",200,"P006",40,"P007",25,"P008",20,"P009",190,"P010",530)</f>
        <v>130</v>
      </c>
      <c r="L877">
        <v>9</v>
      </c>
      <c r="M877" s="1">
        <f>Table1[[#This Row],[Unit Price]]*Table1[[#This Row],[Quantity]]</f>
        <v>1170</v>
      </c>
      <c r="N877" s="2">
        <v>7.0000000000000007E-2</v>
      </c>
      <c r="O877" s="1">
        <f>Table1[[#This Row],[Gross Value]]*(1-Table1[[#This Row],[Discount]])</f>
        <v>1088.0999999999999</v>
      </c>
      <c r="P877" s="2">
        <v>0.2</v>
      </c>
      <c r="Q877" s="1">
        <f>Table1[[#This Row],[Revenue]]*Table1[[#This Row],[VAT Rate]]</f>
        <v>217.62</v>
      </c>
      <c r="R877" s="1">
        <f>Table1[[#This Row],[Revenue]]+Table1[[#This Row],[VAT Charged]]</f>
        <v>1305.7199999999998</v>
      </c>
      <c r="S877" s="1" cm="1">
        <f t="array" ref="S877">_xlfn.SWITCH(Table1[[#This Row],[Product ID]],"P001",140,"P002",80,"P003",72,"P004",30,"P005",110,"P006",24,"P007",14,"P008",12,"P009",115,"P010",360)</f>
        <v>72</v>
      </c>
      <c r="T877" s="1" cm="1">
        <f t="array" ref="T877">(_xlfn.SWITCH(Table1[[#This Row],[Product ID]],"P001",140,"P002",80,"P003",72,"P004",30,"P005",110,"P006",24,"P007",14,"P008",12,"P009",115,"P010",360))*Table1[[#This Row],[Quantity]]</f>
        <v>648</v>
      </c>
      <c r="U877" s="1" cm="1">
        <f t="array" ref="U877">_xlfn.SWITCH(Table1[[#This Row],[Product ID]],"P001",15,"P002",0,"P003",8,"P004",8,"P005",0,"P006",7,"P007",7,"P008",6,"P009",45,"P010",60)</f>
        <v>8</v>
      </c>
      <c r="V877" s="1">
        <f>Table1[[#This Row],[Shipping per Unit]]*Table1[[#This Row],[Quantity]]</f>
        <v>72</v>
      </c>
      <c r="W877" s="2">
        <f>IF(Table1[[#This Row],[Total Shipping]]&gt;0.1,0.2,0)</f>
        <v>0.2</v>
      </c>
      <c r="X877" s="4">
        <f>Table1[[#This Row],[Total Shipping]]*Table1[[#This Row],[VAT on Shipping]]</f>
        <v>14.4</v>
      </c>
      <c r="Y877" s="1">
        <f>Table1[[#This Row],[Revenue]]-Table1[[#This Row],[COGS]]</f>
        <v>440.09999999999991</v>
      </c>
      <c r="Z877" s="3">
        <f>(Table1[[#This Row],[Profit]]/Table1[[#This Row],[Revenue]])</f>
        <v>0.40446650124069472</v>
      </c>
      <c r="AA877" s="1">
        <f>Table1[[#This Row],[Profit]]-Table1[[#This Row],[Total Shipping]]</f>
        <v>368.09999999999991</v>
      </c>
      <c r="AB877" s="3">
        <f>Table1[[#This Row],[Operating Profit]]/Table1[[#This Row],[Revenue]]</f>
        <v>0.33829611248966079</v>
      </c>
    </row>
    <row r="878" spans="1:28" x14ac:dyDescent="0.25">
      <c r="A878" t="s">
        <v>383</v>
      </c>
      <c r="B878">
        <v>907</v>
      </c>
      <c r="C878" t="s">
        <v>38</v>
      </c>
      <c r="D878" t="s">
        <v>48</v>
      </c>
      <c r="E878" t="s">
        <v>40</v>
      </c>
      <c r="F878" t="s">
        <v>84</v>
      </c>
      <c r="G878" t="str" cm="1">
        <f t="array" ref="G878">_xlfn.SWITCH(F878,"Acme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878" t="s">
        <v>33</v>
      </c>
      <c r="I878" t="s">
        <v>55</v>
      </c>
      <c r="J878" t="str" cm="1">
        <f t="array" ref="J878">_xlfn.SWITCH(I878,"P001","Laptop","P002","Server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78" s="1" cm="1">
        <f t="array" ref="K878">_xlfn.SWITCH(Table1[[#This Row],[Product ID]],"P001",220,"P002",150,"P003",130,"P004",70,"P005",200,"P006",40,"P007",25,"P008",20,"P009",190,"P010",530)</f>
        <v>70</v>
      </c>
      <c r="L878">
        <v>5</v>
      </c>
      <c r="M878" s="1">
        <f>Table1[[#This Row],[Unit Price]]*Table1[[#This Row],[Quantity]]</f>
        <v>350</v>
      </c>
      <c r="N878" s="2">
        <v>0.05</v>
      </c>
      <c r="O878" s="1">
        <f>Table1[[#This Row],[Gross Value]]*(1-Table1[[#This Row],[Discount]])</f>
        <v>332.5</v>
      </c>
      <c r="P878" s="2">
        <v>0.2</v>
      </c>
      <c r="Q878" s="1">
        <f>Table1[[#This Row],[Revenue]]*Table1[[#This Row],[VAT Rate]]</f>
        <v>66.5</v>
      </c>
      <c r="R878" s="1">
        <f>Table1[[#This Row],[Revenue]]+Table1[[#This Row],[VAT Charged]]</f>
        <v>399</v>
      </c>
      <c r="S878" s="1" cm="1">
        <f t="array" ref="S878">_xlfn.SWITCH(Table1[[#This Row],[Product ID]],"P001",140,"P002",80,"P003",72,"P004",30,"P005",110,"P006",24,"P007",14,"P008",12,"P009",115,"P010",360)</f>
        <v>30</v>
      </c>
      <c r="T878" s="1" cm="1">
        <f t="array" ref="T878">(_xlfn.SWITCH(Table1[[#This Row],[Product ID]],"P001",140,"P002",80,"P003",72,"P004",30,"P005",110,"P006",24,"P007",14,"P008",12,"P009",115,"P010",360))*Table1[[#This Row],[Quantity]]</f>
        <v>150</v>
      </c>
      <c r="U878" s="1" cm="1">
        <f t="array" ref="U878">_xlfn.SWITCH(Table1[[#This Row],[Product ID]],"P001",15,"P002",0,"P003",8,"P004",8,"P005",0,"P006",7,"P007",7,"P008",6,"P009",45,"P010",60)</f>
        <v>8</v>
      </c>
      <c r="V878" s="1">
        <f>Table1[[#This Row],[Shipping per Unit]]*Table1[[#This Row],[Quantity]]</f>
        <v>40</v>
      </c>
      <c r="W878" s="2">
        <f>IF(Table1[[#This Row],[Total Shipping]]&gt;0.1,0.2,0)</f>
        <v>0.2</v>
      </c>
      <c r="X878" s="4">
        <f>Table1[[#This Row],[Total Shipping]]*Table1[[#This Row],[VAT on Shipping]]</f>
        <v>8</v>
      </c>
      <c r="Y878" s="1">
        <f>Table1[[#This Row],[Revenue]]-Table1[[#This Row],[COGS]]</f>
        <v>182.5</v>
      </c>
      <c r="Z878" s="3">
        <f>(Table1[[#This Row],[Profit]]/Table1[[#This Row],[Revenue]])</f>
        <v>0.54887218045112784</v>
      </c>
      <c r="AA878" s="1">
        <f>Table1[[#This Row],[Profit]]-Table1[[#This Row],[Total Shipping]]</f>
        <v>142.5</v>
      </c>
      <c r="AB878" s="3">
        <f>Table1[[#This Row],[Operating Profit]]/Table1[[#This Row],[Revenue]]</f>
        <v>0.42857142857142855</v>
      </c>
    </row>
    <row r="879" spans="1:28" x14ac:dyDescent="0.25">
      <c r="A879" t="s">
        <v>383</v>
      </c>
      <c r="B879">
        <v>915</v>
      </c>
      <c r="C879" t="s">
        <v>62</v>
      </c>
      <c r="D879" t="s">
        <v>72</v>
      </c>
      <c r="E879" t="s">
        <v>31</v>
      </c>
      <c r="F879" t="s">
        <v>66</v>
      </c>
      <c r="G879" t="str" cm="1">
        <f t="array" ref="G879">_xlfn.SWITCH(F879,"Acme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879" t="s">
        <v>104</v>
      </c>
      <c r="I879" t="s">
        <v>60</v>
      </c>
      <c r="J879" t="str" cm="1">
        <f t="array" ref="J879">_xlfn.SWITCH(I879,"P001","Laptop","P002","Server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879" s="1" cm="1">
        <f t="array" ref="K879">_xlfn.SWITCH(Table1[[#This Row],[Product ID]],"P001",220,"P002",150,"P003",130,"P004",70,"P005",200,"P006",40,"P007",25,"P008",20,"P009",190,"P010",530)</f>
        <v>25</v>
      </c>
      <c r="L879">
        <v>2</v>
      </c>
      <c r="M879" s="1">
        <f>Table1[[#This Row],[Unit Price]]*Table1[[#This Row],[Quantity]]</f>
        <v>50</v>
      </c>
      <c r="N879" s="2">
        <v>0.08</v>
      </c>
      <c r="O879" s="1">
        <f>Table1[[#This Row],[Gross Value]]*(1-Table1[[#This Row],[Discount]])</f>
        <v>46</v>
      </c>
      <c r="P879" s="2">
        <v>0.2</v>
      </c>
      <c r="Q879" s="1">
        <f>Table1[[#This Row],[Revenue]]*Table1[[#This Row],[VAT Rate]]</f>
        <v>9.2000000000000011</v>
      </c>
      <c r="R879" s="1">
        <f>Table1[[#This Row],[Revenue]]+Table1[[#This Row],[VAT Charged]]</f>
        <v>55.2</v>
      </c>
      <c r="S879" s="1" cm="1">
        <f t="array" ref="S879">_xlfn.SWITCH(Table1[[#This Row],[Product ID]],"P001",140,"P002",80,"P003",72,"P004",30,"P005",110,"P006",24,"P007",14,"P008",12,"P009",115,"P010",360)</f>
        <v>14</v>
      </c>
      <c r="T879" s="1" cm="1">
        <f t="array" ref="T879">(_xlfn.SWITCH(Table1[[#This Row],[Product ID]],"P001",140,"P002",80,"P003",72,"P004",30,"P005",110,"P006",24,"P007",14,"P008",12,"P009",115,"P010",360))*Table1[[#This Row],[Quantity]]</f>
        <v>28</v>
      </c>
      <c r="U879" s="1" cm="1">
        <f t="array" ref="U879">_xlfn.SWITCH(Table1[[#This Row],[Product ID]],"P001",15,"P002",0,"P003",8,"P004",8,"P005",0,"P006",7,"P007",7,"P008",6,"P009",45,"P010",60)</f>
        <v>7</v>
      </c>
      <c r="V879" s="1">
        <f>Table1[[#This Row],[Shipping per Unit]]*Table1[[#This Row],[Quantity]]</f>
        <v>14</v>
      </c>
      <c r="W879" s="2">
        <f>IF(Table1[[#This Row],[Total Shipping]]&gt;0.1,0.2,0)</f>
        <v>0.2</v>
      </c>
      <c r="X879" s="4">
        <f>Table1[[#This Row],[Total Shipping]]*Table1[[#This Row],[VAT on Shipping]]</f>
        <v>2.8000000000000003</v>
      </c>
      <c r="Y879" s="1">
        <f>Table1[[#This Row],[Revenue]]-Table1[[#This Row],[COGS]]</f>
        <v>18</v>
      </c>
      <c r="Z879" s="3">
        <f>(Table1[[#This Row],[Profit]]/Table1[[#This Row],[Revenue]])</f>
        <v>0.39130434782608697</v>
      </c>
      <c r="AA879" s="1">
        <f>Table1[[#This Row],[Profit]]-Table1[[#This Row],[Total Shipping]]</f>
        <v>4</v>
      </c>
      <c r="AB879" s="3">
        <f>Table1[[#This Row],[Operating Profit]]/Table1[[#This Row],[Revenue]]</f>
        <v>8.6956521739130432E-2</v>
      </c>
    </row>
    <row r="880" spans="1:28" x14ac:dyDescent="0.25">
      <c r="A880" t="s">
        <v>384</v>
      </c>
      <c r="B880">
        <v>755</v>
      </c>
      <c r="C880" t="s">
        <v>71</v>
      </c>
      <c r="D880" t="s">
        <v>39</v>
      </c>
      <c r="E880" t="s">
        <v>49</v>
      </c>
      <c r="F880" t="s">
        <v>92</v>
      </c>
      <c r="G880" t="str" cm="1">
        <f t="array" ref="G880">_xlfn.SWITCH(F880,"Acme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80" t="s">
        <v>33</v>
      </c>
      <c r="I880" t="s">
        <v>68</v>
      </c>
      <c r="J880" t="str" cm="1">
        <f t="array" ref="J880">_xlfn.SWITCH(I880,"P001","Laptop","P002","Server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80" s="1" cm="1">
        <f t="array" ref="K880">_xlfn.SWITCH(Table1[[#This Row],[Product ID]],"P001",220,"P002",150,"P003",130,"P004",70,"P005",200,"P006",40,"P007",25,"P008",20,"P009",190,"P010",530)</f>
        <v>220</v>
      </c>
      <c r="L880">
        <v>16</v>
      </c>
      <c r="M880" s="1">
        <f>Table1[[#This Row],[Unit Price]]*Table1[[#This Row],[Quantity]]</f>
        <v>3520</v>
      </c>
      <c r="N880" s="2">
        <v>0.02</v>
      </c>
      <c r="O880" s="1">
        <f>Table1[[#This Row],[Gross Value]]*(1-Table1[[#This Row],[Discount]])</f>
        <v>3449.6</v>
      </c>
      <c r="P880" s="2">
        <v>0.2</v>
      </c>
      <c r="Q880" s="1">
        <f>Table1[[#This Row],[Revenue]]*Table1[[#This Row],[VAT Rate]]</f>
        <v>689.92000000000007</v>
      </c>
      <c r="R880" s="1">
        <f>Table1[[#This Row],[Revenue]]+Table1[[#This Row],[VAT Charged]]</f>
        <v>4139.5200000000004</v>
      </c>
      <c r="S880" s="1" cm="1">
        <f t="array" ref="S880">_xlfn.SWITCH(Table1[[#This Row],[Product ID]],"P001",140,"P002",80,"P003",72,"P004",30,"P005",110,"P006",24,"P007",14,"P008",12,"P009",115,"P010",360)</f>
        <v>140</v>
      </c>
      <c r="T880" s="1" cm="1">
        <f t="array" ref="T880">(_xlfn.SWITCH(Table1[[#This Row],[Product ID]],"P001",140,"P002",80,"P003",72,"P004",30,"P005",110,"P006",24,"P007",14,"P008",12,"P009",115,"P010",360))*Table1[[#This Row],[Quantity]]</f>
        <v>2240</v>
      </c>
      <c r="U880" s="1" cm="1">
        <f t="array" ref="U880">_xlfn.SWITCH(Table1[[#This Row],[Product ID]],"P001",15,"P002",0,"P003",8,"P004",8,"P005",0,"P006",7,"P007",7,"P008",6,"P009",45,"P010",60)</f>
        <v>15</v>
      </c>
      <c r="V880" s="1">
        <f>Table1[[#This Row],[Shipping per Unit]]*Table1[[#This Row],[Quantity]]</f>
        <v>240</v>
      </c>
      <c r="W880" s="2">
        <f>IF(Table1[[#This Row],[Total Shipping]]&gt;0.1,0.2,0)</f>
        <v>0.2</v>
      </c>
      <c r="X880" s="4">
        <f>Table1[[#This Row],[Total Shipping]]*Table1[[#This Row],[VAT on Shipping]]</f>
        <v>48</v>
      </c>
      <c r="Y880" s="1">
        <f>Table1[[#This Row],[Revenue]]-Table1[[#This Row],[COGS]]</f>
        <v>1209.5999999999999</v>
      </c>
      <c r="Z880" s="3">
        <f>(Table1[[#This Row],[Profit]]/Table1[[#This Row],[Revenue]])</f>
        <v>0.35064935064935066</v>
      </c>
      <c r="AA880" s="1">
        <f>Table1[[#This Row],[Profit]]-Table1[[#This Row],[Total Shipping]]</f>
        <v>969.59999999999991</v>
      </c>
      <c r="AB880" s="3">
        <f>Table1[[#This Row],[Operating Profit]]/Table1[[#This Row],[Revenue]]</f>
        <v>0.28107606679035246</v>
      </c>
    </row>
    <row r="881" spans="1:28" x14ac:dyDescent="0.25">
      <c r="A881" t="s">
        <v>384</v>
      </c>
      <c r="B881">
        <v>860</v>
      </c>
      <c r="C881" t="s">
        <v>38</v>
      </c>
      <c r="D881" t="s">
        <v>63</v>
      </c>
      <c r="E881" t="s">
        <v>40</v>
      </c>
      <c r="F881" t="s">
        <v>79</v>
      </c>
      <c r="G881" t="str" cm="1">
        <f t="array" ref="G881">_xlfn.SWITCH(F881,"Acme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881" t="s">
        <v>45</v>
      </c>
      <c r="I881" t="s">
        <v>68</v>
      </c>
      <c r="J881" t="str" cm="1">
        <f t="array" ref="J881">_xlfn.SWITCH(I881,"P001","Laptop","P002","Server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81" s="1" cm="1">
        <f t="array" ref="K881">_xlfn.SWITCH(Table1[[#This Row],[Product ID]],"P001",220,"P002",150,"P003",130,"P004",70,"P005",200,"P006",40,"P007",25,"P008",20,"P009",190,"P010",530)</f>
        <v>220</v>
      </c>
      <c r="L881">
        <v>13</v>
      </c>
      <c r="M881" s="1">
        <f>Table1[[#This Row],[Unit Price]]*Table1[[#This Row],[Quantity]]</f>
        <v>2860</v>
      </c>
      <c r="N881" s="2">
        <v>0.09</v>
      </c>
      <c r="O881" s="1">
        <f>Table1[[#This Row],[Gross Value]]*(1-Table1[[#This Row],[Discount]])</f>
        <v>2602.6</v>
      </c>
      <c r="P881" s="2">
        <v>0.2</v>
      </c>
      <c r="Q881" s="1">
        <f>Table1[[#This Row],[Revenue]]*Table1[[#This Row],[VAT Rate]]</f>
        <v>520.52</v>
      </c>
      <c r="R881" s="1">
        <f>Table1[[#This Row],[Revenue]]+Table1[[#This Row],[VAT Charged]]</f>
        <v>3123.12</v>
      </c>
      <c r="S881" s="1" cm="1">
        <f t="array" ref="S881">_xlfn.SWITCH(Table1[[#This Row],[Product ID]],"P001",140,"P002",80,"P003",72,"P004",30,"P005",110,"P006",24,"P007",14,"P008",12,"P009",115,"P010",360)</f>
        <v>140</v>
      </c>
      <c r="T881" s="1" cm="1">
        <f t="array" ref="T881">(_xlfn.SWITCH(Table1[[#This Row],[Product ID]],"P001",140,"P002",80,"P003",72,"P004",30,"P005",110,"P006",24,"P007",14,"P008",12,"P009",115,"P010",360))*Table1[[#This Row],[Quantity]]</f>
        <v>1820</v>
      </c>
      <c r="U881" s="1" cm="1">
        <f t="array" ref="U881">_xlfn.SWITCH(Table1[[#This Row],[Product ID]],"P001",15,"P002",0,"P003",8,"P004",8,"P005",0,"P006",7,"P007",7,"P008",6,"P009",45,"P010",60)</f>
        <v>15</v>
      </c>
      <c r="V881" s="1">
        <f>Table1[[#This Row],[Shipping per Unit]]*Table1[[#This Row],[Quantity]]</f>
        <v>195</v>
      </c>
      <c r="W881" s="2">
        <f>IF(Table1[[#This Row],[Total Shipping]]&gt;0.1,0.2,0)</f>
        <v>0.2</v>
      </c>
      <c r="X881" s="4">
        <f>Table1[[#This Row],[Total Shipping]]*Table1[[#This Row],[VAT on Shipping]]</f>
        <v>39</v>
      </c>
      <c r="Y881" s="1">
        <f>Table1[[#This Row],[Revenue]]-Table1[[#This Row],[COGS]]</f>
        <v>782.59999999999991</v>
      </c>
      <c r="Z881" s="3">
        <f>(Table1[[#This Row],[Profit]]/Table1[[#This Row],[Revenue]])</f>
        <v>0.30069930069930068</v>
      </c>
      <c r="AA881" s="1">
        <f>Table1[[#This Row],[Profit]]-Table1[[#This Row],[Total Shipping]]</f>
        <v>587.59999999999991</v>
      </c>
      <c r="AB881" s="3">
        <f>Table1[[#This Row],[Operating Profit]]/Table1[[#This Row],[Revenue]]</f>
        <v>0.22577422577422573</v>
      </c>
    </row>
    <row r="882" spans="1:28" x14ac:dyDescent="0.25">
      <c r="A882" t="s">
        <v>384</v>
      </c>
      <c r="B882">
        <v>919</v>
      </c>
      <c r="C882" t="s">
        <v>38</v>
      </c>
      <c r="D882" t="s">
        <v>53</v>
      </c>
      <c r="E882" t="s">
        <v>49</v>
      </c>
      <c r="F882" t="s">
        <v>90</v>
      </c>
      <c r="G882" t="str" cm="1">
        <f t="array" ref="G882">_xlfn.SWITCH(F882,"Acme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882" t="s">
        <v>58</v>
      </c>
      <c r="I882" t="s">
        <v>68</v>
      </c>
      <c r="J882" t="str" cm="1">
        <f t="array" ref="J882">_xlfn.SWITCH(I882,"P001","Laptop","P002","Server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882" s="1" cm="1">
        <f t="array" ref="K882">_xlfn.SWITCH(Table1[[#This Row],[Product ID]],"P001",220,"P002",150,"P003",130,"P004",70,"P005",200,"P006",40,"P007",25,"P008",20,"P009",190,"P010",530)</f>
        <v>220</v>
      </c>
      <c r="L882">
        <v>7</v>
      </c>
      <c r="M882" s="1">
        <f>Table1[[#This Row],[Unit Price]]*Table1[[#This Row],[Quantity]]</f>
        <v>1540</v>
      </c>
      <c r="N882" s="2">
        <v>0.05</v>
      </c>
      <c r="O882" s="1">
        <f>Table1[[#This Row],[Gross Value]]*(1-Table1[[#This Row],[Discount]])</f>
        <v>1463</v>
      </c>
      <c r="P882" s="2">
        <v>0.2</v>
      </c>
      <c r="Q882" s="1">
        <f>Table1[[#This Row],[Revenue]]*Table1[[#This Row],[VAT Rate]]</f>
        <v>292.60000000000002</v>
      </c>
      <c r="R882" s="1">
        <f>Table1[[#This Row],[Revenue]]+Table1[[#This Row],[VAT Charged]]</f>
        <v>1755.6</v>
      </c>
      <c r="S882" s="1" cm="1">
        <f t="array" ref="S882">_xlfn.SWITCH(Table1[[#This Row],[Product ID]],"P001",140,"P002",80,"P003",72,"P004",30,"P005",110,"P006",24,"P007",14,"P008",12,"P009",115,"P010",360)</f>
        <v>140</v>
      </c>
      <c r="T882" s="1" cm="1">
        <f t="array" ref="T882">(_xlfn.SWITCH(Table1[[#This Row],[Product ID]],"P001",140,"P002",80,"P003",72,"P004",30,"P005",110,"P006",24,"P007",14,"P008",12,"P009",115,"P010",360))*Table1[[#This Row],[Quantity]]</f>
        <v>980</v>
      </c>
      <c r="U882" s="1" cm="1">
        <f t="array" ref="U882">_xlfn.SWITCH(Table1[[#This Row],[Product ID]],"P001",15,"P002",0,"P003",8,"P004",8,"P005",0,"P006",7,"P007",7,"P008",6,"P009",45,"P010",60)</f>
        <v>15</v>
      </c>
      <c r="V882" s="1">
        <f>Table1[[#This Row],[Shipping per Unit]]*Table1[[#This Row],[Quantity]]</f>
        <v>105</v>
      </c>
      <c r="W882" s="2">
        <f>IF(Table1[[#This Row],[Total Shipping]]&gt;0.1,0.2,0)</f>
        <v>0.2</v>
      </c>
      <c r="X882" s="4">
        <f>Table1[[#This Row],[Total Shipping]]*Table1[[#This Row],[VAT on Shipping]]</f>
        <v>21</v>
      </c>
      <c r="Y882" s="1">
        <f>Table1[[#This Row],[Revenue]]-Table1[[#This Row],[COGS]]</f>
        <v>483</v>
      </c>
      <c r="Z882" s="3">
        <f>(Table1[[#This Row],[Profit]]/Table1[[#This Row],[Revenue]])</f>
        <v>0.33014354066985646</v>
      </c>
      <c r="AA882" s="1">
        <f>Table1[[#This Row],[Profit]]-Table1[[#This Row],[Total Shipping]]</f>
        <v>378</v>
      </c>
      <c r="AB882" s="3">
        <f>Table1[[#This Row],[Operating Profit]]/Table1[[#This Row],[Revenue]]</f>
        <v>0.25837320574162681</v>
      </c>
    </row>
    <row r="883" spans="1:28" x14ac:dyDescent="0.25">
      <c r="A883" t="s">
        <v>385</v>
      </c>
      <c r="B883">
        <v>54</v>
      </c>
      <c r="C883" t="s">
        <v>38</v>
      </c>
      <c r="D883" t="s">
        <v>53</v>
      </c>
      <c r="E883" t="s">
        <v>49</v>
      </c>
      <c r="F883" t="s">
        <v>103</v>
      </c>
      <c r="G883" t="str" cm="1">
        <f t="array" ref="G883">_xlfn.SWITCH(F883,"Acme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883" t="s">
        <v>33</v>
      </c>
      <c r="I883" t="s">
        <v>55</v>
      </c>
      <c r="J883" t="str" cm="1">
        <f t="array" ref="J883">_xlfn.SWITCH(I883,"P001","Laptop","P002","Server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83" s="1" cm="1">
        <f t="array" ref="K883">_xlfn.SWITCH(Table1[[#This Row],[Product ID]],"P001",220,"P002",150,"P003",130,"P004",70,"P005",200,"P006",40,"P007",25,"P008",20,"P009",190,"P010",530)</f>
        <v>70</v>
      </c>
      <c r="L883">
        <v>13</v>
      </c>
      <c r="M883" s="1">
        <f>Table1[[#This Row],[Unit Price]]*Table1[[#This Row],[Quantity]]</f>
        <v>910</v>
      </c>
      <c r="N883" s="2">
        <v>0.09</v>
      </c>
      <c r="O883" s="1">
        <f>Table1[[#This Row],[Gross Value]]*(1-Table1[[#This Row],[Discount]])</f>
        <v>828.1</v>
      </c>
      <c r="P883" s="2">
        <v>0.2</v>
      </c>
      <c r="Q883" s="1">
        <f>Table1[[#This Row],[Revenue]]*Table1[[#This Row],[VAT Rate]]</f>
        <v>165.62</v>
      </c>
      <c r="R883" s="1">
        <f>Table1[[#This Row],[Revenue]]+Table1[[#This Row],[VAT Charged]]</f>
        <v>993.72</v>
      </c>
      <c r="S883" s="1" cm="1">
        <f t="array" ref="S883">_xlfn.SWITCH(Table1[[#This Row],[Product ID]],"P001",140,"P002",80,"P003",72,"P004",30,"P005",110,"P006",24,"P007",14,"P008",12,"P009",115,"P010",360)</f>
        <v>30</v>
      </c>
      <c r="T883" s="1" cm="1">
        <f t="array" ref="T883">(_xlfn.SWITCH(Table1[[#This Row],[Product ID]],"P001",140,"P002",80,"P003",72,"P004",30,"P005",110,"P006",24,"P007",14,"P008",12,"P009",115,"P010",360))*Table1[[#This Row],[Quantity]]</f>
        <v>390</v>
      </c>
      <c r="U883" s="1" cm="1">
        <f t="array" ref="U883">_xlfn.SWITCH(Table1[[#This Row],[Product ID]],"P001",15,"P002",0,"P003",8,"P004",8,"P005",0,"P006",7,"P007",7,"P008",6,"P009",45,"P010",60)</f>
        <v>8</v>
      </c>
      <c r="V883" s="1">
        <f>Table1[[#This Row],[Shipping per Unit]]*Table1[[#This Row],[Quantity]]</f>
        <v>104</v>
      </c>
      <c r="W883" s="2">
        <f>IF(Table1[[#This Row],[Total Shipping]]&gt;0.1,0.2,0)</f>
        <v>0.2</v>
      </c>
      <c r="X883" s="4">
        <f>Table1[[#This Row],[Total Shipping]]*Table1[[#This Row],[VAT on Shipping]]</f>
        <v>20.8</v>
      </c>
      <c r="Y883" s="1">
        <f>Table1[[#This Row],[Revenue]]-Table1[[#This Row],[COGS]]</f>
        <v>438.1</v>
      </c>
      <c r="Z883" s="3">
        <f>(Table1[[#This Row],[Profit]]/Table1[[#This Row],[Revenue]])</f>
        <v>0.52904238618524335</v>
      </c>
      <c r="AA883" s="1">
        <f>Table1[[#This Row],[Profit]]-Table1[[#This Row],[Total Shipping]]</f>
        <v>334.1</v>
      </c>
      <c r="AB883" s="3">
        <f>Table1[[#This Row],[Operating Profit]]/Table1[[#This Row],[Revenue]]</f>
        <v>0.40345368916797492</v>
      </c>
    </row>
    <row r="884" spans="1:28" x14ac:dyDescent="0.25">
      <c r="A884" t="s">
        <v>385</v>
      </c>
      <c r="B884">
        <v>67</v>
      </c>
      <c r="C884" t="s">
        <v>56</v>
      </c>
      <c r="D884" t="s">
        <v>30</v>
      </c>
      <c r="E884" t="s">
        <v>40</v>
      </c>
      <c r="F884" t="s">
        <v>92</v>
      </c>
      <c r="G884" t="str" cm="1">
        <f t="array" ref="G884">_xlfn.SWITCH(F884,"Acme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84" t="s">
        <v>45</v>
      </c>
      <c r="I884" t="s">
        <v>75</v>
      </c>
      <c r="J884" t="str" cm="1">
        <f t="array" ref="J884">_xlfn.SWITCH(I884,"P001","Laptop","P002","Server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884" s="1" cm="1">
        <f t="array" ref="K884">_xlfn.SWITCH(Table1[[#This Row],[Product ID]],"P001",220,"P002",150,"P003",130,"P004",70,"P005",200,"P006",40,"P007",25,"P008",20,"P009",190,"P010",530)</f>
        <v>200</v>
      </c>
      <c r="L884">
        <v>15</v>
      </c>
      <c r="M884" s="1">
        <f>Table1[[#This Row],[Unit Price]]*Table1[[#This Row],[Quantity]]</f>
        <v>3000</v>
      </c>
      <c r="N884" s="2">
        <v>0.12</v>
      </c>
      <c r="O884" s="1">
        <f>Table1[[#This Row],[Gross Value]]*(1-Table1[[#This Row],[Discount]])</f>
        <v>2640</v>
      </c>
      <c r="P884" s="2">
        <v>0.2</v>
      </c>
      <c r="Q884" s="1">
        <f>Table1[[#This Row],[Revenue]]*Table1[[#This Row],[VAT Rate]]</f>
        <v>528</v>
      </c>
      <c r="R884" s="1">
        <f>Table1[[#This Row],[Revenue]]+Table1[[#This Row],[VAT Charged]]</f>
        <v>3168</v>
      </c>
      <c r="S884" s="1" cm="1">
        <f t="array" ref="S884">_xlfn.SWITCH(Table1[[#This Row],[Product ID]],"P001",140,"P002",80,"P003",72,"P004",30,"P005",110,"P006",24,"P007",14,"P008",12,"P009",115,"P010",360)</f>
        <v>110</v>
      </c>
      <c r="T884" s="1" cm="1">
        <f t="array" ref="T884">(_xlfn.SWITCH(Table1[[#This Row],[Product ID]],"P001",140,"P002",80,"P003",72,"P004",30,"P005",110,"P006",24,"P007",14,"P008",12,"P009",115,"P010",360))*Table1[[#This Row],[Quantity]]</f>
        <v>1650</v>
      </c>
      <c r="U884" s="1" cm="1">
        <f t="array" ref="U884">_xlfn.SWITCH(Table1[[#This Row],[Product ID]],"P001",15,"P002",0,"P003",8,"P004",8,"P005",0,"P006",7,"P007",7,"P008",6,"P009",45,"P010",60)</f>
        <v>0</v>
      </c>
      <c r="V884" s="1">
        <f>Table1[[#This Row],[Shipping per Unit]]*Table1[[#This Row],[Quantity]]</f>
        <v>0</v>
      </c>
      <c r="W884" s="2">
        <f>IF(Table1[[#This Row],[Total Shipping]]&gt;0.1,0.2,0)</f>
        <v>0</v>
      </c>
      <c r="X884" s="4">
        <f>Table1[[#This Row],[Total Shipping]]*Table1[[#This Row],[VAT on Shipping]]</f>
        <v>0</v>
      </c>
      <c r="Y884" s="1">
        <f>Table1[[#This Row],[Revenue]]-Table1[[#This Row],[COGS]]</f>
        <v>990</v>
      </c>
      <c r="Z884" s="3">
        <f>(Table1[[#This Row],[Profit]]/Table1[[#This Row],[Revenue]])</f>
        <v>0.375</v>
      </c>
      <c r="AA884" s="1">
        <f>Table1[[#This Row],[Profit]]-Table1[[#This Row],[Total Shipping]]</f>
        <v>990</v>
      </c>
      <c r="AB884" s="3">
        <f>Table1[[#This Row],[Operating Profit]]/Table1[[#This Row],[Revenue]]</f>
        <v>0.375</v>
      </c>
    </row>
    <row r="885" spans="1:28" x14ac:dyDescent="0.25">
      <c r="A885" t="s">
        <v>385</v>
      </c>
      <c r="B885">
        <v>141</v>
      </c>
      <c r="C885" t="s">
        <v>62</v>
      </c>
      <c r="D885" t="s">
        <v>39</v>
      </c>
      <c r="E885" t="s">
        <v>49</v>
      </c>
      <c r="F885" t="s">
        <v>98</v>
      </c>
      <c r="G885" t="str" cm="1">
        <f t="array" ref="G885">_xlfn.SWITCH(F885,"Acme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885" t="s">
        <v>69</v>
      </c>
      <c r="I885" t="s">
        <v>42</v>
      </c>
      <c r="J885" t="str" cm="1">
        <f t="array" ref="J885">_xlfn.SWITCH(I885,"P001","Laptop","P002","Server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85" s="1" cm="1">
        <f t="array" ref="K885">_xlfn.SWITCH(Table1[[#This Row],[Product ID]],"P001",220,"P002",150,"P003",130,"P004",70,"P005",200,"P006",40,"P007",25,"P008",20,"P009",190,"P010",530)</f>
        <v>40</v>
      </c>
      <c r="L885">
        <v>17</v>
      </c>
      <c r="M885" s="1">
        <f>Table1[[#This Row],[Unit Price]]*Table1[[#This Row],[Quantity]]</f>
        <v>680</v>
      </c>
      <c r="N885" s="2">
        <v>7.0000000000000007E-2</v>
      </c>
      <c r="O885" s="1">
        <f>Table1[[#This Row],[Gross Value]]*(1-Table1[[#This Row],[Discount]])</f>
        <v>632.4</v>
      </c>
      <c r="P885" s="2">
        <v>0.2</v>
      </c>
      <c r="Q885" s="1">
        <f>Table1[[#This Row],[Revenue]]*Table1[[#This Row],[VAT Rate]]</f>
        <v>126.48</v>
      </c>
      <c r="R885" s="1">
        <f>Table1[[#This Row],[Revenue]]+Table1[[#This Row],[VAT Charged]]</f>
        <v>758.88</v>
      </c>
      <c r="S885" s="1" cm="1">
        <f t="array" ref="S885">_xlfn.SWITCH(Table1[[#This Row],[Product ID]],"P001",140,"P002",80,"P003",72,"P004",30,"P005",110,"P006",24,"P007",14,"P008",12,"P009",115,"P010",360)</f>
        <v>24</v>
      </c>
      <c r="T885" s="1" cm="1">
        <f t="array" ref="T885">(_xlfn.SWITCH(Table1[[#This Row],[Product ID]],"P001",140,"P002",80,"P003",72,"P004",30,"P005",110,"P006",24,"P007",14,"P008",12,"P009",115,"P010",360))*Table1[[#This Row],[Quantity]]</f>
        <v>408</v>
      </c>
      <c r="U885" s="1" cm="1">
        <f t="array" ref="U885">_xlfn.SWITCH(Table1[[#This Row],[Product ID]],"P001",15,"P002",0,"P003",8,"P004",8,"P005",0,"P006",7,"P007",7,"P008",6,"P009",45,"P010",60)</f>
        <v>7</v>
      </c>
      <c r="V885" s="1">
        <f>Table1[[#This Row],[Shipping per Unit]]*Table1[[#This Row],[Quantity]]</f>
        <v>119</v>
      </c>
      <c r="W885" s="2">
        <f>IF(Table1[[#This Row],[Total Shipping]]&gt;0.1,0.2,0)</f>
        <v>0.2</v>
      </c>
      <c r="X885" s="4">
        <f>Table1[[#This Row],[Total Shipping]]*Table1[[#This Row],[VAT on Shipping]]</f>
        <v>23.8</v>
      </c>
      <c r="Y885" s="1">
        <f>Table1[[#This Row],[Revenue]]-Table1[[#This Row],[COGS]]</f>
        <v>224.39999999999998</v>
      </c>
      <c r="Z885" s="3">
        <f>(Table1[[#This Row],[Profit]]/Table1[[#This Row],[Revenue]])</f>
        <v>0.35483870967741932</v>
      </c>
      <c r="AA885" s="1">
        <f>Table1[[#This Row],[Profit]]-Table1[[#This Row],[Total Shipping]]</f>
        <v>105.39999999999998</v>
      </c>
      <c r="AB885" s="3">
        <f>Table1[[#This Row],[Operating Profit]]/Table1[[#This Row],[Revenue]]</f>
        <v>0.16666666666666663</v>
      </c>
    </row>
    <row r="886" spans="1:28" x14ac:dyDescent="0.25">
      <c r="A886" t="s">
        <v>385</v>
      </c>
      <c r="B886">
        <v>196</v>
      </c>
      <c r="C886" t="s">
        <v>56</v>
      </c>
      <c r="D886" t="s">
        <v>39</v>
      </c>
      <c r="E886" t="s">
        <v>31</v>
      </c>
      <c r="F886" t="s">
        <v>113</v>
      </c>
      <c r="G886" t="str" cm="1">
        <f t="array" ref="G886">_xlfn.SWITCH(F886,"Acme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886" t="s">
        <v>45</v>
      </c>
      <c r="I886" t="s">
        <v>55</v>
      </c>
      <c r="J886" t="str" cm="1">
        <f t="array" ref="J886">_xlfn.SWITCH(I886,"P001","Laptop","P002","Server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86" s="1" cm="1">
        <f t="array" ref="K886">_xlfn.SWITCH(Table1[[#This Row],[Product ID]],"P001",220,"P002",150,"P003",130,"P004",70,"P005",200,"P006",40,"P007",25,"P008",20,"P009",190,"P010",530)</f>
        <v>70</v>
      </c>
      <c r="L886">
        <v>19</v>
      </c>
      <c r="M886" s="1">
        <f>Table1[[#This Row],[Unit Price]]*Table1[[#This Row],[Quantity]]</f>
        <v>1330</v>
      </c>
      <c r="N886" s="2">
        <v>0.03</v>
      </c>
      <c r="O886" s="1">
        <f>Table1[[#This Row],[Gross Value]]*(1-Table1[[#This Row],[Discount]])</f>
        <v>1290.0999999999999</v>
      </c>
      <c r="P886" s="2">
        <v>0.2</v>
      </c>
      <c r="Q886" s="1">
        <f>Table1[[#This Row],[Revenue]]*Table1[[#This Row],[VAT Rate]]</f>
        <v>258.02</v>
      </c>
      <c r="R886" s="1">
        <f>Table1[[#This Row],[Revenue]]+Table1[[#This Row],[VAT Charged]]</f>
        <v>1548.12</v>
      </c>
      <c r="S886" s="1" cm="1">
        <f t="array" ref="S886">_xlfn.SWITCH(Table1[[#This Row],[Product ID]],"P001",140,"P002",80,"P003",72,"P004",30,"P005",110,"P006",24,"P007",14,"P008",12,"P009",115,"P010",360)</f>
        <v>30</v>
      </c>
      <c r="T886" s="1" cm="1">
        <f t="array" ref="T886">(_xlfn.SWITCH(Table1[[#This Row],[Product ID]],"P001",140,"P002",80,"P003",72,"P004",30,"P005",110,"P006",24,"P007",14,"P008",12,"P009",115,"P010",360))*Table1[[#This Row],[Quantity]]</f>
        <v>570</v>
      </c>
      <c r="U886" s="1" cm="1">
        <f t="array" ref="U886">_xlfn.SWITCH(Table1[[#This Row],[Product ID]],"P001",15,"P002",0,"P003",8,"P004",8,"P005",0,"P006",7,"P007",7,"P008",6,"P009",45,"P010",60)</f>
        <v>8</v>
      </c>
      <c r="V886" s="1">
        <f>Table1[[#This Row],[Shipping per Unit]]*Table1[[#This Row],[Quantity]]</f>
        <v>152</v>
      </c>
      <c r="W886" s="2">
        <f>IF(Table1[[#This Row],[Total Shipping]]&gt;0.1,0.2,0)</f>
        <v>0.2</v>
      </c>
      <c r="X886" s="4">
        <f>Table1[[#This Row],[Total Shipping]]*Table1[[#This Row],[VAT on Shipping]]</f>
        <v>30.400000000000002</v>
      </c>
      <c r="Y886" s="1">
        <f>Table1[[#This Row],[Revenue]]-Table1[[#This Row],[COGS]]</f>
        <v>720.09999999999991</v>
      </c>
      <c r="Z886" s="3">
        <f>(Table1[[#This Row],[Profit]]/Table1[[#This Row],[Revenue]])</f>
        <v>0.5581737849779087</v>
      </c>
      <c r="AA886" s="1">
        <f>Table1[[#This Row],[Profit]]-Table1[[#This Row],[Total Shipping]]</f>
        <v>568.09999999999991</v>
      </c>
      <c r="AB886" s="3">
        <f>Table1[[#This Row],[Operating Profit]]/Table1[[#This Row],[Revenue]]</f>
        <v>0.44035346097201761</v>
      </c>
    </row>
    <row r="887" spans="1:28" x14ac:dyDescent="0.25">
      <c r="A887" t="s">
        <v>385</v>
      </c>
      <c r="B887">
        <v>263</v>
      </c>
      <c r="C887" t="s">
        <v>71</v>
      </c>
      <c r="D887" t="s">
        <v>39</v>
      </c>
      <c r="E887" t="s">
        <v>49</v>
      </c>
      <c r="F887" t="s">
        <v>119</v>
      </c>
      <c r="G887" t="str" cm="1">
        <f t="array" ref="G887">_xlfn.SWITCH(F887,"Acme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887" t="s">
        <v>58</v>
      </c>
      <c r="I887" t="s">
        <v>46</v>
      </c>
      <c r="J887" t="str" cm="1">
        <f t="array" ref="J887">_xlfn.SWITCH(I887,"P001","Laptop","P002","Server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887" s="1" cm="1">
        <f t="array" ref="K887">_xlfn.SWITCH(Table1[[#This Row],[Product ID]],"P001",220,"P002",150,"P003",130,"P004",70,"P005",200,"P006",40,"P007",25,"P008",20,"P009",190,"P010",530)</f>
        <v>530</v>
      </c>
      <c r="L887">
        <v>8</v>
      </c>
      <c r="M887" s="1">
        <f>Table1[[#This Row],[Unit Price]]*Table1[[#This Row],[Quantity]]</f>
        <v>4240</v>
      </c>
      <c r="N887" s="2">
        <v>7.0000000000000007E-2</v>
      </c>
      <c r="O887" s="1">
        <f>Table1[[#This Row],[Gross Value]]*(1-Table1[[#This Row],[Discount]])</f>
        <v>3943.2</v>
      </c>
      <c r="P887" s="2">
        <v>0.2</v>
      </c>
      <c r="Q887" s="1">
        <f>Table1[[#This Row],[Revenue]]*Table1[[#This Row],[VAT Rate]]</f>
        <v>788.64</v>
      </c>
      <c r="R887" s="1">
        <f>Table1[[#This Row],[Revenue]]+Table1[[#This Row],[VAT Charged]]</f>
        <v>4731.84</v>
      </c>
      <c r="S887" s="1" cm="1">
        <f t="array" ref="S887">_xlfn.SWITCH(Table1[[#This Row],[Product ID]],"P001",140,"P002",80,"P003",72,"P004",30,"P005",110,"P006",24,"P007",14,"P008",12,"P009",115,"P010",360)</f>
        <v>360</v>
      </c>
      <c r="T887" s="1" cm="1">
        <f t="array" ref="T887">(_xlfn.SWITCH(Table1[[#This Row],[Product ID]],"P001",140,"P002",80,"P003",72,"P004",30,"P005",110,"P006",24,"P007",14,"P008",12,"P009",115,"P010",360))*Table1[[#This Row],[Quantity]]</f>
        <v>2880</v>
      </c>
      <c r="U887" s="1" cm="1">
        <f t="array" ref="U887">_xlfn.SWITCH(Table1[[#This Row],[Product ID]],"P001",15,"P002",0,"P003",8,"P004",8,"P005",0,"P006",7,"P007",7,"P008",6,"P009",45,"P010",60)</f>
        <v>60</v>
      </c>
      <c r="V887" s="1">
        <f>Table1[[#This Row],[Shipping per Unit]]*Table1[[#This Row],[Quantity]]</f>
        <v>480</v>
      </c>
      <c r="W887" s="2">
        <f>IF(Table1[[#This Row],[Total Shipping]]&gt;0.1,0.2,0)</f>
        <v>0.2</v>
      </c>
      <c r="X887" s="4">
        <f>Table1[[#This Row],[Total Shipping]]*Table1[[#This Row],[VAT on Shipping]]</f>
        <v>96</v>
      </c>
      <c r="Y887" s="1">
        <f>Table1[[#This Row],[Revenue]]-Table1[[#This Row],[COGS]]</f>
        <v>1063.1999999999998</v>
      </c>
      <c r="Z887" s="3">
        <f>(Table1[[#This Row],[Profit]]/Table1[[#This Row],[Revenue]])</f>
        <v>0.26962872793670112</v>
      </c>
      <c r="AA887" s="1">
        <f>Table1[[#This Row],[Profit]]-Table1[[#This Row],[Total Shipping]]</f>
        <v>583.19999999999982</v>
      </c>
      <c r="AB887" s="3">
        <f>Table1[[#This Row],[Operating Profit]]/Table1[[#This Row],[Revenue]]</f>
        <v>0.14790018259281798</v>
      </c>
    </row>
    <row r="888" spans="1:28" x14ac:dyDescent="0.25">
      <c r="A888" t="s">
        <v>385</v>
      </c>
      <c r="B888">
        <v>483</v>
      </c>
      <c r="C888" t="s">
        <v>83</v>
      </c>
      <c r="D888" t="s">
        <v>39</v>
      </c>
      <c r="E888" t="s">
        <v>49</v>
      </c>
      <c r="F888" t="s">
        <v>66</v>
      </c>
      <c r="G888" t="str" cm="1">
        <f t="array" ref="G888">_xlfn.SWITCH(F888,"Acme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888" t="s">
        <v>69</v>
      </c>
      <c r="I888" t="s">
        <v>60</v>
      </c>
      <c r="J888" t="str" cm="1">
        <f t="array" ref="J888">_xlfn.SWITCH(I888,"P001","Laptop","P002","Server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888" s="1" cm="1">
        <f t="array" ref="K888">_xlfn.SWITCH(Table1[[#This Row],[Product ID]],"P001",220,"P002",150,"P003",130,"P004",70,"P005",200,"P006",40,"P007",25,"P008",20,"P009",190,"P010",530)</f>
        <v>25</v>
      </c>
      <c r="L888">
        <v>2</v>
      </c>
      <c r="M888" s="1">
        <f>Table1[[#This Row],[Unit Price]]*Table1[[#This Row],[Quantity]]</f>
        <v>50</v>
      </c>
      <c r="N888" s="2">
        <v>0.08</v>
      </c>
      <c r="O888" s="1">
        <f>Table1[[#This Row],[Gross Value]]*(1-Table1[[#This Row],[Discount]])</f>
        <v>46</v>
      </c>
      <c r="P888" s="2">
        <v>0.2</v>
      </c>
      <c r="Q888" s="1">
        <f>Table1[[#This Row],[Revenue]]*Table1[[#This Row],[VAT Rate]]</f>
        <v>9.2000000000000011</v>
      </c>
      <c r="R888" s="1">
        <f>Table1[[#This Row],[Revenue]]+Table1[[#This Row],[VAT Charged]]</f>
        <v>55.2</v>
      </c>
      <c r="S888" s="1" cm="1">
        <f t="array" ref="S888">_xlfn.SWITCH(Table1[[#This Row],[Product ID]],"P001",140,"P002",80,"P003",72,"P004",30,"P005",110,"P006",24,"P007",14,"P008",12,"P009",115,"P010",360)</f>
        <v>14</v>
      </c>
      <c r="T888" s="1" cm="1">
        <f t="array" ref="T888">(_xlfn.SWITCH(Table1[[#This Row],[Product ID]],"P001",140,"P002",80,"P003",72,"P004",30,"P005",110,"P006",24,"P007",14,"P008",12,"P009",115,"P010",360))*Table1[[#This Row],[Quantity]]</f>
        <v>28</v>
      </c>
      <c r="U888" s="1" cm="1">
        <f t="array" ref="U888">_xlfn.SWITCH(Table1[[#This Row],[Product ID]],"P001",15,"P002",0,"P003",8,"P004",8,"P005",0,"P006",7,"P007",7,"P008",6,"P009",45,"P010",60)</f>
        <v>7</v>
      </c>
      <c r="V888" s="1">
        <f>Table1[[#This Row],[Shipping per Unit]]*Table1[[#This Row],[Quantity]]</f>
        <v>14</v>
      </c>
      <c r="W888" s="2">
        <f>IF(Table1[[#This Row],[Total Shipping]]&gt;0.1,0.2,0)</f>
        <v>0.2</v>
      </c>
      <c r="X888" s="4">
        <f>Table1[[#This Row],[Total Shipping]]*Table1[[#This Row],[VAT on Shipping]]</f>
        <v>2.8000000000000003</v>
      </c>
      <c r="Y888" s="1">
        <f>Table1[[#This Row],[Revenue]]-Table1[[#This Row],[COGS]]</f>
        <v>18</v>
      </c>
      <c r="Z888" s="3">
        <f>(Table1[[#This Row],[Profit]]/Table1[[#This Row],[Revenue]])</f>
        <v>0.39130434782608697</v>
      </c>
      <c r="AA888" s="1">
        <f>Table1[[#This Row],[Profit]]-Table1[[#This Row],[Total Shipping]]</f>
        <v>4</v>
      </c>
      <c r="AB888" s="3">
        <f>Table1[[#This Row],[Operating Profit]]/Table1[[#This Row],[Revenue]]</f>
        <v>8.6956521739130432E-2</v>
      </c>
    </row>
    <row r="889" spans="1:28" x14ac:dyDescent="0.25">
      <c r="A889" t="s">
        <v>386</v>
      </c>
      <c r="B889">
        <v>74</v>
      </c>
      <c r="C889" t="s">
        <v>29</v>
      </c>
      <c r="D889" t="s">
        <v>48</v>
      </c>
      <c r="E889" t="s">
        <v>49</v>
      </c>
      <c r="F889" t="s">
        <v>32</v>
      </c>
      <c r="G889" t="str" cm="1">
        <f t="array" ref="G889">_xlfn.SWITCH(F889,"Acme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889" t="s">
        <v>45</v>
      </c>
      <c r="I889" t="s">
        <v>60</v>
      </c>
      <c r="J889" t="str" cm="1">
        <f t="array" ref="J889">_xlfn.SWITCH(I889,"P001","Laptop","P002","Server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889" s="1" cm="1">
        <f t="array" ref="K889">_xlfn.SWITCH(Table1[[#This Row],[Product ID]],"P001",220,"P002",150,"P003",130,"P004",70,"P005",200,"P006",40,"P007",25,"P008",20,"P009",190,"P010",530)</f>
        <v>25</v>
      </c>
      <c r="L889">
        <v>5</v>
      </c>
      <c r="M889" s="1">
        <f>Table1[[#This Row],[Unit Price]]*Table1[[#This Row],[Quantity]]</f>
        <v>125</v>
      </c>
      <c r="N889" s="2">
        <v>0.01</v>
      </c>
      <c r="O889" s="1">
        <f>Table1[[#This Row],[Gross Value]]*(1-Table1[[#This Row],[Discount]])</f>
        <v>123.75</v>
      </c>
      <c r="P889" s="2">
        <v>0.2</v>
      </c>
      <c r="Q889" s="1">
        <f>Table1[[#This Row],[Revenue]]*Table1[[#This Row],[VAT Rate]]</f>
        <v>24.75</v>
      </c>
      <c r="R889" s="1">
        <f>Table1[[#This Row],[Revenue]]+Table1[[#This Row],[VAT Charged]]</f>
        <v>148.5</v>
      </c>
      <c r="S889" s="1" cm="1">
        <f t="array" ref="S889">_xlfn.SWITCH(Table1[[#This Row],[Product ID]],"P001",140,"P002",80,"P003",72,"P004",30,"P005",110,"P006",24,"P007",14,"P008",12,"P009",115,"P010",360)</f>
        <v>14</v>
      </c>
      <c r="T889" s="1" cm="1">
        <f t="array" ref="T889">(_xlfn.SWITCH(Table1[[#This Row],[Product ID]],"P001",140,"P002",80,"P003",72,"P004",30,"P005",110,"P006",24,"P007",14,"P008",12,"P009",115,"P010",360))*Table1[[#This Row],[Quantity]]</f>
        <v>70</v>
      </c>
      <c r="U889" s="1" cm="1">
        <f t="array" ref="U889">_xlfn.SWITCH(Table1[[#This Row],[Product ID]],"P001",15,"P002",0,"P003",8,"P004",8,"P005",0,"P006",7,"P007",7,"P008",6,"P009",45,"P010",60)</f>
        <v>7</v>
      </c>
      <c r="V889" s="1">
        <f>Table1[[#This Row],[Shipping per Unit]]*Table1[[#This Row],[Quantity]]</f>
        <v>35</v>
      </c>
      <c r="W889" s="2">
        <f>IF(Table1[[#This Row],[Total Shipping]]&gt;0.1,0.2,0)</f>
        <v>0.2</v>
      </c>
      <c r="X889" s="4">
        <f>Table1[[#This Row],[Total Shipping]]*Table1[[#This Row],[VAT on Shipping]]</f>
        <v>7</v>
      </c>
      <c r="Y889" s="1">
        <f>Table1[[#This Row],[Revenue]]-Table1[[#This Row],[COGS]]</f>
        <v>53.75</v>
      </c>
      <c r="Z889" s="3">
        <f>(Table1[[#This Row],[Profit]]/Table1[[#This Row],[Revenue]])</f>
        <v>0.43434343434343436</v>
      </c>
      <c r="AA889" s="1">
        <f>Table1[[#This Row],[Profit]]-Table1[[#This Row],[Total Shipping]]</f>
        <v>18.75</v>
      </c>
      <c r="AB889" s="3">
        <f>Table1[[#This Row],[Operating Profit]]/Table1[[#This Row],[Revenue]]</f>
        <v>0.15151515151515152</v>
      </c>
    </row>
    <row r="890" spans="1:28" x14ac:dyDescent="0.25">
      <c r="A890" t="s">
        <v>386</v>
      </c>
      <c r="B890">
        <v>156</v>
      </c>
      <c r="C890" t="s">
        <v>35</v>
      </c>
      <c r="D890" t="s">
        <v>67</v>
      </c>
      <c r="E890" t="s">
        <v>49</v>
      </c>
      <c r="F890" t="s">
        <v>44</v>
      </c>
      <c r="G890" t="str" cm="1">
        <f t="array" ref="G890">_xlfn.SWITCH(F890,"Acme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890" t="s">
        <v>51</v>
      </c>
      <c r="I890" t="s">
        <v>75</v>
      </c>
      <c r="J890" t="str" cm="1">
        <f t="array" ref="J890">_xlfn.SWITCH(I890,"P001","Laptop","P002","Server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890" s="1" cm="1">
        <f t="array" ref="K890">_xlfn.SWITCH(Table1[[#This Row],[Product ID]],"P001",220,"P002",150,"P003",130,"P004",70,"P005",200,"P006",40,"P007",25,"P008",20,"P009",190,"P010",530)</f>
        <v>200</v>
      </c>
      <c r="L890">
        <v>13</v>
      </c>
      <c r="M890" s="1">
        <f>Table1[[#This Row],[Unit Price]]*Table1[[#This Row],[Quantity]]</f>
        <v>2600</v>
      </c>
      <c r="N890" s="2">
        <v>0.02</v>
      </c>
      <c r="O890" s="1">
        <f>Table1[[#This Row],[Gross Value]]*(1-Table1[[#This Row],[Discount]])</f>
        <v>2548</v>
      </c>
      <c r="P890" s="2">
        <v>0.2</v>
      </c>
      <c r="Q890" s="1">
        <f>Table1[[#This Row],[Revenue]]*Table1[[#This Row],[VAT Rate]]</f>
        <v>509.6</v>
      </c>
      <c r="R890" s="1">
        <f>Table1[[#This Row],[Revenue]]+Table1[[#This Row],[VAT Charged]]</f>
        <v>3057.6</v>
      </c>
      <c r="S890" s="1" cm="1">
        <f t="array" ref="S890">_xlfn.SWITCH(Table1[[#This Row],[Product ID]],"P001",140,"P002",80,"P003",72,"P004",30,"P005",110,"P006",24,"P007",14,"P008",12,"P009",115,"P010",360)</f>
        <v>110</v>
      </c>
      <c r="T890" s="1" cm="1">
        <f t="array" ref="T890">(_xlfn.SWITCH(Table1[[#This Row],[Product ID]],"P001",140,"P002",80,"P003",72,"P004",30,"P005",110,"P006",24,"P007",14,"P008",12,"P009",115,"P010",360))*Table1[[#This Row],[Quantity]]</f>
        <v>1430</v>
      </c>
      <c r="U890" s="1" cm="1">
        <f t="array" ref="U890">_xlfn.SWITCH(Table1[[#This Row],[Product ID]],"P001",15,"P002",0,"P003",8,"P004",8,"P005",0,"P006",7,"P007",7,"P008",6,"P009",45,"P010",60)</f>
        <v>0</v>
      </c>
      <c r="V890" s="1">
        <f>Table1[[#This Row],[Shipping per Unit]]*Table1[[#This Row],[Quantity]]</f>
        <v>0</v>
      </c>
      <c r="W890" s="2">
        <f>IF(Table1[[#This Row],[Total Shipping]]&gt;0.1,0.2,0)</f>
        <v>0</v>
      </c>
      <c r="X890" s="4">
        <f>Table1[[#This Row],[Total Shipping]]*Table1[[#This Row],[VAT on Shipping]]</f>
        <v>0</v>
      </c>
      <c r="Y890" s="1">
        <f>Table1[[#This Row],[Revenue]]-Table1[[#This Row],[COGS]]</f>
        <v>1118</v>
      </c>
      <c r="Z890" s="3">
        <f>(Table1[[#This Row],[Profit]]/Table1[[#This Row],[Revenue]])</f>
        <v>0.43877551020408162</v>
      </c>
      <c r="AA890" s="1">
        <f>Table1[[#This Row],[Profit]]-Table1[[#This Row],[Total Shipping]]</f>
        <v>1118</v>
      </c>
      <c r="AB890" s="3">
        <f>Table1[[#This Row],[Operating Profit]]/Table1[[#This Row],[Revenue]]</f>
        <v>0.43877551020408162</v>
      </c>
    </row>
    <row r="891" spans="1:28" x14ac:dyDescent="0.25">
      <c r="A891" t="s">
        <v>386</v>
      </c>
      <c r="B891">
        <v>436</v>
      </c>
      <c r="C891" t="s">
        <v>29</v>
      </c>
      <c r="D891" t="s">
        <v>57</v>
      </c>
      <c r="E891" t="s">
        <v>31</v>
      </c>
      <c r="F891" t="s">
        <v>41</v>
      </c>
      <c r="G891" t="str" cm="1">
        <f t="array" ref="G891">_xlfn.SWITCH(F891,"Acme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891" t="s">
        <v>33</v>
      </c>
      <c r="I891" t="s">
        <v>75</v>
      </c>
      <c r="J891" t="str" cm="1">
        <f t="array" ref="J891">_xlfn.SWITCH(I891,"P001","Laptop","P002","Server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891" s="1" cm="1">
        <f t="array" ref="K891">_xlfn.SWITCH(Table1[[#This Row],[Product ID]],"P001",220,"P002",150,"P003",130,"P004",70,"P005",200,"P006",40,"P007",25,"P008",20,"P009",190,"P010",530)</f>
        <v>200</v>
      </c>
      <c r="L891">
        <v>16</v>
      </c>
      <c r="M891" s="1">
        <f>Table1[[#This Row],[Unit Price]]*Table1[[#This Row],[Quantity]]</f>
        <v>3200</v>
      </c>
      <c r="N891" s="2">
        <v>0.03</v>
      </c>
      <c r="O891" s="1">
        <f>Table1[[#This Row],[Gross Value]]*(1-Table1[[#This Row],[Discount]])</f>
        <v>3104</v>
      </c>
      <c r="P891" s="2">
        <v>0.2</v>
      </c>
      <c r="Q891" s="1">
        <f>Table1[[#This Row],[Revenue]]*Table1[[#This Row],[VAT Rate]]</f>
        <v>620.80000000000007</v>
      </c>
      <c r="R891" s="1">
        <f>Table1[[#This Row],[Revenue]]+Table1[[#This Row],[VAT Charged]]</f>
        <v>3724.8</v>
      </c>
      <c r="S891" s="1" cm="1">
        <f t="array" ref="S891">_xlfn.SWITCH(Table1[[#This Row],[Product ID]],"P001",140,"P002",80,"P003",72,"P004",30,"P005",110,"P006",24,"P007",14,"P008",12,"P009",115,"P010",360)</f>
        <v>110</v>
      </c>
      <c r="T891" s="1" cm="1">
        <f t="array" ref="T891">(_xlfn.SWITCH(Table1[[#This Row],[Product ID]],"P001",140,"P002",80,"P003",72,"P004",30,"P005",110,"P006",24,"P007",14,"P008",12,"P009",115,"P010",360))*Table1[[#This Row],[Quantity]]</f>
        <v>1760</v>
      </c>
      <c r="U891" s="1" cm="1">
        <f t="array" ref="U891">_xlfn.SWITCH(Table1[[#This Row],[Product ID]],"P001",15,"P002",0,"P003",8,"P004",8,"P005",0,"P006",7,"P007",7,"P008",6,"P009",45,"P010",60)</f>
        <v>0</v>
      </c>
      <c r="V891" s="1">
        <f>Table1[[#This Row],[Shipping per Unit]]*Table1[[#This Row],[Quantity]]</f>
        <v>0</v>
      </c>
      <c r="W891" s="2">
        <f>IF(Table1[[#This Row],[Total Shipping]]&gt;0.1,0.2,0)</f>
        <v>0</v>
      </c>
      <c r="X891" s="4">
        <f>Table1[[#This Row],[Total Shipping]]*Table1[[#This Row],[VAT on Shipping]]</f>
        <v>0</v>
      </c>
      <c r="Y891" s="1">
        <f>Table1[[#This Row],[Revenue]]-Table1[[#This Row],[COGS]]</f>
        <v>1344</v>
      </c>
      <c r="Z891" s="3">
        <f>(Table1[[#This Row],[Profit]]/Table1[[#This Row],[Revenue]])</f>
        <v>0.4329896907216495</v>
      </c>
      <c r="AA891" s="1">
        <f>Table1[[#This Row],[Profit]]-Table1[[#This Row],[Total Shipping]]</f>
        <v>1344</v>
      </c>
      <c r="AB891" s="3">
        <f>Table1[[#This Row],[Operating Profit]]/Table1[[#This Row],[Revenue]]</f>
        <v>0.4329896907216495</v>
      </c>
    </row>
    <row r="892" spans="1:28" x14ac:dyDescent="0.25">
      <c r="A892" t="s">
        <v>386</v>
      </c>
      <c r="B892">
        <v>445</v>
      </c>
      <c r="C892" t="s">
        <v>83</v>
      </c>
      <c r="D892" t="s">
        <v>48</v>
      </c>
      <c r="E892" t="s">
        <v>31</v>
      </c>
      <c r="F892" t="s">
        <v>74</v>
      </c>
      <c r="G892" t="str" cm="1">
        <f t="array" ref="G892">_xlfn.SWITCH(F892,"Acme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892" t="s">
        <v>51</v>
      </c>
      <c r="I892" t="s">
        <v>52</v>
      </c>
      <c r="J892" t="str" cm="1">
        <f t="array" ref="J892">_xlfn.SWITCH(I892,"P001","Laptop","P002","Server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92" s="1" cm="1">
        <f t="array" ref="K892">_xlfn.SWITCH(Table1[[#This Row],[Product ID]],"P001",220,"P002",150,"P003",130,"P004",70,"P005",200,"P006",40,"P007",25,"P008",20,"P009",190,"P010",530)</f>
        <v>130</v>
      </c>
      <c r="L892">
        <v>13</v>
      </c>
      <c r="M892" s="1">
        <f>Table1[[#This Row],[Unit Price]]*Table1[[#This Row],[Quantity]]</f>
        <v>1690</v>
      </c>
      <c r="N892" s="2">
        <v>0.02</v>
      </c>
      <c r="O892" s="1">
        <f>Table1[[#This Row],[Gross Value]]*(1-Table1[[#This Row],[Discount]])</f>
        <v>1656.2</v>
      </c>
      <c r="P892" s="2">
        <v>0.2</v>
      </c>
      <c r="Q892" s="1">
        <f>Table1[[#This Row],[Revenue]]*Table1[[#This Row],[VAT Rate]]</f>
        <v>331.24</v>
      </c>
      <c r="R892" s="1">
        <f>Table1[[#This Row],[Revenue]]+Table1[[#This Row],[VAT Charged]]</f>
        <v>1987.44</v>
      </c>
      <c r="S892" s="1" cm="1">
        <f t="array" ref="S892">_xlfn.SWITCH(Table1[[#This Row],[Product ID]],"P001",140,"P002",80,"P003",72,"P004",30,"P005",110,"P006",24,"P007",14,"P008",12,"P009",115,"P010",360)</f>
        <v>72</v>
      </c>
      <c r="T892" s="1" cm="1">
        <f t="array" ref="T892">(_xlfn.SWITCH(Table1[[#This Row],[Product ID]],"P001",140,"P002",80,"P003",72,"P004",30,"P005",110,"P006",24,"P007",14,"P008",12,"P009",115,"P010",360))*Table1[[#This Row],[Quantity]]</f>
        <v>936</v>
      </c>
      <c r="U892" s="1" cm="1">
        <f t="array" ref="U892">_xlfn.SWITCH(Table1[[#This Row],[Product ID]],"P001",15,"P002",0,"P003",8,"P004",8,"P005",0,"P006",7,"P007",7,"P008",6,"P009",45,"P010",60)</f>
        <v>8</v>
      </c>
      <c r="V892" s="1">
        <f>Table1[[#This Row],[Shipping per Unit]]*Table1[[#This Row],[Quantity]]</f>
        <v>104</v>
      </c>
      <c r="W892" s="2">
        <f>IF(Table1[[#This Row],[Total Shipping]]&gt;0.1,0.2,0)</f>
        <v>0.2</v>
      </c>
      <c r="X892" s="4">
        <f>Table1[[#This Row],[Total Shipping]]*Table1[[#This Row],[VAT on Shipping]]</f>
        <v>20.8</v>
      </c>
      <c r="Y892" s="1">
        <f>Table1[[#This Row],[Revenue]]-Table1[[#This Row],[COGS]]</f>
        <v>720.2</v>
      </c>
      <c r="Z892" s="3">
        <f>(Table1[[#This Row],[Profit]]/Table1[[#This Row],[Revenue]])</f>
        <v>0.43485086342229201</v>
      </c>
      <c r="AA892" s="1">
        <f>Table1[[#This Row],[Profit]]-Table1[[#This Row],[Total Shipping]]</f>
        <v>616.20000000000005</v>
      </c>
      <c r="AB892" s="3">
        <f>Table1[[#This Row],[Operating Profit]]/Table1[[#This Row],[Revenue]]</f>
        <v>0.37205651491365777</v>
      </c>
    </row>
    <row r="893" spans="1:28" x14ac:dyDescent="0.25">
      <c r="A893" t="s">
        <v>386</v>
      </c>
      <c r="B893">
        <v>549</v>
      </c>
      <c r="C893" t="s">
        <v>62</v>
      </c>
      <c r="D893" t="s">
        <v>53</v>
      </c>
      <c r="E893" t="s">
        <v>31</v>
      </c>
      <c r="F893" t="s">
        <v>113</v>
      </c>
      <c r="G893" t="str" cm="1">
        <f t="array" ref="G893">_xlfn.SWITCH(F893,"Acme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893" t="s">
        <v>58</v>
      </c>
      <c r="I893" t="s">
        <v>52</v>
      </c>
      <c r="J893" t="str" cm="1">
        <f t="array" ref="J893">_xlfn.SWITCH(I893,"P001","Laptop","P002","Server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893" s="1" cm="1">
        <f t="array" ref="K893">_xlfn.SWITCH(Table1[[#This Row],[Product ID]],"P001",220,"P002",150,"P003",130,"P004",70,"P005",200,"P006",40,"P007",25,"P008",20,"P009",190,"P010",530)</f>
        <v>130</v>
      </c>
      <c r="L893">
        <v>11</v>
      </c>
      <c r="M893" s="1">
        <f>Table1[[#This Row],[Unit Price]]*Table1[[#This Row],[Quantity]]</f>
        <v>1430</v>
      </c>
      <c r="N893" s="2">
        <v>0.04</v>
      </c>
      <c r="O893" s="1">
        <f>Table1[[#This Row],[Gross Value]]*(1-Table1[[#This Row],[Discount]])</f>
        <v>1372.8</v>
      </c>
      <c r="P893" s="2">
        <v>0.2</v>
      </c>
      <c r="Q893" s="1">
        <f>Table1[[#This Row],[Revenue]]*Table1[[#This Row],[VAT Rate]]</f>
        <v>274.56</v>
      </c>
      <c r="R893" s="1">
        <f>Table1[[#This Row],[Revenue]]+Table1[[#This Row],[VAT Charged]]</f>
        <v>1647.36</v>
      </c>
      <c r="S893" s="1" cm="1">
        <f t="array" ref="S893">_xlfn.SWITCH(Table1[[#This Row],[Product ID]],"P001",140,"P002",80,"P003",72,"P004",30,"P005",110,"P006",24,"P007",14,"P008",12,"P009",115,"P010",360)</f>
        <v>72</v>
      </c>
      <c r="T893" s="1" cm="1">
        <f t="array" ref="T893">(_xlfn.SWITCH(Table1[[#This Row],[Product ID]],"P001",140,"P002",80,"P003",72,"P004",30,"P005",110,"P006",24,"P007",14,"P008",12,"P009",115,"P010",360))*Table1[[#This Row],[Quantity]]</f>
        <v>792</v>
      </c>
      <c r="U893" s="1" cm="1">
        <f t="array" ref="U893">_xlfn.SWITCH(Table1[[#This Row],[Product ID]],"P001",15,"P002",0,"P003",8,"P004",8,"P005",0,"P006",7,"P007",7,"P008",6,"P009",45,"P010",60)</f>
        <v>8</v>
      </c>
      <c r="V893" s="1">
        <f>Table1[[#This Row],[Shipping per Unit]]*Table1[[#This Row],[Quantity]]</f>
        <v>88</v>
      </c>
      <c r="W893" s="2">
        <f>IF(Table1[[#This Row],[Total Shipping]]&gt;0.1,0.2,0)</f>
        <v>0.2</v>
      </c>
      <c r="X893" s="4">
        <f>Table1[[#This Row],[Total Shipping]]*Table1[[#This Row],[VAT on Shipping]]</f>
        <v>17.600000000000001</v>
      </c>
      <c r="Y893" s="1">
        <f>Table1[[#This Row],[Revenue]]-Table1[[#This Row],[COGS]]</f>
        <v>580.79999999999995</v>
      </c>
      <c r="Z893" s="3">
        <f>(Table1[[#This Row],[Profit]]/Table1[[#This Row],[Revenue]])</f>
        <v>0.42307692307692307</v>
      </c>
      <c r="AA893" s="1">
        <f>Table1[[#This Row],[Profit]]-Table1[[#This Row],[Total Shipping]]</f>
        <v>492.79999999999995</v>
      </c>
      <c r="AB893" s="3">
        <f>Table1[[#This Row],[Operating Profit]]/Table1[[#This Row],[Revenue]]</f>
        <v>0.35897435897435898</v>
      </c>
    </row>
    <row r="894" spans="1:28" x14ac:dyDescent="0.25">
      <c r="A894" t="s">
        <v>386</v>
      </c>
      <c r="B894">
        <v>918</v>
      </c>
      <c r="C894" t="s">
        <v>35</v>
      </c>
      <c r="D894" t="s">
        <v>48</v>
      </c>
      <c r="E894" t="s">
        <v>31</v>
      </c>
      <c r="F894" t="s">
        <v>50</v>
      </c>
      <c r="G894" t="str" cm="1">
        <f t="array" ref="G894">_xlfn.SWITCH(F894,"Acme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894" t="s">
        <v>33</v>
      </c>
      <c r="I894" t="s">
        <v>42</v>
      </c>
      <c r="J894" t="str" cm="1">
        <f t="array" ref="J894">_xlfn.SWITCH(I894,"P001","Laptop","P002","Server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94" s="1" cm="1">
        <f t="array" ref="K894">_xlfn.SWITCH(Table1[[#This Row],[Product ID]],"P001",220,"P002",150,"P003",130,"P004",70,"P005",200,"P006",40,"P007",25,"P008",20,"P009",190,"P010",530)</f>
        <v>40</v>
      </c>
      <c r="L894">
        <v>8</v>
      </c>
      <c r="M894" s="1">
        <f>Table1[[#This Row],[Unit Price]]*Table1[[#This Row],[Quantity]]</f>
        <v>320</v>
      </c>
      <c r="N894" s="2">
        <v>0.06</v>
      </c>
      <c r="O894" s="1">
        <f>Table1[[#This Row],[Gross Value]]*(1-Table1[[#This Row],[Discount]])</f>
        <v>300.79999999999995</v>
      </c>
      <c r="P894" s="2">
        <v>0.2</v>
      </c>
      <c r="Q894" s="1">
        <f>Table1[[#This Row],[Revenue]]*Table1[[#This Row],[VAT Rate]]</f>
        <v>60.16</v>
      </c>
      <c r="R894" s="1">
        <f>Table1[[#This Row],[Revenue]]+Table1[[#This Row],[VAT Charged]]</f>
        <v>360.95999999999992</v>
      </c>
      <c r="S894" s="1" cm="1">
        <f t="array" ref="S894">_xlfn.SWITCH(Table1[[#This Row],[Product ID]],"P001",140,"P002",80,"P003",72,"P004",30,"P005",110,"P006",24,"P007",14,"P008",12,"P009",115,"P010",360)</f>
        <v>24</v>
      </c>
      <c r="T894" s="1" cm="1">
        <f t="array" ref="T894">(_xlfn.SWITCH(Table1[[#This Row],[Product ID]],"P001",140,"P002",80,"P003",72,"P004",30,"P005",110,"P006",24,"P007",14,"P008",12,"P009",115,"P010",360))*Table1[[#This Row],[Quantity]]</f>
        <v>192</v>
      </c>
      <c r="U894" s="1" cm="1">
        <f t="array" ref="U894">_xlfn.SWITCH(Table1[[#This Row],[Product ID]],"P001",15,"P002",0,"P003",8,"P004",8,"P005",0,"P006",7,"P007",7,"P008",6,"P009",45,"P010",60)</f>
        <v>7</v>
      </c>
      <c r="V894" s="1">
        <f>Table1[[#This Row],[Shipping per Unit]]*Table1[[#This Row],[Quantity]]</f>
        <v>56</v>
      </c>
      <c r="W894" s="2">
        <f>IF(Table1[[#This Row],[Total Shipping]]&gt;0.1,0.2,0)</f>
        <v>0.2</v>
      </c>
      <c r="X894" s="4">
        <f>Table1[[#This Row],[Total Shipping]]*Table1[[#This Row],[VAT on Shipping]]</f>
        <v>11.200000000000001</v>
      </c>
      <c r="Y894" s="1">
        <f>Table1[[#This Row],[Revenue]]-Table1[[#This Row],[COGS]]</f>
        <v>108.79999999999995</v>
      </c>
      <c r="Z894" s="3">
        <f>(Table1[[#This Row],[Profit]]/Table1[[#This Row],[Revenue]])</f>
        <v>0.36170212765957438</v>
      </c>
      <c r="AA894" s="1">
        <f>Table1[[#This Row],[Profit]]-Table1[[#This Row],[Total Shipping]]</f>
        <v>52.799999999999955</v>
      </c>
      <c r="AB894" s="3">
        <f>Table1[[#This Row],[Operating Profit]]/Table1[[#This Row],[Revenue]]</f>
        <v>0.17553191489361689</v>
      </c>
    </row>
    <row r="895" spans="1:28" x14ac:dyDescent="0.25">
      <c r="A895" t="s">
        <v>387</v>
      </c>
      <c r="B895">
        <v>816</v>
      </c>
      <c r="C895" t="s">
        <v>29</v>
      </c>
      <c r="D895" t="s">
        <v>53</v>
      </c>
      <c r="E895" t="s">
        <v>40</v>
      </c>
      <c r="F895" t="s">
        <v>90</v>
      </c>
      <c r="G895" t="str" cm="1">
        <f t="array" ref="G895">_xlfn.SWITCH(F895,"Acme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895" t="s">
        <v>104</v>
      </c>
      <c r="I895" t="s">
        <v>55</v>
      </c>
      <c r="J895" t="str" cm="1">
        <f t="array" ref="J895">_xlfn.SWITCH(I895,"P001","Laptop","P002","Server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95" s="1" cm="1">
        <f t="array" ref="K895">_xlfn.SWITCH(Table1[[#This Row],[Product ID]],"P001",220,"P002",150,"P003",130,"P004",70,"P005",200,"P006",40,"P007",25,"P008",20,"P009",190,"P010",530)</f>
        <v>70</v>
      </c>
      <c r="L895">
        <v>16</v>
      </c>
      <c r="M895" s="1">
        <f>Table1[[#This Row],[Unit Price]]*Table1[[#This Row],[Quantity]]</f>
        <v>1120</v>
      </c>
      <c r="N895" s="2">
        <v>0.03</v>
      </c>
      <c r="O895" s="1">
        <f>Table1[[#This Row],[Gross Value]]*(1-Table1[[#This Row],[Discount]])</f>
        <v>1086.3999999999999</v>
      </c>
      <c r="P895" s="2">
        <v>0.2</v>
      </c>
      <c r="Q895" s="1">
        <f>Table1[[#This Row],[Revenue]]*Table1[[#This Row],[VAT Rate]]</f>
        <v>217.27999999999997</v>
      </c>
      <c r="R895" s="1">
        <f>Table1[[#This Row],[Revenue]]+Table1[[#This Row],[VAT Charged]]</f>
        <v>1303.6799999999998</v>
      </c>
      <c r="S895" s="1" cm="1">
        <f t="array" ref="S895">_xlfn.SWITCH(Table1[[#This Row],[Product ID]],"P001",140,"P002",80,"P003",72,"P004",30,"P005",110,"P006",24,"P007",14,"P008",12,"P009",115,"P010",360)</f>
        <v>30</v>
      </c>
      <c r="T895" s="1" cm="1">
        <f t="array" ref="T895">(_xlfn.SWITCH(Table1[[#This Row],[Product ID]],"P001",140,"P002",80,"P003",72,"P004",30,"P005",110,"P006",24,"P007",14,"P008",12,"P009",115,"P010",360))*Table1[[#This Row],[Quantity]]</f>
        <v>480</v>
      </c>
      <c r="U895" s="1" cm="1">
        <f t="array" ref="U895">_xlfn.SWITCH(Table1[[#This Row],[Product ID]],"P001",15,"P002",0,"P003",8,"P004",8,"P005",0,"P006",7,"P007",7,"P008",6,"P009",45,"P010",60)</f>
        <v>8</v>
      </c>
      <c r="V895" s="1">
        <f>Table1[[#This Row],[Shipping per Unit]]*Table1[[#This Row],[Quantity]]</f>
        <v>128</v>
      </c>
      <c r="W895" s="2">
        <f>IF(Table1[[#This Row],[Total Shipping]]&gt;0.1,0.2,0)</f>
        <v>0.2</v>
      </c>
      <c r="X895" s="4">
        <f>Table1[[#This Row],[Total Shipping]]*Table1[[#This Row],[VAT on Shipping]]</f>
        <v>25.6</v>
      </c>
      <c r="Y895" s="1">
        <f>Table1[[#This Row],[Revenue]]-Table1[[#This Row],[COGS]]</f>
        <v>606.39999999999986</v>
      </c>
      <c r="Z895" s="3">
        <f>(Table1[[#This Row],[Profit]]/Table1[[#This Row],[Revenue]])</f>
        <v>0.55817378497790859</v>
      </c>
      <c r="AA895" s="1">
        <f>Table1[[#This Row],[Profit]]-Table1[[#This Row],[Total Shipping]]</f>
        <v>478.39999999999986</v>
      </c>
      <c r="AB895" s="3">
        <f>Table1[[#This Row],[Operating Profit]]/Table1[[#This Row],[Revenue]]</f>
        <v>0.44035346097201761</v>
      </c>
    </row>
    <row r="896" spans="1:28" x14ac:dyDescent="0.25">
      <c r="A896" t="s">
        <v>388</v>
      </c>
      <c r="B896">
        <v>171</v>
      </c>
      <c r="C896" t="s">
        <v>83</v>
      </c>
      <c r="D896" t="s">
        <v>39</v>
      </c>
      <c r="E896" t="s">
        <v>31</v>
      </c>
      <c r="F896" t="s">
        <v>78</v>
      </c>
      <c r="G896" t="str" cm="1">
        <f t="array" ref="G896">_xlfn.SWITCH(F896,"Acme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896" t="s">
        <v>58</v>
      </c>
      <c r="I896" t="s">
        <v>55</v>
      </c>
      <c r="J896" t="str" cm="1">
        <f t="array" ref="J896">_xlfn.SWITCH(I896,"P001","Laptop","P002","Server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896" s="1" cm="1">
        <f t="array" ref="K896">_xlfn.SWITCH(Table1[[#This Row],[Product ID]],"P001",220,"P002",150,"P003",130,"P004",70,"P005",200,"P006",40,"P007",25,"P008",20,"P009",190,"P010",530)</f>
        <v>70</v>
      </c>
      <c r="L896">
        <v>13</v>
      </c>
      <c r="M896" s="1">
        <f>Table1[[#This Row],[Unit Price]]*Table1[[#This Row],[Quantity]]</f>
        <v>910</v>
      </c>
      <c r="N896" s="2">
        <v>0.08</v>
      </c>
      <c r="O896" s="1">
        <f>Table1[[#This Row],[Gross Value]]*(1-Table1[[#This Row],[Discount]])</f>
        <v>837.2</v>
      </c>
      <c r="P896" s="2">
        <v>0.2</v>
      </c>
      <c r="Q896" s="1">
        <f>Table1[[#This Row],[Revenue]]*Table1[[#This Row],[VAT Rate]]</f>
        <v>167.44000000000003</v>
      </c>
      <c r="R896" s="1">
        <f>Table1[[#This Row],[Revenue]]+Table1[[#This Row],[VAT Charged]]</f>
        <v>1004.6400000000001</v>
      </c>
      <c r="S896" s="1" cm="1">
        <f t="array" ref="S896">_xlfn.SWITCH(Table1[[#This Row],[Product ID]],"P001",140,"P002",80,"P003",72,"P004",30,"P005",110,"P006",24,"P007",14,"P008",12,"P009",115,"P010",360)</f>
        <v>30</v>
      </c>
      <c r="T896" s="1" cm="1">
        <f t="array" ref="T896">(_xlfn.SWITCH(Table1[[#This Row],[Product ID]],"P001",140,"P002",80,"P003",72,"P004",30,"P005",110,"P006",24,"P007",14,"P008",12,"P009",115,"P010",360))*Table1[[#This Row],[Quantity]]</f>
        <v>390</v>
      </c>
      <c r="U896" s="1" cm="1">
        <f t="array" ref="U896">_xlfn.SWITCH(Table1[[#This Row],[Product ID]],"P001",15,"P002",0,"P003",8,"P004",8,"P005",0,"P006",7,"P007",7,"P008",6,"P009",45,"P010",60)</f>
        <v>8</v>
      </c>
      <c r="V896" s="1">
        <f>Table1[[#This Row],[Shipping per Unit]]*Table1[[#This Row],[Quantity]]</f>
        <v>104</v>
      </c>
      <c r="W896" s="2">
        <f>IF(Table1[[#This Row],[Total Shipping]]&gt;0.1,0.2,0)</f>
        <v>0.2</v>
      </c>
      <c r="X896" s="4">
        <f>Table1[[#This Row],[Total Shipping]]*Table1[[#This Row],[VAT on Shipping]]</f>
        <v>20.8</v>
      </c>
      <c r="Y896" s="1">
        <f>Table1[[#This Row],[Revenue]]-Table1[[#This Row],[COGS]]</f>
        <v>447.20000000000005</v>
      </c>
      <c r="Z896" s="3">
        <f>(Table1[[#This Row],[Profit]]/Table1[[#This Row],[Revenue]])</f>
        <v>0.53416149068322982</v>
      </c>
      <c r="AA896" s="1">
        <f>Table1[[#This Row],[Profit]]-Table1[[#This Row],[Total Shipping]]</f>
        <v>343.20000000000005</v>
      </c>
      <c r="AB896" s="3">
        <f>Table1[[#This Row],[Operating Profit]]/Table1[[#This Row],[Revenue]]</f>
        <v>0.40993788819875782</v>
      </c>
    </row>
    <row r="897" spans="1:28" x14ac:dyDescent="0.25">
      <c r="A897" t="s">
        <v>388</v>
      </c>
      <c r="B897">
        <v>383</v>
      </c>
      <c r="C897" t="s">
        <v>71</v>
      </c>
      <c r="D897" t="s">
        <v>30</v>
      </c>
      <c r="E897" t="s">
        <v>40</v>
      </c>
      <c r="F897" t="s">
        <v>119</v>
      </c>
      <c r="G897" t="str" cm="1">
        <f t="array" ref="G897">_xlfn.SWITCH(F897,"Acme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897" t="s">
        <v>33</v>
      </c>
      <c r="I897" t="s">
        <v>34</v>
      </c>
      <c r="J897" t="str" cm="1">
        <f t="array" ref="J897">_xlfn.SWITCH(I897,"P001","Laptop","P002","Server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897" s="1" cm="1">
        <f t="array" ref="K897">_xlfn.SWITCH(Table1[[#This Row],[Product ID]],"P001",220,"P002",150,"P003",130,"P004",70,"P005",200,"P006",40,"P007",25,"P008",20,"P009",190,"P010",530)</f>
        <v>20</v>
      </c>
      <c r="L897">
        <v>13</v>
      </c>
      <c r="M897" s="1">
        <f>Table1[[#This Row],[Unit Price]]*Table1[[#This Row],[Quantity]]</f>
        <v>260</v>
      </c>
      <c r="N897" s="2">
        <v>0.02</v>
      </c>
      <c r="O897" s="1">
        <f>Table1[[#This Row],[Gross Value]]*(1-Table1[[#This Row],[Discount]])</f>
        <v>254.79999999999998</v>
      </c>
      <c r="P897" s="2">
        <v>0.2</v>
      </c>
      <c r="Q897" s="1">
        <f>Table1[[#This Row],[Revenue]]*Table1[[#This Row],[VAT Rate]]</f>
        <v>50.96</v>
      </c>
      <c r="R897" s="1">
        <f>Table1[[#This Row],[Revenue]]+Table1[[#This Row],[VAT Charged]]</f>
        <v>305.76</v>
      </c>
      <c r="S897" s="1" cm="1">
        <f t="array" ref="S897">_xlfn.SWITCH(Table1[[#This Row],[Product ID]],"P001",140,"P002",80,"P003",72,"P004",30,"P005",110,"P006",24,"P007",14,"P008",12,"P009",115,"P010",360)</f>
        <v>12</v>
      </c>
      <c r="T897" s="1" cm="1">
        <f t="array" ref="T897">(_xlfn.SWITCH(Table1[[#This Row],[Product ID]],"P001",140,"P002",80,"P003",72,"P004",30,"P005",110,"P006",24,"P007",14,"P008",12,"P009",115,"P010",360))*Table1[[#This Row],[Quantity]]</f>
        <v>156</v>
      </c>
      <c r="U897" s="1" cm="1">
        <f t="array" ref="U897">_xlfn.SWITCH(Table1[[#This Row],[Product ID]],"P001",15,"P002",0,"P003",8,"P004",8,"P005",0,"P006",7,"P007",7,"P008",6,"P009",45,"P010",60)</f>
        <v>6</v>
      </c>
      <c r="V897" s="1">
        <f>Table1[[#This Row],[Shipping per Unit]]*Table1[[#This Row],[Quantity]]</f>
        <v>78</v>
      </c>
      <c r="W897" s="2">
        <f>IF(Table1[[#This Row],[Total Shipping]]&gt;0.1,0.2,0)</f>
        <v>0.2</v>
      </c>
      <c r="X897" s="4">
        <f>Table1[[#This Row],[Total Shipping]]*Table1[[#This Row],[VAT on Shipping]]</f>
        <v>15.600000000000001</v>
      </c>
      <c r="Y897" s="1">
        <f>Table1[[#This Row],[Revenue]]-Table1[[#This Row],[COGS]]</f>
        <v>98.799999999999983</v>
      </c>
      <c r="Z897" s="3">
        <f>(Table1[[#This Row],[Profit]]/Table1[[#This Row],[Revenue]])</f>
        <v>0.38775510204081631</v>
      </c>
      <c r="AA897" s="1">
        <f>Table1[[#This Row],[Profit]]-Table1[[#This Row],[Total Shipping]]</f>
        <v>20.799999999999983</v>
      </c>
      <c r="AB897" s="3">
        <f>Table1[[#This Row],[Operating Profit]]/Table1[[#This Row],[Revenue]]</f>
        <v>8.1632653061224428E-2</v>
      </c>
    </row>
    <row r="898" spans="1:28" x14ac:dyDescent="0.25">
      <c r="A898" t="s">
        <v>388</v>
      </c>
      <c r="B898">
        <v>529</v>
      </c>
      <c r="C898" t="s">
        <v>83</v>
      </c>
      <c r="D898" t="s">
        <v>63</v>
      </c>
      <c r="E898" t="s">
        <v>49</v>
      </c>
      <c r="F898" t="s">
        <v>92</v>
      </c>
      <c r="G898" t="str" cm="1">
        <f t="array" ref="G898">_xlfn.SWITCH(F898,"Acme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898" t="s">
        <v>33</v>
      </c>
      <c r="I898" t="s">
        <v>42</v>
      </c>
      <c r="J898" t="str" cm="1">
        <f t="array" ref="J898">_xlfn.SWITCH(I898,"P001","Laptop","P002","Server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898" s="1" cm="1">
        <f t="array" ref="K898">_xlfn.SWITCH(Table1[[#This Row],[Product ID]],"P001",220,"P002",150,"P003",130,"P004",70,"P005",200,"P006",40,"P007",25,"P008",20,"P009",190,"P010",530)</f>
        <v>40</v>
      </c>
      <c r="L898">
        <v>20</v>
      </c>
      <c r="M898" s="1">
        <f>Table1[[#This Row],[Unit Price]]*Table1[[#This Row],[Quantity]]</f>
        <v>800</v>
      </c>
      <c r="N898" s="2">
        <v>0.03</v>
      </c>
      <c r="O898" s="1">
        <f>Table1[[#This Row],[Gross Value]]*(1-Table1[[#This Row],[Discount]])</f>
        <v>776</v>
      </c>
      <c r="P898" s="2">
        <v>0.2</v>
      </c>
      <c r="Q898" s="1">
        <f>Table1[[#This Row],[Revenue]]*Table1[[#This Row],[VAT Rate]]</f>
        <v>155.20000000000002</v>
      </c>
      <c r="R898" s="1">
        <f>Table1[[#This Row],[Revenue]]+Table1[[#This Row],[VAT Charged]]</f>
        <v>931.2</v>
      </c>
      <c r="S898" s="1" cm="1">
        <f t="array" ref="S898">_xlfn.SWITCH(Table1[[#This Row],[Product ID]],"P001",140,"P002",80,"P003",72,"P004",30,"P005",110,"P006",24,"P007",14,"P008",12,"P009",115,"P010",360)</f>
        <v>24</v>
      </c>
      <c r="T898" s="1" cm="1">
        <f t="array" ref="T898">(_xlfn.SWITCH(Table1[[#This Row],[Product ID]],"P001",140,"P002",80,"P003",72,"P004",30,"P005",110,"P006",24,"P007",14,"P008",12,"P009",115,"P010",360))*Table1[[#This Row],[Quantity]]</f>
        <v>480</v>
      </c>
      <c r="U898" s="1" cm="1">
        <f t="array" ref="U898">_xlfn.SWITCH(Table1[[#This Row],[Product ID]],"P001",15,"P002",0,"P003",8,"P004",8,"P005",0,"P006",7,"P007",7,"P008",6,"P009",45,"P010",60)</f>
        <v>7</v>
      </c>
      <c r="V898" s="1">
        <f>Table1[[#This Row],[Shipping per Unit]]*Table1[[#This Row],[Quantity]]</f>
        <v>140</v>
      </c>
      <c r="W898" s="2">
        <f>IF(Table1[[#This Row],[Total Shipping]]&gt;0.1,0.2,0)</f>
        <v>0.2</v>
      </c>
      <c r="X898" s="4">
        <f>Table1[[#This Row],[Total Shipping]]*Table1[[#This Row],[VAT on Shipping]]</f>
        <v>28</v>
      </c>
      <c r="Y898" s="1">
        <f>Table1[[#This Row],[Revenue]]-Table1[[#This Row],[COGS]]</f>
        <v>296</v>
      </c>
      <c r="Z898" s="3">
        <f>(Table1[[#This Row],[Profit]]/Table1[[#This Row],[Revenue]])</f>
        <v>0.38144329896907214</v>
      </c>
      <c r="AA898" s="1">
        <f>Table1[[#This Row],[Profit]]-Table1[[#This Row],[Total Shipping]]</f>
        <v>156</v>
      </c>
      <c r="AB898" s="3">
        <f>Table1[[#This Row],[Operating Profit]]/Table1[[#This Row],[Revenue]]</f>
        <v>0.20103092783505155</v>
      </c>
    </row>
    <row r="899" spans="1:28" x14ac:dyDescent="0.25">
      <c r="A899" t="s">
        <v>388</v>
      </c>
      <c r="B899">
        <v>773</v>
      </c>
      <c r="C899" t="s">
        <v>56</v>
      </c>
      <c r="D899" t="s">
        <v>63</v>
      </c>
      <c r="E899" t="s">
        <v>49</v>
      </c>
      <c r="F899" t="s">
        <v>87</v>
      </c>
      <c r="G899" t="str" cm="1">
        <f t="array" ref="G899">_xlfn.SWITCH(F899,"Acme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899" t="s">
        <v>58</v>
      </c>
      <c r="I899" t="s">
        <v>70</v>
      </c>
      <c r="J899" t="str" cm="1">
        <f t="array" ref="J899">_xlfn.SWITCH(I899,"P001","Laptop","P002","Server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899" s="1" cm="1">
        <f t="array" ref="K899">_xlfn.SWITCH(Table1[[#This Row],[Product ID]],"P001",220,"P002",150,"P003",130,"P004",70,"P005",200,"P006",40,"P007",25,"P008",20,"P009",190,"P010",530)</f>
        <v>150</v>
      </c>
      <c r="L899">
        <v>19</v>
      </c>
      <c r="M899" s="1">
        <f>Table1[[#This Row],[Unit Price]]*Table1[[#This Row],[Quantity]]</f>
        <v>2850</v>
      </c>
      <c r="N899" s="2">
        <v>0.06</v>
      </c>
      <c r="O899" s="1">
        <f>Table1[[#This Row],[Gross Value]]*(1-Table1[[#This Row],[Discount]])</f>
        <v>2679</v>
      </c>
      <c r="P899" s="2">
        <v>0.2</v>
      </c>
      <c r="Q899" s="1">
        <f>Table1[[#This Row],[Revenue]]*Table1[[#This Row],[VAT Rate]]</f>
        <v>535.80000000000007</v>
      </c>
      <c r="R899" s="1">
        <f>Table1[[#This Row],[Revenue]]+Table1[[#This Row],[VAT Charged]]</f>
        <v>3214.8</v>
      </c>
      <c r="S899" s="1" cm="1">
        <f t="array" ref="S899">_xlfn.SWITCH(Table1[[#This Row],[Product ID]],"P001",140,"P002",80,"P003",72,"P004",30,"P005",110,"P006",24,"P007",14,"P008",12,"P009",115,"P010",360)</f>
        <v>80</v>
      </c>
      <c r="T899" s="1" cm="1">
        <f t="array" ref="T899">(_xlfn.SWITCH(Table1[[#This Row],[Product ID]],"P001",140,"P002",80,"P003",72,"P004",30,"P005",110,"P006",24,"P007",14,"P008",12,"P009",115,"P010",360))*Table1[[#This Row],[Quantity]]</f>
        <v>1520</v>
      </c>
      <c r="U899" s="1" cm="1">
        <f t="array" ref="U899">_xlfn.SWITCH(Table1[[#This Row],[Product ID]],"P001",15,"P002",0,"P003",8,"P004",8,"P005",0,"P006",7,"P007",7,"P008",6,"P009",45,"P010",60)</f>
        <v>0</v>
      </c>
      <c r="V899" s="1">
        <f>Table1[[#This Row],[Shipping per Unit]]*Table1[[#This Row],[Quantity]]</f>
        <v>0</v>
      </c>
      <c r="W899" s="2">
        <f>IF(Table1[[#This Row],[Total Shipping]]&gt;0.1,0.2,0)</f>
        <v>0</v>
      </c>
      <c r="X899" s="4">
        <f>Table1[[#This Row],[Total Shipping]]*Table1[[#This Row],[VAT on Shipping]]</f>
        <v>0</v>
      </c>
      <c r="Y899" s="1">
        <f>Table1[[#This Row],[Revenue]]-Table1[[#This Row],[COGS]]</f>
        <v>1159</v>
      </c>
      <c r="Z899" s="3">
        <f>(Table1[[#This Row],[Profit]]/Table1[[#This Row],[Revenue]])</f>
        <v>0.43262411347517732</v>
      </c>
      <c r="AA899" s="1">
        <f>Table1[[#This Row],[Profit]]-Table1[[#This Row],[Total Shipping]]</f>
        <v>1159</v>
      </c>
      <c r="AB899" s="3">
        <f>Table1[[#This Row],[Operating Profit]]/Table1[[#This Row],[Revenue]]</f>
        <v>0.43262411347517732</v>
      </c>
    </row>
    <row r="900" spans="1:28" x14ac:dyDescent="0.25">
      <c r="A900" t="s">
        <v>389</v>
      </c>
      <c r="B900">
        <v>15</v>
      </c>
      <c r="C900" t="s">
        <v>62</v>
      </c>
      <c r="D900" t="s">
        <v>67</v>
      </c>
      <c r="E900" t="s">
        <v>49</v>
      </c>
      <c r="F900" t="s">
        <v>37</v>
      </c>
      <c r="G900" t="str" cm="1">
        <f t="array" ref="G900">_xlfn.SWITCH(F900,"Acme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00" t="s">
        <v>33</v>
      </c>
      <c r="I900" t="s">
        <v>68</v>
      </c>
      <c r="J900" t="str" cm="1">
        <f t="array" ref="J900">_xlfn.SWITCH(I900,"P001","Laptop","P002","Server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00" s="1" cm="1">
        <f t="array" ref="K900">_xlfn.SWITCH(Table1[[#This Row],[Product ID]],"P001",220,"P002",150,"P003",130,"P004",70,"P005",200,"P006",40,"P007",25,"P008",20,"P009",190,"P010",530)</f>
        <v>220</v>
      </c>
      <c r="L900">
        <v>12</v>
      </c>
      <c r="M900" s="1">
        <f>Table1[[#This Row],[Unit Price]]*Table1[[#This Row],[Quantity]]</f>
        <v>2640</v>
      </c>
      <c r="N900" s="2">
        <v>7.0000000000000007E-2</v>
      </c>
      <c r="O900" s="1">
        <f>Table1[[#This Row],[Gross Value]]*(1-Table1[[#This Row],[Discount]])</f>
        <v>2455.1999999999998</v>
      </c>
      <c r="P900" s="2">
        <v>0.2</v>
      </c>
      <c r="Q900" s="1">
        <f>Table1[[#This Row],[Revenue]]*Table1[[#This Row],[VAT Rate]]</f>
        <v>491.03999999999996</v>
      </c>
      <c r="R900" s="1">
        <f>Table1[[#This Row],[Revenue]]+Table1[[#This Row],[VAT Charged]]</f>
        <v>2946.24</v>
      </c>
      <c r="S900" s="1" cm="1">
        <f t="array" ref="S900">_xlfn.SWITCH(Table1[[#This Row],[Product ID]],"P001",140,"P002",80,"P003",72,"P004",30,"P005",110,"P006",24,"P007",14,"P008",12,"P009",115,"P010",360)</f>
        <v>140</v>
      </c>
      <c r="T900" s="1" cm="1">
        <f t="array" ref="T900">(_xlfn.SWITCH(Table1[[#This Row],[Product ID]],"P001",140,"P002",80,"P003",72,"P004",30,"P005",110,"P006",24,"P007",14,"P008",12,"P009",115,"P010",360))*Table1[[#This Row],[Quantity]]</f>
        <v>1680</v>
      </c>
      <c r="U900" s="1" cm="1">
        <f t="array" ref="U900">_xlfn.SWITCH(Table1[[#This Row],[Product ID]],"P001",15,"P002",0,"P003",8,"P004",8,"P005",0,"P006",7,"P007",7,"P008",6,"P009",45,"P010",60)</f>
        <v>15</v>
      </c>
      <c r="V900" s="1">
        <f>Table1[[#This Row],[Shipping per Unit]]*Table1[[#This Row],[Quantity]]</f>
        <v>180</v>
      </c>
      <c r="W900" s="2">
        <f>IF(Table1[[#This Row],[Total Shipping]]&gt;0.1,0.2,0)</f>
        <v>0.2</v>
      </c>
      <c r="X900" s="4">
        <f>Table1[[#This Row],[Total Shipping]]*Table1[[#This Row],[VAT on Shipping]]</f>
        <v>36</v>
      </c>
      <c r="Y900" s="1">
        <f>Table1[[#This Row],[Revenue]]-Table1[[#This Row],[COGS]]</f>
        <v>775.19999999999982</v>
      </c>
      <c r="Z900" s="3">
        <f>(Table1[[#This Row],[Profit]]/Table1[[#This Row],[Revenue]])</f>
        <v>0.31573802541544471</v>
      </c>
      <c r="AA900" s="1">
        <f>Table1[[#This Row],[Profit]]-Table1[[#This Row],[Total Shipping]]</f>
        <v>595.19999999999982</v>
      </c>
      <c r="AB900" s="3">
        <f>Table1[[#This Row],[Operating Profit]]/Table1[[#This Row],[Revenue]]</f>
        <v>0.24242424242424238</v>
      </c>
    </row>
    <row r="901" spans="1:28" x14ac:dyDescent="0.25">
      <c r="A901" t="s">
        <v>389</v>
      </c>
      <c r="B901">
        <v>185</v>
      </c>
      <c r="C901" t="s">
        <v>62</v>
      </c>
      <c r="D901" t="s">
        <v>30</v>
      </c>
      <c r="E901" t="s">
        <v>40</v>
      </c>
      <c r="F901" t="s">
        <v>50</v>
      </c>
      <c r="G901" t="str" cm="1">
        <f t="array" ref="G901">_xlfn.SWITCH(F901,"Acme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901" t="s">
        <v>33</v>
      </c>
      <c r="I901" t="s">
        <v>55</v>
      </c>
      <c r="J901" t="str" cm="1">
        <f t="array" ref="J901">_xlfn.SWITCH(I901,"P001","Laptop","P002","Server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01" s="1" cm="1">
        <f t="array" ref="K901">_xlfn.SWITCH(Table1[[#This Row],[Product ID]],"P001",220,"P002",150,"P003",130,"P004",70,"P005",200,"P006",40,"P007",25,"P008",20,"P009",190,"P010",530)</f>
        <v>70</v>
      </c>
      <c r="L901">
        <v>12</v>
      </c>
      <c r="M901" s="1">
        <f>Table1[[#This Row],[Unit Price]]*Table1[[#This Row],[Quantity]]</f>
        <v>840</v>
      </c>
      <c r="N901" s="2">
        <v>0.06</v>
      </c>
      <c r="O901" s="1">
        <f>Table1[[#This Row],[Gross Value]]*(1-Table1[[#This Row],[Discount]])</f>
        <v>789.59999999999991</v>
      </c>
      <c r="P901" s="2">
        <v>0.2</v>
      </c>
      <c r="Q901" s="1">
        <f>Table1[[#This Row],[Revenue]]*Table1[[#This Row],[VAT Rate]]</f>
        <v>157.91999999999999</v>
      </c>
      <c r="R901" s="1">
        <f>Table1[[#This Row],[Revenue]]+Table1[[#This Row],[VAT Charged]]</f>
        <v>947.51999999999987</v>
      </c>
      <c r="S901" s="1" cm="1">
        <f t="array" ref="S901">_xlfn.SWITCH(Table1[[#This Row],[Product ID]],"P001",140,"P002",80,"P003",72,"P004",30,"P005",110,"P006",24,"P007",14,"P008",12,"P009",115,"P010",360)</f>
        <v>30</v>
      </c>
      <c r="T901" s="1" cm="1">
        <f t="array" ref="T901">(_xlfn.SWITCH(Table1[[#This Row],[Product ID]],"P001",140,"P002",80,"P003",72,"P004",30,"P005",110,"P006",24,"P007",14,"P008",12,"P009",115,"P010",360))*Table1[[#This Row],[Quantity]]</f>
        <v>360</v>
      </c>
      <c r="U901" s="1" cm="1">
        <f t="array" ref="U901">_xlfn.SWITCH(Table1[[#This Row],[Product ID]],"P001",15,"P002",0,"P003",8,"P004",8,"P005",0,"P006",7,"P007",7,"P008",6,"P009",45,"P010",60)</f>
        <v>8</v>
      </c>
      <c r="V901" s="1">
        <f>Table1[[#This Row],[Shipping per Unit]]*Table1[[#This Row],[Quantity]]</f>
        <v>96</v>
      </c>
      <c r="W901" s="2">
        <f>IF(Table1[[#This Row],[Total Shipping]]&gt;0.1,0.2,0)</f>
        <v>0.2</v>
      </c>
      <c r="X901" s="4">
        <f>Table1[[#This Row],[Total Shipping]]*Table1[[#This Row],[VAT on Shipping]]</f>
        <v>19.200000000000003</v>
      </c>
      <c r="Y901" s="1">
        <f>Table1[[#This Row],[Revenue]]-Table1[[#This Row],[COGS]]</f>
        <v>429.59999999999991</v>
      </c>
      <c r="Z901" s="3">
        <f>(Table1[[#This Row],[Profit]]/Table1[[#This Row],[Revenue]])</f>
        <v>0.54407294832826747</v>
      </c>
      <c r="AA901" s="1">
        <f>Table1[[#This Row],[Profit]]-Table1[[#This Row],[Total Shipping]]</f>
        <v>333.59999999999991</v>
      </c>
      <c r="AB901" s="3">
        <f>Table1[[#This Row],[Operating Profit]]/Table1[[#This Row],[Revenue]]</f>
        <v>0.42249240121580539</v>
      </c>
    </row>
    <row r="902" spans="1:28" x14ac:dyDescent="0.25">
      <c r="A902" t="s">
        <v>390</v>
      </c>
      <c r="B902">
        <v>964</v>
      </c>
      <c r="C902" t="s">
        <v>62</v>
      </c>
      <c r="D902" t="s">
        <v>30</v>
      </c>
      <c r="E902" t="s">
        <v>40</v>
      </c>
      <c r="F902" t="s">
        <v>103</v>
      </c>
      <c r="G902" t="str" cm="1">
        <f t="array" ref="G902">_xlfn.SWITCH(F902,"Acme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902" t="s">
        <v>69</v>
      </c>
      <c r="I902" t="s">
        <v>55</v>
      </c>
      <c r="J902" t="str" cm="1">
        <f t="array" ref="J902">_xlfn.SWITCH(I902,"P001","Laptop","P002","Server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02" s="1" cm="1">
        <f t="array" ref="K902">_xlfn.SWITCH(Table1[[#This Row],[Product ID]],"P001",220,"P002",150,"P003",130,"P004",70,"P005",200,"P006",40,"P007",25,"P008",20,"P009",190,"P010",530)</f>
        <v>70</v>
      </c>
      <c r="L902">
        <v>9</v>
      </c>
      <c r="M902" s="1">
        <f>Table1[[#This Row],[Unit Price]]*Table1[[#This Row],[Quantity]]</f>
        <v>630</v>
      </c>
      <c r="N902" s="2">
        <v>0.05</v>
      </c>
      <c r="O902" s="1">
        <f>Table1[[#This Row],[Gross Value]]*(1-Table1[[#This Row],[Discount]])</f>
        <v>598.5</v>
      </c>
      <c r="P902" s="2">
        <v>0.2</v>
      </c>
      <c r="Q902" s="1">
        <f>Table1[[#This Row],[Revenue]]*Table1[[#This Row],[VAT Rate]]</f>
        <v>119.7</v>
      </c>
      <c r="R902" s="1">
        <f>Table1[[#This Row],[Revenue]]+Table1[[#This Row],[VAT Charged]]</f>
        <v>718.2</v>
      </c>
      <c r="S902" s="1" cm="1">
        <f t="array" ref="S902">_xlfn.SWITCH(Table1[[#This Row],[Product ID]],"P001",140,"P002",80,"P003",72,"P004",30,"P005",110,"P006",24,"P007",14,"P008",12,"P009",115,"P010",360)</f>
        <v>30</v>
      </c>
      <c r="T902" s="1" cm="1">
        <f t="array" ref="T902">(_xlfn.SWITCH(Table1[[#This Row],[Product ID]],"P001",140,"P002",80,"P003",72,"P004",30,"P005",110,"P006",24,"P007",14,"P008",12,"P009",115,"P010",360))*Table1[[#This Row],[Quantity]]</f>
        <v>270</v>
      </c>
      <c r="U902" s="1" cm="1">
        <f t="array" ref="U902">_xlfn.SWITCH(Table1[[#This Row],[Product ID]],"P001",15,"P002",0,"P003",8,"P004",8,"P005",0,"P006",7,"P007",7,"P008",6,"P009",45,"P010",60)</f>
        <v>8</v>
      </c>
      <c r="V902" s="1">
        <f>Table1[[#This Row],[Shipping per Unit]]*Table1[[#This Row],[Quantity]]</f>
        <v>72</v>
      </c>
      <c r="W902" s="2">
        <f>IF(Table1[[#This Row],[Total Shipping]]&gt;0.1,0.2,0)</f>
        <v>0.2</v>
      </c>
      <c r="X902" s="4">
        <f>Table1[[#This Row],[Total Shipping]]*Table1[[#This Row],[VAT on Shipping]]</f>
        <v>14.4</v>
      </c>
      <c r="Y902" s="1">
        <f>Table1[[#This Row],[Revenue]]-Table1[[#This Row],[COGS]]</f>
        <v>328.5</v>
      </c>
      <c r="Z902" s="3">
        <f>(Table1[[#This Row],[Profit]]/Table1[[#This Row],[Revenue]])</f>
        <v>0.54887218045112784</v>
      </c>
      <c r="AA902" s="1">
        <f>Table1[[#This Row],[Profit]]-Table1[[#This Row],[Total Shipping]]</f>
        <v>256.5</v>
      </c>
      <c r="AB902" s="3">
        <f>Table1[[#This Row],[Operating Profit]]/Table1[[#This Row],[Revenue]]</f>
        <v>0.42857142857142855</v>
      </c>
    </row>
    <row r="903" spans="1:28" x14ac:dyDescent="0.25">
      <c r="A903" t="s">
        <v>390</v>
      </c>
      <c r="B903">
        <v>977</v>
      </c>
      <c r="C903" t="s">
        <v>62</v>
      </c>
      <c r="D903" t="s">
        <v>53</v>
      </c>
      <c r="E903" t="s">
        <v>49</v>
      </c>
      <c r="F903" t="s">
        <v>86</v>
      </c>
      <c r="G903" t="str" cm="1">
        <f t="array" ref="G903">_xlfn.SWITCH(F903,"Acme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03" t="s">
        <v>45</v>
      </c>
      <c r="I903" t="s">
        <v>68</v>
      </c>
      <c r="J903" t="str" cm="1">
        <f t="array" ref="J903">_xlfn.SWITCH(I903,"P001","Laptop","P002","Server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03" s="1" cm="1">
        <f t="array" ref="K903">_xlfn.SWITCH(Table1[[#This Row],[Product ID]],"P001",220,"P002",150,"P003",130,"P004",70,"P005",200,"P006",40,"P007",25,"P008",20,"P009",190,"P010",530)</f>
        <v>220</v>
      </c>
      <c r="L903">
        <v>14</v>
      </c>
      <c r="M903" s="1">
        <f>Table1[[#This Row],[Unit Price]]*Table1[[#This Row],[Quantity]]</f>
        <v>3080</v>
      </c>
      <c r="N903" s="2">
        <v>0.08</v>
      </c>
      <c r="O903" s="1">
        <f>Table1[[#This Row],[Gross Value]]*(1-Table1[[#This Row],[Discount]])</f>
        <v>2833.6</v>
      </c>
      <c r="P903" s="2">
        <v>0.2</v>
      </c>
      <c r="Q903" s="1">
        <f>Table1[[#This Row],[Revenue]]*Table1[[#This Row],[VAT Rate]]</f>
        <v>566.72</v>
      </c>
      <c r="R903" s="1">
        <f>Table1[[#This Row],[Revenue]]+Table1[[#This Row],[VAT Charged]]</f>
        <v>3400.3199999999997</v>
      </c>
      <c r="S903" s="1" cm="1">
        <f t="array" ref="S903">_xlfn.SWITCH(Table1[[#This Row],[Product ID]],"P001",140,"P002",80,"P003",72,"P004",30,"P005",110,"P006",24,"P007",14,"P008",12,"P009",115,"P010",360)</f>
        <v>140</v>
      </c>
      <c r="T903" s="1" cm="1">
        <f t="array" ref="T903">(_xlfn.SWITCH(Table1[[#This Row],[Product ID]],"P001",140,"P002",80,"P003",72,"P004",30,"P005",110,"P006",24,"P007",14,"P008",12,"P009",115,"P010",360))*Table1[[#This Row],[Quantity]]</f>
        <v>1960</v>
      </c>
      <c r="U903" s="1" cm="1">
        <f t="array" ref="U903">_xlfn.SWITCH(Table1[[#This Row],[Product ID]],"P001",15,"P002",0,"P003",8,"P004",8,"P005",0,"P006",7,"P007",7,"P008",6,"P009",45,"P010",60)</f>
        <v>15</v>
      </c>
      <c r="V903" s="1">
        <f>Table1[[#This Row],[Shipping per Unit]]*Table1[[#This Row],[Quantity]]</f>
        <v>210</v>
      </c>
      <c r="W903" s="2">
        <f>IF(Table1[[#This Row],[Total Shipping]]&gt;0.1,0.2,0)</f>
        <v>0.2</v>
      </c>
      <c r="X903" s="4">
        <f>Table1[[#This Row],[Total Shipping]]*Table1[[#This Row],[VAT on Shipping]]</f>
        <v>42</v>
      </c>
      <c r="Y903" s="1">
        <f>Table1[[#This Row],[Revenue]]-Table1[[#This Row],[COGS]]</f>
        <v>873.59999999999991</v>
      </c>
      <c r="Z903" s="3">
        <f>(Table1[[#This Row],[Profit]]/Table1[[#This Row],[Revenue]])</f>
        <v>0.30830039525691699</v>
      </c>
      <c r="AA903" s="1">
        <f>Table1[[#This Row],[Profit]]-Table1[[#This Row],[Total Shipping]]</f>
        <v>663.59999999999991</v>
      </c>
      <c r="AB903" s="3">
        <f>Table1[[#This Row],[Operating Profit]]/Table1[[#This Row],[Revenue]]</f>
        <v>0.23418972332015808</v>
      </c>
    </row>
    <row r="904" spans="1:28" x14ac:dyDescent="0.25">
      <c r="A904" t="s">
        <v>391</v>
      </c>
      <c r="B904">
        <v>564</v>
      </c>
      <c r="C904" t="s">
        <v>29</v>
      </c>
      <c r="D904" t="s">
        <v>53</v>
      </c>
      <c r="E904" t="s">
        <v>40</v>
      </c>
      <c r="F904" t="s">
        <v>66</v>
      </c>
      <c r="G904" t="str" cm="1">
        <f t="array" ref="G904">_xlfn.SWITCH(F904,"Acme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904" t="s">
        <v>51</v>
      </c>
      <c r="I904" t="s">
        <v>42</v>
      </c>
      <c r="J904" t="str" cm="1">
        <f t="array" ref="J904">_xlfn.SWITCH(I904,"P001","Laptop","P002","Server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04" s="1" cm="1">
        <f t="array" ref="K904">_xlfn.SWITCH(Table1[[#This Row],[Product ID]],"P001",220,"P002",150,"P003",130,"P004",70,"P005",200,"P006",40,"P007",25,"P008",20,"P009",190,"P010",530)</f>
        <v>40</v>
      </c>
      <c r="L904">
        <v>20</v>
      </c>
      <c r="M904" s="1">
        <f>Table1[[#This Row],[Unit Price]]*Table1[[#This Row],[Quantity]]</f>
        <v>800</v>
      </c>
      <c r="N904" s="2">
        <v>0.08</v>
      </c>
      <c r="O904" s="1">
        <f>Table1[[#This Row],[Gross Value]]*(1-Table1[[#This Row],[Discount]])</f>
        <v>736</v>
      </c>
      <c r="P904" s="2">
        <v>0.2</v>
      </c>
      <c r="Q904" s="1">
        <f>Table1[[#This Row],[Revenue]]*Table1[[#This Row],[VAT Rate]]</f>
        <v>147.20000000000002</v>
      </c>
      <c r="R904" s="1">
        <f>Table1[[#This Row],[Revenue]]+Table1[[#This Row],[VAT Charged]]</f>
        <v>883.2</v>
      </c>
      <c r="S904" s="1" cm="1">
        <f t="array" ref="S904">_xlfn.SWITCH(Table1[[#This Row],[Product ID]],"P001",140,"P002",80,"P003",72,"P004",30,"P005",110,"P006",24,"P007",14,"P008",12,"P009",115,"P010",360)</f>
        <v>24</v>
      </c>
      <c r="T904" s="1" cm="1">
        <f t="array" ref="T904">(_xlfn.SWITCH(Table1[[#This Row],[Product ID]],"P001",140,"P002",80,"P003",72,"P004",30,"P005",110,"P006",24,"P007",14,"P008",12,"P009",115,"P010",360))*Table1[[#This Row],[Quantity]]</f>
        <v>480</v>
      </c>
      <c r="U904" s="1" cm="1">
        <f t="array" ref="U904">_xlfn.SWITCH(Table1[[#This Row],[Product ID]],"P001",15,"P002",0,"P003",8,"P004",8,"P005",0,"P006",7,"P007",7,"P008",6,"P009",45,"P010",60)</f>
        <v>7</v>
      </c>
      <c r="V904" s="1">
        <f>Table1[[#This Row],[Shipping per Unit]]*Table1[[#This Row],[Quantity]]</f>
        <v>140</v>
      </c>
      <c r="W904" s="2">
        <f>IF(Table1[[#This Row],[Total Shipping]]&gt;0.1,0.2,0)</f>
        <v>0.2</v>
      </c>
      <c r="X904" s="4">
        <f>Table1[[#This Row],[Total Shipping]]*Table1[[#This Row],[VAT on Shipping]]</f>
        <v>28</v>
      </c>
      <c r="Y904" s="1">
        <f>Table1[[#This Row],[Revenue]]-Table1[[#This Row],[COGS]]</f>
        <v>256</v>
      </c>
      <c r="Z904" s="3">
        <f>(Table1[[#This Row],[Profit]]/Table1[[#This Row],[Revenue]])</f>
        <v>0.34782608695652173</v>
      </c>
      <c r="AA904" s="1">
        <f>Table1[[#This Row],[Profit]]-Table1[[#This Row],[Total Shipping]]</f>
        <v>116</v>
      </c>
      <c r="AB904" s="3">
        <f>Table1[[#This Row],[Operating Profit]]/Table1[[#This Row],[Revenue]]</f>
        <v>0.15760869565217392</v>
      </c>
    </row>
    <row r="905" spans="1:28" x14ac:dyDescent="0.25">
      <c r="A905" t="s">
        <v>392</v>
      </c>
      <c r="B905">
        <v>193</v>
      </c>
      <c r="C905" t="s">
        <v>29</v>
      </c>
      <c r="D905" t="s">
        <v>53</v>
      </c>
      <c r="E905" t="s">
        <v>31</v>
      </c>
      <c r="F905" t="s">
        <v>98</v>
      </c>
      <c r="G905" t="str" cm="1">
        <f t="array" ref="G905">_xlfn.SWITCH(F905,"Acme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905" t="s">
        <v>51</v>
      </c>
      <c r="I905" t="s">
        <v>52</v>
      </c>
      <c r="J905" t="str" cm="1">
        <f t="array" ref="J905">_xlfn.SWITCH(I905,"P001","Laptop","P002","Server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05" s="1" cm="1">
        <f t="array" ref="K905">_xlfn.SWITCH(Table1[[#This Row],[Product ID]],"P001",220,"P002",150,"P003",130,"P004",70,"P005",200,"P006",40,"P007",25,"P008",20,"P009",190,"P010",530)</f>
        <v>130</v>
      </c>
      <c r="L905">
        <v>19</v>
      </c>
      <c r="M905" s="1">
        <f>Table1[[#This Row],[Unit Price]]*Table1[[#This Row],[Quantity]]</f>
        <v>2470</v>
      </c>
      <c r="N905" s="2">
        <v>0.1</v>
      </c>
      <c r="O905" s="1">
        <f>Table1[[#This Row],[Gross Value]]*(1-Table1[[#This Row],[Discount]])</f>
        <v>2223</v>
      </c>
      <c r="P905" s="2">
        <v>0.2</v>
      </c>
      <c r="Q905" s="1">
        <f>Table1[[#This Row],[Revenue]]*Table1[[#This Row],[VAT Rate]]</f>
        <v>444.6</v>
      </c>
      <c r="R905" s="1">
        <f>Table1[[#This Row],[Revenue]]+Table1[[#This Row],[VAT Charged]]</f>
        <v>2667.6</v>
      </c>
      <c r="S905" s="1" cm="1">
        <f t="array" ref="S905">_xlfn.SWITCH(Table1[[#This Row],[Product ID]],"P001",140,"P002",80,"P003",72,"P004",30,"P005",110,"P006",24,"P007",14,"P008",12,"P009",115,"P010",360)</f>
        <v>72</v>
      </c>
      <c r="T905" s="1" cm="1">
        <f t="array" ref="T905">(_xlfn.SWITCH(Table1[[#This Row],[Product ID]],"P001",140,"P002",80,"P003",72,"P004",30,"P005",110,"P006",24,"P007",14,"P008",12,"P009",115,"P010",360))*Table1[[#This Row],[Quantity]]</f>
        <v>1368</v>
      </c>
      <c r="U905" s="1" cm="1">
        <f t="array" ref="U905">_xlfn.SWITCH(Table1[[#This Row],[Product ID]],"P001",15,"P002",0,"P003",8,"P004",8,"P005",0,"P006",7,"P007",7,"P008",6,"P009",45,"P010",60)</f>
        <v>8</v>
      </c>
      <c r="V905" s="1">
        <f>Table1[[#This Row],[Shipping per Unit]]*Table1[[#This Row],[Quantity]]</f>
        <v>152</v>
      </c>
      <c r="W905" s="2">
        <f>IF(Table1[[#This Row],[Total Shipping]]&gt;0.1,0.2,0)</f>
        <v>0.2</v>
      </c>
      <c r="X905" s="4">
        <f>Table1[[#This Row],[Total Shipping]]*Table1[[#This Row],[VAT on Shipping]]</f>
        <v>30.400000000000002</v>
      </c>
      <c r="Y905" s="1">
        <f>Table1[[#This Row],[Revenue]]-Table1[[#This Row],[COGS]]</f>
        <v>855</v>
      </c>
      <c r="Z905" s="3">
        <f>(Table1[[#This Row],[Profit]]/Table1[[#This Row],[Revenue]])</f>
        <v>0.38461538461538464</v>
      </c>
      <c r="AA905" s="1">
        <f>Table1[[#This Row],[Profit]]-Table1[[#This Row],[Total Shipping]]</f>
        <v>703</v>
      </c>
      <c r="AB905" s="3">
        <f>Table1[[#This Row],[Operating Profit]]/Table1[[#This Row],[Revenue]]</f>
        <v>0.31623931623931623</v>
      </c>
    </row>
    <row r="906" spans="1:28" x14ac:dyDescent="0.25">
      <c r="A906" t="s">
        <v>392</v>
      </c>
      <c r="B906">
        <v>253</v>
      </c>
      <c r="C906" t="s">
        <v>35</v>
      </c>
      <c r="D906" t="s">
        <v>95</v>
      </c>
      <c r="E906" t="s">
        <v>31</v>
      </c>
      <c r="F906" t="s">
        <v>87</v>
      </c>
      <c r="G906" t="str" cm="1">
        <f t="array" ref="G906">_xlfn.SWITCH(F906,"Acme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906" t="s">
        <v>58</v>
      </c>
      <c r="I906" t="s">
        <v>46</v>
      </c>
      <c r="J906" t="str" cm="1">
        <f t="array" ref="J906">_xlfn.SWITCH(I906,"P001","Laptop","P002","Server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06" s="1" cm="1">
        <f t="array" ref="K906">_xlfn.SWITCH(Table1[[#This Row],[Product ID]],"P001",220,"P002",150,"P003",130,"P004",70,"P005",200,"P006",40,"P007",25,"P008",20,"P009",190,"P010",530)</f>
        <v>530</v>
      </c>
      <c r="L906">
        <v>11</v>
      </c>
      <c r="M906" s="1">
        <f>Table1[[#This Row],[Unit Price]]*Table1[[#This Row],[Quantity]]</f>
        <v>5830</v>
      </c>
      <c r="N906" s="2">
        <v>0.12</v>
      </c>
      <c r="O906" s="1">
        <f>Table1[[#This Row],[Gross Value]]*(1-Table1[[#This Row],[Discount]])</f>
        <v>5130.3999999999996</v>
      </c>
      <c r="P906" s="2">
        <v>0.2</v>
      </c>
      <c r="Q906" s="1">
        <f>Table1[[#This Row],[Revenue]]*Table1[[#This Row],[VAT Rate]]</f>
        <v>1026.08</v>
      </c>
      <c r="R906" s="1">
        <f>Table1[[#This Row],[Revenue]]+Table1[[#This Row],[VAT Charged]]</f>
        <v>6156.48</v>
      </c>
      <c r="S906" s="1" cm="1">
        <f t="array" ref="S906">_xlfn.SWITCH(Table1[[#This Row],[Product ID]],"P001",140,"P002",80,"P003",72,"P004",30,"P005",110,"P006",24,"P007",14,"P008",12,"P009",115,"P010",360)</f>
        <v>360</v>
      </c>
      <c r="T906" s="1" cm="1">
        <f t="array" ref="T906">(_xlfn.SWITCH(Table1[[#This Row],[Product ID]],"P001",140,"P002",80,"P003",72,"P004",30,"P005",110,"P006",24,"P007",14,"P008",12,"P009",115,"P010",360))*Table1[[#This Row],[Quantity]]</f>
        <v>3960</v>
      </c>
      <c r="U906" s="1" cm="1">
        <f t="array" ref="U906">_xlfn.SWITCH(Table1[[#This Row],[Product ID]],"P001",15,"P002",0,"P003",8,"P004",8,"P005",0,"P006",7,"P007",7,"P008",6,"P009",45,"P010",60)</f>
        <v>60</v>
      </c>
      <c r="V906" s="1">
        <f>Table1[[#This Row],[Shipping per Unit]]*Table1[[#This Row],[Quantity]]</f>
        <v>660</v>
      </c>
      <c r="W906" s="2">
        <f>IF(Table1[[#This Row],[Total Shipping]]&gt;0.1,0.2,0)</f>
        <v>0.2</v>
      </c>
      <c r="X906" s="4">
        <f>Table1[[#This Row],[Total Shipping]]*Table1[[#This Row],[VAT on Shipping]]</f>
        <v>132</v>
      </c>
      <c r="Y906" s="1">
        <f>Table1[[#This Row],[Revenue]]-Table1[[#This Row],[COGS]]</f>
        <v>1170.3999999999996</v>
      </c>
      <c r="Z906" s="3">
        <f>(Table1[[#This Row],[Profit]]/Table1[[#This Row],[Revenue]])</f>
        <v>0.22813036020583186</v>
      </c>
      <c r="AA906" s="1">
        <f>Table1[[#This Row],[Profit]]-Table1[[#This Row],[Total Shipping]]</f>
        <v>510.39999999999964</v>
      </c>
      <c r="AB906" s="3">
        <f>Table1[[#This Row],[Operating Profit]]/Table1[[#This Row],[Revenue]]</f>
        <v>9.9485420240137151E-2</v>
      </c>
    </row>
    <row r="907" spans="1:28" x14ac:dyDescent="0.25">
      <c r="A907" t="s">
        <v>393</v>
      </c>
      <c r="B907">
        <v>373</v>
      </c>
      <c r="C907" t="s">
        <v>65</v>
      </c>
      <c r="D907" t="s">
        <v>39</v>
      </c>
      <c r="E907" t="s">
        <v>40</v>
      </c>
      <c r="F907" t="s">
        <v>126</v>
      </c>
      <c r="G907" t="str" cm="1">
        <f t="array" ref="G907">_xlfn.SWITCH(F907,"Acme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907" t="s">
        <v>51</v>
      </c>
      <c r="I907" t="s">
        <v>52</v>
      </c>
      <c r="J907" t="str" cm="1">
        <f t="array" ref="J907">_xlfn.SWITCH(I907,"P001","Laptop","P002","Server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07" s="1" cm="1">
        <f t="array" ref="K907">_xlfn.SWITCH(Table1[[#This Row],[Product ID]],"P001",220,"P002",150,"P003",130,"P004",70,"P005",200,"P006",40,"P007",25,"P008",20,"P009",190,"P010",530)</f>
        <v>130</v>
      </c>
      <c r="L907">
        <v>14</v>
      </c>
      <c r="M907" s="1">
        <f>Table1[[#This Row],[Unit Price]]*Table1[[#This Row],[Quantity]]</f>
        <v>1820</v>
      </c>
      <c r="N907" s="2">
        <v>0.02</v>
      </c>
      <c r="O907" s="1">
        <f>Table1[[#This Row],[Gross Value]]*(1-Table1[[#This Row],[Discount]])</f>
        <v>1783.6</v>
      </c>
      <c r="P907" s="2">
        <v>0.2</v>
      </c>
      <c r="Q907" s="1">
        <f>Table1[[#This Row],[Revenue]]*Table1[[#This Row],[VAT Rate]]</f>
        <v>356.72</v>
      </c>
      <c r="R907" s="1">
        <f>Table1[[#This Row],[Revenue]]+Table1[[#This Row],[VAT Charged]]</f>
        <v>2140.3199999999997</v>
      </c>
      <c r="S907" s="1" cm="1">
        <f t="array" ref="S907">_xlfn.SWITCH(Table1[[#This Row],[Product ID]],"P001",140,"P002",80,"P003",72,"P004",30,"P005",110,"P006",24,"P007",14,"P008",12,"P009",115,"P010",360)</f>
        <v>72</v>
      </c>
      <c r="T907" s="1" cm="1">
        <f t="array" ref="T907">(_xlfn.SWITCH(Table1[[#This Row],[Product ID]],"P001",140,"P002",80,"P003",72,"P004",30,"P005",110,"P006",24,"P007",14,"P008",12,"P009",115,"P010",360))*Table1[[#This Row],[Quantity]]</f>
        <v>1008</v>
      </c>
      <c r="U907" s="1" cm="1">
        <f t="array" ref="U907">_xlfn.SWITCH(Table1[[#This Row],[Product ID]],"P001",15,"P002",0,"P003",8,"P004",8,"P005",0,"P006",7,"P007",7,"P008",6,"P009",45,"P010",60)</f>
        <v>8</v>
      </c>
      <c r="V907" s="1">
        <f>Table1[[#This Row],[Shipping per Unit]]*Table1[[#This Row],[Quantity]]</f>
        <v>112</v>
      </c>
      <c r="W907" s="2">
        <f>IF(Table1[[#This Row],[Total Shipping]]&gt;0.1,0.2,0)</f>
        <v>0.2</v>
      </c>
      <c r="X907" s="4">
        <f>Table1[[#This Row],[Total Shipping]]*Table1[[#This Row],[VAT on Shipping]]</f>
        <v>22.400000000000002</v>
      </c>
      <c r="Y907" s="1">
        <f>Table1[[#This Row],[Revenue]]-Table1[[#This Row],[COGS]]</f>
        <v>775.59999999999991</v>
      </c>
      <c r="Z907" s="3">
        <f>(Table1[[#This Row],[Profit]]/Table1[[#This Row],[Revenue]])</f>
        <v>0.43485086342229196</v>
      </c>
      <c r="AA907" s="1">
        <f>Table1[[#This Row],[Profit]]-Table1[[#This Row],[Total Shipping]]</f>
        <v>663.59999999999991</v>
      </c>
      <c r="AB907" s="3">
        <f>Table1[[#This Row],[Operating Profit]]/Table1[[#This Row],[Revenue]]</f>
        <v>0.37205651491365777</v>
      </c>
    </row>
    <row r="908" spans="1:28" x14ac:dyDescent="0.25">
      <c r="A908" t="s">
        <v>393</v>
      </c>
      <c r="B908">
        <v>524</v>
      </c>
      <c r="C908" t="s">
        <v>35</v>
      </c>
      <c r="D908" t="s">
        <v>30</v>
      </c>
      <c r="E908" t="s">
        <v>31</v>
      </c>
      <c r="F908" t="s">
        <v>119</v>
      </c>
      <c r="G908" t="str" cm="1">
        <f t="array" ref="G908">_xlfn.SWITCH(F908,"Acme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908" t="s">
        <v>51</v>
      </c>
      <c r="I908" t="s">
        <v>42</v>
      </c>
      <c r="J908" t="str" cm="1">
        <f t="array" ref="J908">_xlfn.SWITCH(I908,"P001","Laptop","P002","Server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08" s="1" cm="1">
        <f t="array" ref="K908">_xlfn.SWITCH(Table1[[#This Row],[Product ID]],"P001",220,"P002",150,"P003",130,"P004",70,"P005",200,"P006",40,"P007",25,"P008",20,"P009",190,"P010",530)</f>
        <v>40</v>
      </c>
      <c r="L908">
        <v>16</v>
      </c>
      <c r="M908" s="1">
        <f>Table1[[#This Row],[Unit Price]]*Table1[[#This Row],[Quantity]]</f>
        <v>640</v>
      </c>
      <c r="N908" s="2">
        <v>0.05</v>
      </c>
      <c r="O908" s="1">
        <f>Table1[[#This Row],[Gross Value]]*(1-Table1[[#This Row],[Discount]])</f>
        <v>608</v>
      </c>
      <c r="P908" s="2">
        <v>0.2</v>
      </c>
      <c r="Q908" s="1">
        <f>Table1[[#This Row],[Revenue]]*Table1[[#This Row],[VAT Rate]]</f>
        <v>121.60000000000001</v>
      </c>
      <c r="R908" s="1">
        <f>Table1[[#This Row],[Revenue]]+Table1[[#This Row],[VAT Charged]]</f>
        <v>729.6</v>
      </c>
      <c r="S908" s="1" cm="1">
        <f t="array" ref="S908">_xlfn.SWITCH(Table1[[#This Row],[Product ID]],"P001",140,"P002",80,"P003",72,"P004",30,"P005",110,"P006",24,"P007",14,"P008",12,"P009",115,"P010",360)</f>
        <v>24</v>
      </c>
      <c r="T908" s="1" cm="1">
        <f t="array" ref="T908">(_xlfn.SWITCH(Table1[[#This Row],[Product ID]],"P001",140,"P002",80,"P003",72,"P004",30,"P005",110,"P006",24,"P007",14,"P008",12,"P009",115,"P010",360))*Table1[[#This Row],[Quantity]]</f>
        <v>384</v>
      </c>
      <c r="U908" s="1" cm="1">
        <f t="array" ref="U908">_xlfn.SWITCH(Table1[[#This Row],[Product ID]],"P001",15,"P002",0,"P003",8,"P004",8,"P005",0,"P006",7,"P007",7,"P008",6,"P009",45,"P010",60)</f>
        <v>7</v>
      </c>
      <c r="V908" s="1">
        <f>Table1[[#This Row],[Shipping per Unit]]*Table1[[#This Row],[Quantity]]</f>
        <v>112</v>
      </c>
      <c r="W908" s="2">
        <f>IF(Table1[[#This Row],[Total Shipping]]&gt;0.1,0.2,0)</f>
        <v>0.2</v>
      </c>
      <c r="X908" s="4">
        <f>Table1[[#This Row],[Total Shipping]]*Table1[[#This Row],[VAT on Shipping]]</f>
        <v>22.400000000000002</v>
      </c>
      <c r="Y908" s="1">
        <f>Table1[[#This Row],[Revenue]]-Table1[[#This Row],[COGS]]</f>
        <v>224</v>
      </c>
      <c r="Z908" s="3">
        <f>(Table1[[#This Row],[Profit]]/Table1[[#This Row],[Revenue]])</f>
        <v>0.36842105263157893</v>
      </c>
      <c r="AA908" s="1">
        <f>Table1[[#This Row],[Profit]]-Table1[[#This Row],[Total Shipping]]</f>
        <v>112</v>
      </c>
      <c r="AB908" s="3">
        <f>Table1[[#This Row],[Operating Profit]]/Table1[[#This Row],[Revenue]]</f>
        <v>0.18421052631578946</v>
      </c>
    </row>
    <row r="909" spans="1:28" x14ac:dyDescent="0.25">
      <c r="A909" t="s">
        <v>393</v>
      </c>
      <c r="B909">
        <v>556</v>
      </c>
      <c r="C909" t="s">
        <v>71</v>
      </c>
      <c r="D909" t="s">
        <v>63</v>
      </c>
      <c r="E909" t="s">
        <v>40</v>
      </c>
      <c r="F909" t="s">
        <v>90</v>
      </c>
      <c r="G909" t="str" cm="1">
        <f t="array" ref="G909">_xlfn.SWITCH(F909,"Acme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909" t="s">
        <v>45</v>
      </c>
      <c r="I909" t="s">
        <v>70</v>
      </c>
      <c r="J909" t="str" cm="1">
        <f t="array" ref="J909">_xlfn.SWITCH(I909,"P001","Laptop","P002","Server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909" s="1" cm="1">
        <f t="array" ref="K909">_xlfn.SWITCH(Table1[[#This Row],[Product ID]],"P001",220,"P002",150,"P003",130,"P004",70,"P005",200,"P006",40,"P007",25,"P008",20,"P009",190,"P010",530)</f>
        <v>150</v>
      </c>
      <c r="L909">
        <v>7</v>
      </c>
      <c r="M909" s="1">
        <f>Table1[[#This Row],[Unit Price]]*Table1[[#This Row],[Quantity]]</f>
        <v>1050</v>
      </c>
      <c r="N909" s="2">
        <v>0.06</v>
      </c>
      <c r="O909" s="1">
        <f>Table1[[#This Row],[Gross Value]]*(1-Table1[[#This Row],[Discount]])</f>
        <v>987</v>
      </c>
      <c r="P909" s="2">
        <v>0.2</v>
      </c>
      <c r="Q909" s="1">
        <f>Table1[[#This Row],[Revenue]]*Table1[[#This Row],[VAT Rate]]</f>
        <v>197.4</v>
      </c>
      <c r="R909" s="1">
        <f>Table1[[#This Row],[Revenue]]+Table1[[#This Row],[VAT Charged]]</f>
        <v>1184.4000000000001</v>
      </c>
      <c r="S909" s="1" cm="1">
        <f t="array" ref="S909">_xlfn.SWITCH(Table1[[#This Row],[Product ID]],"P001",140,"P002",80,"P003",72,"P004",30,"P005",110,"P006",24,"P007",14,"P008",12,"P009",115,"P010",360)</f>
        <v>80</v>
      </c>
      <c r="T909" s="1" cm="1">
        <f t="array" ref="T909">(_xlfn.SWITCH(Table1[[#This Row],[Product ID]],"P001",140,"P002",80,"P003",72,"P004",30,"P005",110,"P006",24,"P007",14,"P008",12,"P009",115,"P010",360))*Table1[[#This Row],[Quantity]]</f>
        <v>560</v>
      </c>
      <c r="U909" s="1" cm="1">
        <f t="array" ref="U909">_xlfn.SWITCH(Table1[[#This Row],[Product ID]],"P001",15,"P002",0,"P003",8,"P004",8,"P005",0,"P006",7,"P007",7,"P008",6,"P009",45,"P010",60)</f>
        <v>0</v>
      </c>
      <c r="V909" s="1">
        <f>Table1[[#This Row],[Shipping per Unit]]*Table1[[#This Row],[Quantity]]</f>
        <v>0</v>
      </c>
      <c r="W909" s="2">
        <f>IF(Table1[[#This Row],[Total Shipping]]&gt;0.1,0.2,0)</f>
        <v>0</v>
      </c>
      <c r="X909" s="4">
        <f>Table1[[#This Row],[Total Shipping]]*Table1[[#This Row],[VAT on Shipping]]</f>
        <v>0</v>
      </c>
      <c r="Y909" s="1">
        <f>Table1[[#This Row],[Revenue]]-Table1[[#This Row],[COGS]]</f>
        <v>427</v>
      </c>
      <c r="Z909" s="3">
        <f>(Table1[[#This Row],[Profit]]/Table1[[#This Row],[Revenue]])</f>
        <v>0.43262411347517732</v>
      </c>
      <c r="AA909" s="1">
        <f>Table1[[#This Row],[Profit]]-Table1[[#This Row],[Total Shipping]]</f>
        <v>427</v>
      </c>
      <c r="AB909" s="3">
        <f>Table1[[#This Row],[Operating Profit]]/Table1[[#This Row],[Revenue]]</f>
        <v>0.43262411347517732</v>
      </c>
    </row>
    <row r="910" spans="1:28" x14ac:dyDescent="0.25">
      <c r="A910" t="s">
        <v>393</v>
      </c>
      <c r="B910">
        <v>597</v>
      </c>
      <c r="C910" t="s">
        <v>71</v>
      </c>
      <c r="D910" t="s">
        <v>63</v>
      </c>
      <c r="E910" t="s">
        <v>40</v>
      </c>
      <c r="F910" t="s">
        <v>66</v>
      </c>
      <c r="G910" t="str" cm="1">
        <f t="array" ref="G910">_xlfn.SWITCH(F910,"Acme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910" t="s">
        <v>33</v>
      </c>
      <c r="I910" t="s">
        <v>68</v>
      </c>
      <c r="J910" t="str" cm="1">
        <f t="array" ref="J910">_xlfn.SWITCH(I910,"P001","Laptop","P002","Server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10" s="1" cm="1">
        <f t="array" ref="K910">_xlfn.SWITCH(Table1[[#This Row],[Product ID]],"P001",220,"P002",150,"P003",130,"P004",70,"P005",200,"P006",40,"P007",25,"P008",20,"P009",190,"P010",530)</f>
        <v>220</v>
      </c>
      <c r="L910">
        <v>11</v>
      </c>
      <c r="M910" s="1">
        <f>Table1[[#This Row],[Unit Price]]*Table1[[#This Row],[Quantity]]</f>
        <v>2420</v>
      </c>
      <c r="N910" s="2">
        <v>0.05</v>
      </c>
      <c r="O910" s="1">
        <f>Table1[[#This Row],[Gross Value]]*(1-Table1[[#This Row],[Discount]])</f>
        <v>2299</v>
      </c>
      <c r="P910" s="2">
        <v>0.2</v>
      </c>
      <c r="Q910" s="1">
        <f>Table1[[#This Row],[Revenue]]*Table1[[#This Row],[VAT Rate]]</f>
        <v>459.8</v>
      </c>
      <c r="R910" s="1">
        <f>Table1[[#This Row],[Revenue]]+Table1[[#This Row],[VAT Charged]]</f>
        <v>2758.8</v>
      </c>
      <c r="S910" s="1" cm="1">
        <f t="array" ref="S910">_xlfn.SWITCH(Table1[[#This Row],[Product ID]],"P001",140,"P002",80,"P003",72,"P004",30,"P005",110,"P006",24,"P007",14,"P008",12,"P009",115,"P010",360)</f>
        <v>140</v>
      </c>
      <c r="T910" s="1" cm="1">
        <f t="array" ref="T910">(_xlfn.SWITCH(Table1[[#This Row],[Product ID]],"P001",140,"P002",80,"P003",72,"P004",30,"P005",110,"P006",24,"P007",14,"P008",12,"P009",115,"P010",360))*Table1[[#This Row],[Quantity]]</f>
        <v>1540</v>
      </c>
      <c r="U910" s="1" cm="1">
        <f t="array" ref="U910">_xlfn.SWITCH(Table1[[#This Row],[Product ID]],"P001",15,"P002",0,"P003",8,"P004",8,"P005",0,"P006",7,"P007",7,"P008",6,"P009",45,"P010",60)</f>
        <v>15</v>
      </c>
      <c r="V910" s="1">
        <f>Table1[[#This Row],[Shipping per Unit]]*Table1[[#This Row],[Quantity]]</f>
        <v>165</v>
      </c>
      <c r="W910" s="2">
        <f>IF(Table1[[#This Row],[Total Shipping]]&gt;0.1,0.2,0)</f>
        <v>0.2</v>
      </c>
      <c r="X910" s="4">
        <f>Table1[[#This Row],[Total Shipping]]*Table1[[#This Row],[VAT on Shipping]]</f>
        <v>33</v>
      </c>
      <c r="Y910" s="1">
        <f>Table1[[#This Row],[Revenue]]-Table1[[#This Row],[COGS]]</f>
        <v>759</v>
      </c>
      <c r="Z910" s="3">
        <f>(Table1[[#This Row],[Profit]]/Table1[[#This Row],[Revenue]])</f>
        <v>0.33014354066985646</v>
      </c>
      <c r="AA910" s="1">
        <f>Table1[[#This Row],[Profit]]-Table1[[#This Row],[Total Shipping]]</f>
        <v>594</v>
      </c>
      <c r="AB910" s="3">
        <f>Table1[[#This Row],[Operating Profit]]/Table1[[#This Row],[Revenue]]</f>
        <v>0.25837320574162681</v>
      </c>
    </row>
    <row r="911" spans="1:28" x14ac:dyDescent="0.25">
      <c r="A911" t="s">
        <v>393</v>
      </c>
      <c r="B911">
        <v>646</v>
      </c>
      <c r="C911" t="s">
        <v>65</v>
      </c>
      <c r="D911" t="s">
        <v>53</v>
      </c>
      <c r="E911" t="s">
        <v>31</v>
      </c>
      <c r="F911" t="s">
        <v>50</v>
      </c>
      <c r="G911" t="str" cm="1">
        <f t="array" ref="G911">_xlfn.SWITCH(F911,"Acme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911" t="s">
        <v>33</v>
      </c>
      <c r="I911" t="s">
        <v>55</v>
      </c>
      <c r="J911" t="str" cm="1">
        <f t="array" ref="J911">_xlfn.SWITCH(I911,"P001","Laptop","P002","Server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11" s="1" cm="1">
        <f t="array" ref="K911">_xlfn.SWITCH(Table1[[#This Row],[Product ID]],"P001",220,"P002",150,"P003",130,"P004",70,"P005",200,"P006",40,"P007",25,"P008",20,"P009",190,"P010",530)</f>
        <v>70</v>
      </c>
      <c r="L911">
        <v>2</v>
      </c>
      <c r="M911" s="1">
        <f>Table1[[#This Row],[Unit Price]]*Table1[[#This Row],[Quantity]]</f>
        <v>140</v>
      </c>
      <c r="N911" s="2">
        <v>0.04</v>
      </c>
      <c r="O911" s="1">
        <f>Table1[[#This Row],[Gross Value]]*(1-Table1[[#This Row],[Discount]])</f>
        <v>134.4</v>
      </c>
      <c r="P911" s="2">
        <v>0.2</v>
      </c>
      <c r="Q911" s="1">
        <f>Table1[[#This Row],[Revenue]]*Table1[[#This Row],[VAT Rate]]</f>
        <v>26.880000000000003</v>
      </c>
      <c r="R911" s="1">
        <f>Table1[[#This Row],[Revenue]]+Table1[[#This Row],[VAT Charged]]</f>
        <v>161.28</v>
      </c>
      <c r="S911" s="1" cm="1">
        <f t="array" ref="S911">_xlfn.SWITCH(Table1[[#This Row],[Product ID]],"P001",140,"P002",80,"P003",72,"P004",30,"P005",110,"P006",24,"P007",14,"P008",12,"P009",115,"P010",360)</f>
        <v>30</v>
      </c>
      <c r="T911" s="1" cm="1">
        <f t="array" ref="T911">(_xlfn.SWITCH(Table1[[#This Row],[Product ID]],"P001",140,"P002",80,"P003",72,"P004",30,"P005",110,"P006",24,"P007",14,"P008",12,"P009",115,"P010",360))*Table1[[#This Row],[Quantity]]</f>
        <v>60</v>
      </c>
      <c r="U911" s="1" cm="1">
        <f t="array" ref="U911">_xlfn.SWITCH(Table1[[#This Row],[Product ID]],"P001",15,"P002",0,"P003",8,"P004",8,"P005",0,"P006",7,"P007",7,"P008",6,"P009",45,"P010",60)</f>
        <v>8</v>
      </c>
      <c r="V911" s="1">
        <f>Table1[[#This Row],[Shipping per Unit]]*Table1[[#This Row],[Quantity]]</f>
        <v>16</v>
      </c>
      <c r="W911" s="2">
        <f>IF(Table1[[#This Row],[Total Shipping]]&gt;0.1,0.2,0)</f>
        <v>0.2</v>
      </c>
      <c r="X911" s="4">
        <f>Table1[[#This Row],[Total Shipping]]*Table1[[#This Row],[VAT on Shipping]]</f>
        <v>3.2</v>
      </c>
      <c r="Y911" s="1">
        <f>Table1[[#This Row],[Revenue]]-Table1[[#This Row],[COGS]]</f>
        <v>74.400000000000006</v>
      </c>
      <c r="Z911" s="3">
        <f>(Table1[[#This Row],[Profit]]/Table1[[#This Row],[Revenue]])</f>
        <v>0.5535714285714286</v>
      </c>
      <c r="AA911" s="1">
        <f>Table1[[#This Row],[Profit]]-Table1[[#This Row],[Total Shipping]]</f>
        <v>58.400000000000006</v>
      </c>
      <c r="AB911" s="3">
        <f>Table1[[#This Row],[Operating Profit]]/Table1[[#This Row],[Revenue]]</f>
        <v>0.43452380952380953</v>
      </c>
    </row>
    <row r="912" spans="1:28" x14ac:dyDescent="0.25">
      <c r="A912" t="s">
        <v>393</v>
      </c>
      <c r="B912">
        <v>737</v>
      </c>
      <c r="C912" t="s">
        <v>71</v>
      </c>
      <c r="D912" t="s">
        <v>39</v>
      </c>
      <c r="E912" t="s">
        <v>49</v>
      </c>
      <c r="F912" t="s">
        <v>76</v>
      </c>
      <c r="G912" t="str" cm="1">
        <f t="array" ref="G912">_xlfn.SWITCH(F912,"Acme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912" t="s">
        <v>58</v>
      </c>
      <c r="I912" t="s">
        <v>46</v>
      </c>
      <c r="J912" t="str" cm="1">
        <f t="array" ref="J912">_xlfn.SWITCH(I912,"P001","Laptop","P002","Server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12" s="1" cm="1">
        <f t="array" ref="K912">_xlfn.SWITCH(Table1[[#This Row],[Product ID]],"P001",220,"P002",150,"P003",130,"P004",70,"P005",200,"P006",40,"P007",25,"P008",20,"P009",190,"P010",530)</f>
        <v>530</v>
      </c>
      <c r="L912">
        <v>8</v>
      </c>
      <c r="M912" s="1">
        <f>Table1[[#This Row],[Unit Price]]*Table1[[#This Row],[Quantity]]</f>
        <v>4240</v>
      </c>
      <c r="N912" s="2">
        <v>0.02</v>
      </c>
      <c r="O912" s="1">
        <f>Table1[[#This Row],[Gross Value]]*(1-Table1[[#This Row],[Discount]])</f>
        <v>4155.2</v>
      </c>
      <c r="P912" s="2">
        <v>0.2</v>
      </c>
      <c r="Q912" s="1">
        <f>Table1[[#This Row],[Revenue]]*Table1[[#This Row],[VAT Rate]]</f>
        <v>831.04</v>
      </c>
      <c r="R912" s="1">
        <f>Table1[[#This Row],[Revenue]]+Table1[[#This Row],[VAT Charged]]</f>
        <v>4986.24</v>
      </c>
      <c r="S912" s="1" cm="1">
        <f t="array" ref="S912">_xlfn.SWITCH(Table1[[#This Row],[Product ID]],"P001",140,"P002",80,"P003",72,"P004",30,"P005",110,"P006",24,"P007",14,"P008",12,"P009",115,"P010",360)</f>
        <v>360</v>
      </c>
      <c r="T912" s="1" cm="1">
        <f t="array" ref="T912">(_xlfn.SWITCH(Table1[[#This Row],[Product ID]],"P001",140,"P002",80,"P003",72,"P004",30,"P005",110,"P006",24,"P007",14,"P008",12,"P009",115,"P010",360))*Table1[[#This Row],[Quantity]]</f>
        <v>2880</v>
      </c>
      <c r="U912" s="1" cm="1">
        <f t="array" ref="U912">_xlfn.SWITCH(Table1[[#This Row],[Product ID]],"P001",15,"P002",0,"P003",8,"P004",8,"P005",0,"P006",7,"P007",7,"P008",6,"P009",45,"P010",60)</f>
        <v>60</v>
      </c>
      <c r="V912" s="1">
        <f>Table1[[#This Row],[Shipping per Unit]]*Table1[[#This Row],[Quantity]]</f>
        <v>480</v>
      </c>
      <c r="W912" s="2">
        <f>IF(Table1[[#This Row],[Total Shipping]]&gt;0.1,0.2,0)</f>
        <v>0.2</v>
      </c>
      <c r="X912" s="4">
        <f>Table1[[#This Row],[Total Shipping]]*Table1[[#This Row],[VAT on Shipping]]</f>
        <v>96</v>
      </c>
      <c r="Y912" s="1">
        <f>Table1[[#This Row],[Revenue]]-Table1[[#This Row],[COGS]]</f>
        <v>1275.1999999999998</v>
      </c>
      <c r="Z912" s="3">
        <f>(Table1[[#This Row],[Profit]]/Table1[[#This Row],[Revenue]])</f>
        <v>0.30689256834809392</v>
      </c>
      <c r="AA912" s="1">
        <f>Table1[[#This Row],[Profit]]-Table1[[#This Row],[Total Shipping]]</f>
        <v>795.19999999999982</v>
      </c>
      <c r="AB912" s="3">
        <f>Table1[[#This Row],[Operating Profit]]/Table1[[#This Row],[Revenue]]</f>
        <v>0.19137466307277626</v>
      </c>
    </row>
    <row r="913" spans="1:28" x14ac:dyDescent="0.25">
      <c r="A913" t="s">
        <v>393</v>
      </c>
      <c r="B913">
        <v>994</v>
      </c>
      <c r="C913" t="s">
        <v>29</v>
      </c>
      <c r="D913" t="s">
        <v>72</v>
      </c>
      <c r="E913" t="s">
        <v>49</v>
      </c>
      <c r="F913" t="s">
        <v>119</v>
      </c>
      <c r="G913" t="str" cm="1">
        <f t="array" ref="G913">_xlfn.SWITCH(F913,"Acme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913" t="s">
        <v>33</v>
      </c>
      <c r="I913" t="s">
        <v>68</v>
      </c>
      <c r="J913" t="str" cm="1">
        <f t="array" ref="J913">_xlfn.SWITCH(I913,"P001","Laptop","P002","Server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13" s="1" cm="1">
        <f t="array" ref="K913">_xlfn.SWITCH(Table1[[#This Row],[Product ID]],"P001",220,"P002",150,"P003",130,"P004",70,"P005",200,"P006",40,"P007",25,"P008",20,"P009",190,"P010",530)</f>
        <v>220</v>
      </c>
      <c r="L913">
        <v>18</v>
      </c>
      <c r="M913" s="1">
        <f>Table1[[#This Row],[Unit Price]]*Table1[[#This Row],[Quantity]]</f>
        <v>3960</v>
      </c>
      <c r="N913" s="2">
        <v>0.03</v>
      </c>
      <c r="O913" s="1">
        <f>Table1[[#This Row],[Gross Value]]*(1-Table1[[#This Row],[Discount]])</f>
        <v>3841.2</v>
      </c>
      <c r="P913" s="2">
        <v>0.2</v>
      </c>
      <c r="Q913" s="1">
        <f>Table1[[#This Row],[Revenue]]*Table1[[#This Row],[VAT Rate]]</f>
        <v>768.24</v>
      </c>
      <c r="R913" s="1">
        <f>Table1[[#This Row],[Revenue]]+Table1[[#This Row],[VAT Charged]]</f>
        <v>4609.4399999999996</v>
      </c>
      <c r="S913" s="1" cm="1">
        <f t="array" ref="S913">_xlfn.SWITCH(Table1[[#This Row],[Product ID]],"P001",140,"P002",80,"P003",72,"P004",30,"P005",110,"P006",24,"P007",14,"P008",12,"P009",115,"P010",360)</f>
        <v>140</v>
      </c>
      <c r="T913" s="1" cm="1">
        <f t="array" ref="T913">(_xlfn.SWITCH(Table1[[#This Row],[Product ID]],"P001",140,"P002",80,"P003",72,"P004",30,"P005",110,"P006",24,"P007",14,"P008",12,"P009",115,"P010",360))*Table1[[#This Row],[Quantity]]</f>
        <v>2520</v>
      </c>
      <c r="U913" s="1" cm="1">
        <f t="array" ref="U913">_xlfn.SWITCH(Table1[[#This Row],[Product ID]],"P001",15,"P002",0,"P003",8,"P004",8,"P005",0,"P006",7,"P007",7,"P008",6,"P009",45,"P010",60)</f>
        <v>15</v>
      </c>
      <c r="V913" s="1">
        <f>Table1[[#This Row],[Shipping per Unit]]*Table1[[#This Row],[Quantity]]</f>
        <v>270</v>
      </c>
      <c r="W913" s="2">
        <f>IF(Table1[[#This Row],[Total Shipping]]&gt;0.1,0.2,0)</f>
        <v>0.2</v>
      </c>
      <c r="X913" s="4">
        <f>Table1[[#This Row],[Total Shipping]]*Table1[[#This Row],[VAT on Shipping]]</f>
        <v>54</v>
      </c>
      <c r="Y913" s="1">
        <f>Table1[[#This Row],[Revenue]]-Table1[[#This Row],[COGS]]</f>
        <v>1321.1999999999998</v>
      </c>
      <c r="Z913" s="3">
        <f>(Table1[[#This Row],[Profit]]/Table1[[#This Row],[Revenue]])</f>
        <v>0.3439550140581068</v>
      </c>
      <c r="AA913" s="1">
        <f>Table1[[#This Row],[Profit]]-Table1[[#This Row],[Total Shipping]]</f>
        <v>1051.1999999999998</v>
      </c>
      <c r="AB913" s="3">
        <f>Table1[[#This Row],[Operating Profit]]/Table1[[#This Row],[Revenue]]</f>
        <v>0.27366447985004683</v>
      </c>
    </row>
    <row r="914" spans="1:28" x14ac:dyDescent="0.25">
      <c r="A914" t="s">
        <v>394</v>
      </c>
      <c r="B914">
        <v>52</v>
      </c>
      <c r="C914" t="s">
        <v>83</v>
      </c>
      <c r="D914" t="s">
        <v>36</v>
      </c>
      <c r="E914" t="s">
        <v>31</v>
      </c>
      <c r="F914" t="s">
        <v>90</v>
      </c>
      <c r="G914" t="str" cm="1">
        <f t="array" ref="G914">_xlfn.SWITCH(F914,"Acme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914" t="s">
        <v>45</v>
      </c>
      <c r="I914" t="s">
        <v>68</v>
      </c>
      <c r="J914" t="str" cm="1">
        <f t="array" ref="J914">_xlfn.SWITCH(I914,"P001","Laptop","P002","Server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14" s="1" cm="1">
        <f t="array" ref="K914">_xlfn.SWITCH(Table1[[#This Row],[Product ID]],"P001",220,"P002",150,"P003",130,"P004",70,"P005",200,"P006",40,"P007",25,"P008",20,"P009",190,"P010",530)</f>
        <v>220</v>
      </c>
      <c r="L914">
        <v>13</v>
      </c>
      <c r="M914" s="1">
        <f>Table1[[#This Row],[Unit Price]]*Table1[[#This Row],[Quantity]]</f>
        <v>2860</v>
      </c>
      <c r="N914" s="2">
        <v>0.05</v>
      </c>
      <c r="O914" s="1">
        <f>Table1[[#This Row],[Gross Value]]*(1-Table1[[#This Row],[Discount]])</f>
        <v>2717</v>
      </c>
      <c r="P914" s="2">
        <v>0.2</v>
      </c>
      <c r="Q914" s="1">
        <f>Table1[[#This Row],[Revenue]]*Table1[[#This Row],[VAT Rate]]</f>
        <v>543.4</v>
      </c>
      <c r="R914" s="1">
        <f>Table1[[#This Row],[Revenue]]+Table1[[#This Row],[VAT Charged]]</f>
        <v>3260.4</v>
      </c>
      <c r="S914" s="1" cm="1">
        <f t="array" ref="S914">_xlfn.SWITCH(Table1[[#This Row],[Product ID]],"P001",140,"P002",80,"P003",72,"P004",30,"P005",110,"P006",24,"P007",14,"P008",12,"P009",115,"P010",360)</f>
        <v>140</v>
      </c>
      <c r="T914" s="1" cm="1">
        <f t="array" ref="T914">(_xlfn.SWITCH(Table1[[#This Row],[Product ID]],"P001",140,"P002",80,"P003",72,"P004",30,"P005",110,"P006",24,"P007",14,"P008",12,"P009",115,"P010",360))*Table1[[#This Row],[Quantity]]</f>
        <v>1820</v>
      </c>
      <c r="U914" s="1" cm="1">
        <f t="array" ref="U914">_xlfn.SWITCH(Table1[[#This Row],[Product ID]],"P001",15,"P002",0,"P003",8,"P004",8,"P005",0,"P006",7,"P007",7,"P008",6,"P009",45,"P010",60)</f>
        <v>15</v>
      </c>
      <c r="V914" s="1">
        <f>Table1[[#This Row],[Shipping per Unit]]*Table1[[#This Row],[Quantity]]</f>
        <v>195</v>
      </c>
      <c r="W914" s="2">
        <f>IF(Table1[[#This Row],[Total Shipping]]&gt;0.1,0.2,0)</f>
        <v>0.2</v>
      </c>
      <c r="X914" s="4">
        <f>Table1[[#This Row],[Total Shipping]]*Table1[[#This Row],[VAT on Shipping]]</f>
        <v>39</v>
      </c>
      <c r="Y914" s="1">
        <f>Table1[[#This Row],[Revenue]]-Table1[[#This Row],[COGS]]</f>
        <v>897</v>
      </c>
      <c r="Z914" s="3">
        <f>(Table1[[#This Row],[Profit]]/Table1[[#This Row],[Revenue]])</f>
        <v>0.33014354066985646</v>
      </c>
      <c r="AA914" s="1">
        <f>Table1[[#This Row],[Profit]]-Table1[[#This Row],[Total Shipping]]</f>
        <v>702</v>
      </c>
      <c r="AB914" s="3">
        <f>Table1[[#This Row],[Operating Profit]]/Table1[[#This Row],[Revenue]]</f>
        <v>0.25837320574162681</v>
      </c>
    </row>
    <row r="915" spans="1:28" x14ac:dyDescent="0.25">
      <c r="A915" t="s">
        <v>394</v>
      </c>
      <c r="B915">
        <v>329</v>
      </c>
      <c r="C915" t="s">
        <v>38</v>
      </c>
      <c r="D915" t="s">
        <v>30</v>
      </c>
      <c r="E915" t="s">
        <v>31</v>
      </c>
      <c r="F915" t="s">
        <v>32</v>
      </c>
      <c r="G915" t="str" cm="1">
        <f t="array" ref="G915">_xlfn.SWITCH(F915,"Acme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915" t="s">
        <v>104</v>
      </c>
      <c r="I915" t="s">
        <v>75</v>
      </c>
      <c r="J915" t="str" cm="1">
        <f t="array" ref="J915">_xlfn.SWITCH(I915,"P001","Laptop","P002","Server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15" s="1" cm="1">
        <f t="array" ref="K915">_xlfn.SWITCH(Table1[[#This Row],[Product ID]],"P001",220,"P002",150,"P003",130,"P004",70,"P005",200,"P006",40,"P007",25,"P008",20,"P009",190,"P010",530)</f>
        <v>200</v>
      </c>
      <c r="L915">
        <v>3</v>
      </c>
      <c r="M915" s="1">
        <f>Table1[[#This Row],[Unit Price]]*Table1[[#This Row],[Quantity]]</f>
        <v>600</v>
      </c>
      <c r="N915" s="2">
        <v>0.06</v>
      </c>
      <c r="O915" s="1">
        <f>Table1[[#This Row],[Gross Value]]*(1-Table1[[#This Row],[Discount]])</f>
        <v>564</v>
      </c>
      <c r="P915" s="2">
        <v>0.2</v>
      </c>
      <c r="Q915" s="1">
        <f>Table1[[#This Row],[Revenue]]*Table1[[#This Row],[VAT Rate]]</f>
        <v>112.80000000000001</v>
      </c>
      <c r="R915" s="1">
        <f>Table1[[#This Row],[Revenue]]+Table1[[#This Row],[VAT Charged]]</f>
        <v>676.8</v>
      </c>
      <c r="S915" s="1" cm="1">
        <f t="array" ref="S915">_xlfn.SWITCH(Table1[[#This Row],[Product ID]],"P001",140,"P002",80,"P003",72,"P004",30,"P005",110,"P006",24,"P007",14,"P008",12,"P009",115,"P010",360)</f>
        <v>110</v>
      </c>
      <c r="T915" s="1" cm="1">
        <f t="array" ref="T915">(_xlfn.SWITCH(Table1[[#This Row],[Product ID]],"P001",140,"P002",80,"P003",72,"P004",30,"P005",110,"P006",24,"P007",14,"P008",12,"P009",115,"P010",360))*Table1[[#This Row],[Quantity]]</f>
        <v>330</v>
      </c>
      <c r="U915" s="1" cm="1">
        <f t="array" ref="U915">_xlfn.SWITCH(Table1[[#This Row],[Product ID]],"P001",15,"P002",0,"P003",8,"P004",8,"P005",0,"P006",7,"P007",7,"P008",6,"P009",45,"P010",60)</f>
        <v>0</v>
      </c>
      <c r="V915" s="1">
        <f>Table1[[#This Row],[Shipping per Unit]]*Table1[[#This Row],[Quantity]]</f>
        <v>0</v>
      </c>
      <c r="W915" s="2">
        <f>IF(Table1[[#This Row],[Total Shipping]]&gt;0.1,0.2,0)</f>
        <v>0</v>
      </c>
      <c r="X915" s="4">
        <f>Table1[[#This Row],[Total Shipping]]*Table1[[#This Row],[VAT on Shipping]]</f>
        <v>0</v>
      </c>
      <c r="Y915" s="1">
        <f>Table1[[#This Row],[Revenue]]-Table1[[#This Row],[COGS]]</f>
        <v>234</v>
      </c>
      <c r="Z915" s="3">
        <f>(Table1[[#This Row],[Profit]]/Table1[[#This Row],[Revenue]])</f>
        <v>0.41489361702127658</v>
      </c>
      <c r="AA915" s="1">
        <f>Table1[[#This Row],[Profit]]-Table1[[#This Row],[Total Shipping]]</f>
        <v>234</v>
      </c>
      <c r="AB915" s="3">
        <f>Table1[[#This Row],[Operating Profit]]/Table1[[#This Row],[Revenue]]</f>
        <v>0.41489361702127658</v>
      </c>
    </row>
    <row r="916" spans="1:28" x14ac:dyDescent="0.25">
      <c r="A916" t="s">
        <v>395</v>
      </c>
      <c r="B916">
        <v>450</v>
      </c>
      <c r="C916" t="s">
        <v>56</v>
      </c>
      <c r="D916" t="s">
        <v>95</v>
      </c>
      <c r="E916" t="s">
        <v>49</v>
      </c>
      <c r="F916" t="s">
        <v>126</v>
      </c>
      <c r="G916" t="str" cm="1">
        <f t="array" ref="G916">_xlfn.SWITCH(F916,"Acme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916" t="s">
        <v>33</v>
      </c>
      <c r="I916" t="s">
        <v>42</v>
      </c>
      <c r="J916" t="str" cm="1">
        <f t="array" ref="J916">_xlfn.SWITCH(I916,"P001","Laptop","P002","Server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16" s="1" cm="1">
        <f t="array" ref="K916">_xlfn.SWITCH(Table1[[#This Row],[Product ID]],"P001",220,"P002",150,"P003",130,"P004",70,"P005",200,"P006",40,"P007",25,"P008",20,"P009",190,"P010",530)</f>
        <v>40</v>
      </c>
      <c r="L916">
        <v>5</v>
      </c>
      <c r="M916" s="1">
        <f>Table1[[#This Row],[Unit Price]]*Table1[[#This Row],[Quantity]]</f>
        <v>200</v>
      </c>
      <c r="N916" s="2">
        <v>0.08</v>
      </c>
      <c r="O916" s="1">
        <f>Table1[[#This Row],[Gross Value]]*(1-Table1[[#This Row],[Discount]])</f>
        <v>184</v>
      </c>
      <c r="P916" s="2">
        <v>0.2</v>
      </c>
      <c r="Q916" s="1">
        <f>Table1[[#This Row],[Revenue]]*Table1[[#This Row],[VAT Rate]]</f>
        <v>36.800000000000004</v>
      </c>
      <c r="R916" s="1">
        <f>Table1[[#This Row],[Revenue]]+Table1[[#This Row],[VAT Charged]]</f>
        <v>220.8</v>
      </c>
      <c r="S916" s="1" cm="1">
        <f t="array" ref="S916">_xlfn.SWITCH(Table1[[#This Row],[Product ID]],"P001",140,"P002",80,"P003",72,"P004",30,"P005",110,"P006",24,"P007",14,"P008",12,"P009",115,"P010",360)</f>
        <v>24</v>
      </c>
      <c r="T916" s="1" cm="1">
        <f t="array" ref="T916">(_xlfn.SWITCH(Table1[[#This Row],[Product ID]],"P001",140,"P002",80,"P003",72,"P004",30,"P005",110,"P006",24,"P007",14,"P008",12,"P009",115,"P010",360))*Table1[[#This Row],[Quantity]]</f>
        <v>120</v>
      </c>
      <c r="U916" s="1" cm="1">
        <f t="array" ref="U916">_xlfn.SWITCH(Table1[[#This Row],[Product ID]],"P001",15,"P002",0,"P003",8,"P004",8,"P005",0,"P006",7,"P007",7,"P008",6,"P009",45,"P010",60)</f>
        <v>7</v>
      </c>
      <c r="V916" s="1">
        <f>Table1[[#This Row],[Shipping per Unit]]*Table1[[#This Row],[Quantity]]</f>
        <v>35</v>
      </c>
      <c r="W916" s="2">
        <f>IF(Table1[[#This Row],[Total Shipping]]&gt;0.1,0.2,0)</f>
        <v>0.2</v>
      </c>
      <c r="X916" s="4">
        <f>Table1[[#This Row],[Total Shipping]]*Table1[[#This Row],[VAT on Shipping]]</f>
        <v>7</v>
      </c>
      <c r="Y916" s="1">
        <f>Table1[[#This Row],[Revenue]]-Table1[[#This Row],[COGS]]</f>
        <v>64</v>
      </c>
      <c r="Z916" s="3">
        <f>(Table1[[#This Row],[Profit]]/Table1[[#This Row],[Revenue]])</f>
        <v>0.34782608695652173</v>
      </c>
      <c r="AA916" s="1">
        <f>Table1[[#This Row],[Profit]]-Table1[[#This Row],[Total Shipping]]</f>
        <v>29</v>
      </c>
      <c r="AB916" s="3">
        <f>Table1[[#This Row],[Operating Profit]]/Table1[[#This Row],[Revenue]]</f>
        <v>0.15760869565217392</v>
      </c>
    </row>
    <row r="917" spans="1:28" x14ac:dyDescent="0.25">
      <c r="A917" t="s">
        <v>395</v>
      </c>
      <c r="B917">
        <v>462</v>
      </c>
      <c r="C917" t="s">
        <v>83</v>
      </c>
      <c r="D917" t="s">
        <v>57</v>
      </c>
      <c r="E917" t="s">
        <v>40</v>
      </c>
      <c r="F917" t="s">
        <v>64</v>
      </c>
      <c r="G917" t="str" cm="1">
        <f t="array" ref="G917">_xlfn.SWITCH(F917,"Acme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917" t="s">
        <v>104</v>
      </c>
      <c r="I917" t="s">
        <v>52</v>
      </c>
      <c r="J917" t="str" cm="1">
        <f t="array" ref="J917">_xlfn.SWITCH(I917,"P001","Laptop","P002","Server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17" s="1" cm="1">
        <f t="array" ref="K917">_xlfn.SWITCH(Table1[[#This Row],[Product ID]],"P001",220,"P002",150,"P003",130,"P004",70,"P005",200,"P006",40,"P007",25,"P008",20,"P009",190,"P010",530)</f>
        <v>130</v>
      </c>
      <c r="L917">
        <v>16</v>
      </c>
      <c r="M917" s="1">
        <f>Table1[[#This Row],[Unit Price]]*Table1[[#This Row],[Quantity]]</f>
        <v>2080</v>
      </c>
      <c r="N917" s="2">
        <v>0.05</v>
      </c>
      <c r="O917" s="1">
        <f>Table1[[#This Row],[Gross Value]]*(1-Table1[[#This Row],[Discount]])</f>
        <v>1976</v>
      </c>
      <c r="P917" s="2">
        <v>0.2</v>
      </c>
      <c r="Q917" s="1">
        <f>Table1[[#This Row],[Revenue]]*Table1[[#This Row],[VAT Rate]]</f>
        <v>395.20000000000005</v>
      </c>
      <c r="R917" s="1">
        <f>Table1[[#This Row],[Revenue]]+Table1[[#This Row],[VAT Charged]]</f>
        <v>2371.1999999999998</v>
      </c>
      <c r="S917" s="1" cm="1">
        <f t="array" ref="S917">_xlfn.SWITCH(Table1[[#This Row],[Product ID]],"P001",140,"P002",80,"P003",72,"P004",30,"P005",110,"P006",24,"P007",14,"P008",12,"P009",115,"P010",360)</f>
        <v>72</v>
      </c>
      <c r="T917" s="1" cm="1">
        <f t="array" ref="T917">(_xlfn.SWITCH(Table1[[#This Row],[Product ID]],"P001",140,"P002",80,"P003",72,"P004",30,"P005",110,"P006",24,"P007",14,"P008",12,"P009",115,"P010",360))*Table1[[#This Row],[Quantity]]</f>
        <v>1152</v>
      </c>
      <c r="U917" s="1" cm="1">
        <f t="array" ref="U917">_xlfn.SWITCH(Table1[[#This Row],[Product ID]],"P001",15,"P002",0,"P003",8,"P004",8,"P005",0,"P006",7,"P007",7,"P008",6,"P009",45,"P010",60)</f>
        <v>8</v>
      </c>
      <c r="V917" s="1">
        <f>Table1[[#This Row],[Shipping per Unit]]*Table1[[#This Row],[Quantity]]</f>
        <v>128</v>
      </c>
      <c r="W917" s="2">
        <f>IF(Table1[[#This Row],[Total Shipping]]&gt;0.1,0.2,0)</f>
        <v>0.2</v>
      </c>
      <c r="X917" s="4">
        <f>Table1[[#This Row],[Total Shipping]]*Table1[[#This Row],[VAT on Shipping]]</f>
        <v>25.6</v>
      </c>
      <c r="Y917" s="1">
        <f>Table1[[#This Row],[Revenue]]-Table1[[#This Row],[COGS]]</f>
        <v>824</v>
      </c>
      <c r="Z917" s="3">
        <f>(Table1[[#This Row],[Profit]]/Table1[[#This Row],[Revenue]])</f>
        <v>0.41700404858299595</v>
      </c>
      <c r="AA917" s="1">
        <f>Table1[[#This Row],[Profit]]-Table1[[#This Row],[Total Shipping]]</f>
        <v>696</v>
      </c>
      <c r="AB917" s="3">
        <f>Table1[[#This Row],[Operating Profit]]/Table1[[#This Row],[Revenue]]</f>
        <v>0.35222672064777327</v>
      </c>
    </row>
    <row r="918" spans="1:28" x14ac:dyDescent="0.25">
      <c r="A918" t="s">
        <v>395</v>
      </c>
      <c r="B918">
        <v>870</v>
      </c>
      <c r="C918" t="s">
        <v>35</v>
      </c>
      <c r="D918" t="s">
        <v>67</v>
      </c>
      <c r="E918" t="s">
        <v>31</v>
      </c>
      <c r="F918" t="s">
        <v>103</v>
      </c>
      <c r="G918" t="str" cm="1">
        <f t="array" ref="G918">_xlfn.SWITCH(F918,"Acme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918" t="s">
        <v>33</v>
      </c>
      <c r="I918" t="s">
        <v>68</v>
      </c>
      <c r="J918" t="str" cm="1">
        <f t="array" ref="J918">_xlfn.SWITCH(I918,"P001","Laptop","P002","Server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18" s="1" cm="1">
        <f t="array" ref="K918">_xlfn.SWITCH(Table1[[#This Row],[Product ID]],"P001",220,"P002",150,"P003",130,"P004",70,"P005",200,"P006",40,"P007",25,"P008",20,"P009",190,"P010",530)</f>
        <v>220</v>
      </c>
      <c r="L918">
        <v>7</v>
      </c>
      <c r="M918" s="1">
        <f>Table1[[#This Row],[Unit Price]]*Table1[[#This Row],[Quantity]]</f>
        <v>1540</v>
      </c>
      <c r="N918" s="2">
        <v>0.03</v>
      </c>
      <c r="O918" s="1">
        <f>Table1[[#This Row],[Gross Value]]*(1-Table1[[#This Row],[Discount]])</f>
        <v>1493.8</v>
      </c>
      <c r="P918" s="2">
        <v>0.2</v>
      </c>
      <c r="Q918" s="1">
        <f>Table1[[#This Row],[Revenue]]*Table1[[#This Row],[VAT Rate]]</f>
        <v>298.76</v>
      </c>
      <c r="R918" s="1">
        <f>Table1[[#This Row],[Revenue]]+Table1[[#This Row],[VAT Charged]]</f>
        <v>1792.56</v>
      </c>
      <c r="S918" s="1" cm="1">
        <f t="array" ref="S918">_xlfn.SWITCH(Table1[[#This Row],[Product ID]],"P001",140,"P002",80,"P003",72,"P004",30,"P005",110,"P006",24,"P007",14,"P008",12,"P009",115,"P010",360)</f>
        <v>140</v>
      </c>
      <c r="T918" s="1" cm="1">
        <f t="array" ref="T918">(_xlfn.SWITCH(Table1[[#This Row],[Product ID]],"P001",140,"P002",80,"P003",72,"P004",30,"P005",110,"P006",24,"P007",14,"P008",12,"P009",115,"P010",360))*Table1[[#This Row],[Quantity]]</f>
        <v>980</v>
      </c>
      <c r="U918" s="1" cm="1">
        <f t="array" ref="U918">_xlfn.SWITCH(Table1[[#This Row],[Product ID]],"P001",15,"P002",0,"P003",8,"P004",8,"P005",0,"P006",7,"P007",7,"P008",6,"P009",45,"P010",60)</f>
        <v>15</v>
      </c>
      <c r="V918" s="1">
        <f>Table1[[#This Row],[Shipping per Unit]]*Table1[[#This Row],[Quantity]]</f>
        <v>105</v>
      </c>
      <c r="W918" s="2">
        <f>IF(Table1[[#This Row],[Total Shipping]]&gt;0.1,0.2,0)</f>
        <v>0.2</v>
      </c>
      <c r="X918" s="4">
        <f>Table1[[#This Row],[Total Shipping]]*Table1[[#This Row],[VAT on Shipping]]</f>
        <v>21</v>
      </c>
      <c r="Y918" s="1">
        <f>Table1[[#This Row],[Revenue]]-Table1[[#This Row],[COGS]]</f>
        <v>513.79999999999995</v>
      </c>
      <c r="Z918" s="3">
        <f>(Table1[[#This Row],[Profit]]/Table1[[#This Row],[Revenue]])</f>
        <v>0.3439550140581068</v>
      </c>
      <c r="AA918" s="1">
        <f>Table1[[#This Row],[Profit]]-Table1[[#This Row],[Total Shipping]]</f>
        <v>408.79999999999995</v>
      </c>
      <c r="AB918" s="3">
        <f>Table1[[#This Row],[Operating Profit]]/Table1[[#This Row],[Revenue]]</f>
        <v>0.27366447985004683</v>
      </c>
    </row>
    <row r="919" spans="1:28" x14ac:dyDescent="0.25">
      <c r="A919" t="s">
        <v>395</v>
      </c>
      <c r="B919">
        <v>895</v>
      </c>
      <c r="C919" t="s">
        <v>56</v>
      </c>
      <c r="D919" t="s">
        <v>53</v>
      </c>
      <c r="E919" t="s">
        <v>31</v>
      </c>
      <c r="F919" t="s">
        <v>78</v>
      </c>
      <c r="G919" t="str" cm="1">
        <f t="array" ref="G919">_xlfn.SWITCH(F919,"Acme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919" t="s">
        <v>51</v>
      </c>
      <c r="I919" t="s">
        <v>42</v>
      </c>
      <c r="J919" t="str" cm="1">
        <f t="array" ref="J919">_xlfn.SWITCH(I919,"P001","Laptop","P002","Server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19" s="1" cm="1">
        <f t="array" ref="K919">_xlfn.SWITCH(Table1[[#This Row],[Product ID]],"P001",220,"P002",150,"P003",130,"P004",70,"P005",200,"P006",40,"P007",25,"P008",20,"P009",190,"P010",530)</f>
        <v>40</v>
      </c>
      <c r="L919">
        <v>6</v>
      </c>
      <c r="M919" s="1">
        <f>Table1[[#This Row],[Unit Price]]*Table1[[#This Row],[Quantity]]</f>
        <v>240</v>
      </c>
      <c r="N919" s="2">
        <v>0.03</v>
      </c>
      <c r="O919" s="1">
        <f>Table1[[#This Row],[Gross Value]]*(1-Table1[[#This Row],[Discount]])</f>
        <v>232.79999999999998</v>
      </c>
      <c r="P919" s="2">
        <v>0.2</v>
      </c>
      <c r="Q919" s="1">
        <f>Table1[[#This Row],[Revenue]]*Table1[[#This Row],[VAT Rate]]</f>
        <v>46.56</v>
      </c>
      <c r="R919" s="1">
        <f>Table1[[#This Row],[Revenue]]+Table1[[#This Row],[VAT Charged]]</f>
        <v>279.36</v>
      </c>
      <c r="S919" s="1" cm="1">
        <f t="array" ref="S919">_xlfn.SWITCH(Table1[[#This Row],[Product ID]],"P001",140,"P002",80,"P003",72,"P004",30,"P005",110,"P006",24,"P007",14,"P008",12,"P009",115,"P010",360)</f>
        <v>24</v>
      </c>
      <c r="T919" s="1" cm="1">
        <f t="array" ref="T919">(_xlfn.SWITCH(Table1[[#This Row],[Product ID]],"P001",140,"P002",80,"P003",72,"P004",30,"P005",110,"P006",24,"P007",14,"P008",12,"P009",115,"P010",360))*Table1[[#This Row],[Quantity]]</f>
        <v>144</v>
      </c>
      <c r="U919" s="1" cm="1">
        <f t="array" ref="U919">_xlfn.SWITCH(Table1[[#This Row],[Product ID]],"P001",15,"P002",0,"P003",8,"P004",8,"P005",0,"P006",7,"P007",7,"P008",6,"P009",45,"P010",60)</f>
        <v>7</v>
      </c>
      <c r="V919" s="1">
        <f>Table1[[#This Row],[Shipping per Unit]]*Table1[[#This Row],[Quantity]]</f>
        <v>42</v>
      </c>
      <c r="W919" s="2">
        <f>IF(Table1[[#This Row],[Total Shipping]]&gt;0.1,0.2,0)</f>
        <v>0.2</v>
      </c>
      <c r="X919" s="4">
        <f>Table1[[#This Row],[Total Shipping]]*Table1[[#This Row],[VAT on Shipping]]</f>
        <v>8.4</v>
      </c>
      <c r="Y919" s="1">
        <f>Table1[[#This Row],[Revenue]]-Table1[[#This Row],[COGS]]</f>
        <v>88.799999999999983</v>
      </c>
      <c r="Z919" s="3">
        <f>(Table1[[#This Row],[Profit]]/Table1[[#This Row],[Revenue]])</f>
        <v>0.38144329896907214</v>
      </c>
      <c r="AA919" s="1">
        <f>Table1[[#This Row],[Profit]]-Table1[[#This Row],[Total Shipping]]</f>
        <v>46.799999999999983</v>
      </c>
      <c r="AB919" s="3">
        <f>Table1[[#This Row],[Operating Profit]]/Table1[[#This Row],[Revenue]]</f>
        <v>0.2010309278350515</v>
      </c>
    </row>
    <row r="920" spans="1:28" x14ac:dyDescent="0.25">
      <c r="A920" t="s">
        <v>396</v>
      </c>
      <c r="B920">
        <v>607</v>
      </c>
      <c r="C920" t="s">
        <v>83</v>
      </c>
      <c r="D920" t="s">
        <v>67</v>
      </c>
      <c r="E920" t="s">
        <v>40</v>
      </c>
      <c r="F920" t="s">
        <v>54</v>
      </c>
      <c r="G920" t="str" cm="1">
        <f t="array" ref="G920">_xlfn.SWITCH(F920,"Acme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920" t="s">
        <v>33</v>
      </c>
      <c r="I920" t="s">
        <v>52</v>
      </c>
      <c r="J920" t="str" cm="1">
        <f t="array" ref="J920">_xlfn.SWITCH(I920,"P001","Laptop","P002","Server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20" s="1" cm="1">
        <f t="array" ref="K920">_xlfn.SWITCH(Table1[[#This Row],[Product ID]],"P001",220,"P002",150,"P003",130,"P004",70,"P005",200,"P006",40,"P007",25,"P008",20,"P009",190,"P010",530)</f>
        <v>130</v>
      </c>
      <c r="L920">
        <v>2</v>
      </c>
      <c r="M920" s="1">
        <f>Table1[[#This Row],[Unit Price]]*Table1[[#This Row],[Quantity]]</f>
        <v>260</v>
      </c>
      <c r="N920" s="2">
        <v>0.08</v>
      </c>
      <c r="O920" s="1">
        <f>Table1[[#This Row],[Gross Value]]*(1-Table1[[#This Row],[Discount]])</f>
        <v>239.20000000000002</v>
      </c>
      <c r="P920" s="2">
        <v>0.2</v>
      </c>
      <c r="Q920" s="1">
        <f>Table1[[#This Row],[Revenue]]*Table1[[#This Row],[VAT Rate]]</f>
        <v>47.84</v>
      </c>
      <c r="R920" s="1">
        <f>Table1[[#This Row],[Revenue]]+Table1[[#This Row],[VAT Charged]]</f>
        <v>287.04000000000002</v>
      </c>
      <c r="S920" s="1" cm="1">
        <f t="array" ref="S920">_xlfn.SWITCH(Table1[[#This Row],[Product ID]],"P001",140,"P002",80,"P003",72,"P004",30,"P005",110,"P006",24,"P007",14,"P008",12,"P009",115,"P010",360)</f>
        <v>72</v>
      </c>
      <c r="T920" s="1" cm="1">
        <f t="array" ref="T920">(_xlfn.SWITCH(Table1[[#This Row],[Product ID]],"P001",140,"P002",80,"P003",72,"P004",30,"P005",110,"P006",24,"P007",14,"P008",12,"P009",115,"P010",360))*Table1[[#This Row],[Quantity]]</f>
        <v>144</v>
      </c>
      <c r="U920" s="1" cm="1">
        <f t="array" ref="U920">_xlfn.SWITCH(Table1[[#This Row],[Product ID]],"P001",15,"P002",0,"P003",8,"P004",8,"P005",0,"P006",7,"P007",7,"P008",6,"P009",45,"P010",60)</f>
        <v>8</v>
      </c>
      <c r="V920" s="1">
        <f>Table1[[#This Row],[Shipping per Unit]]*Table1[[#This Row],[Quantity]]</f>
        <v>16</v>
      </c>
      <c r="W920" s="2">
        <f>IF(Table1[[#This Row],[Total Shipping]]&gt;0.1,0.2,0)</f>
        <v>0.2</v>
      </c>
      <c r="X920" s="4">
        <f>Table1[[#This Row],[Total Shipping]]*Table1[[#This Row],[VAT on Shipping]]</f>
        <v>3.2</v>
      </c>
      <c r="Y920" s="1">
        <f>Table1[[#This Row],[Revenue]]-Table1[[#This Row],[COGS]]</f>
        <v>95.200000000000017</v>
      </c>
      <c r="Z920" s="3">
        <f>(Table1[[#This Row],[Profit]]/Table1[[#This Row],[Revenue]])</f>
        <v>0.39799331103678937</v>
      </c>
      <c r="AA920" s="1">
        <f>Table1[[#This Row],[Profit]]-Table1[[#This Row],[Total Shipping]]</f>
        <v>79.200000000000017</v>
      </c>
      <c r="AB920" s="3">
        <f>Table1[[#This Row],[Operating Profit]]/Table1[[#This Row],[Revenue]]</f>
        <v>0.33110367892976594</v>
      </c>
    </row>
    <row r="921" spans="1:28" x14ac:dyDescent="0.25">
      <c r="A921" t="s">
        <v>397</v>
      </c>
      <c r="B921">
        <v>429</v>
      </c>
      <c r="C921" t="s">
        <v>56</v>
      </c>
      <c r="D921" t="s">
        <v>39</v>
      </c>
      <c r="E921" t="s">
        <v>49</v>
      </c>
      <c r="F921" t="s">
        <v>86</v>
      </c>
      <c r="G921" t="str" cm="1">
        <f t="array" ref="G921">_xlfn.SWITCH(F921,"Acme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21" t="s">
        <v>33</v>
      </c>
      <c r="I921" t="s">
        <v>34</v>
      </c>
      <c r="J921" t="str" cm="1">
        <f t="array" ref="J921">_xlfn.SWITCH(I921,"P001","Laptop","P002","Server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921" s="1" cm="1">
        <f t="array" ref="K921">_xlfn.SWITCH(Table1[[#This Row],[Product ID]],"P001",220,"P002",150,"P003",130,"P004",70,"P005",200,"P006",40,"P007",25,"P008",20,"P009",190,"P010",530)</f>
        <v>20</v>
      </c>
      <c r="L921">
        <v>16</v>
      </c>
      <c r="M921" s="1">
        <f>Table1[[#This Row],[Unit Price]]*Table1[[#This Row],[Quantity]]</f>
        <v>320</v>
      </c>
      <c r="N921" s="2">
        <v>0.04</v>
      </c>
      <c r="O921" s="1">
        <f>Table1[[#This Row],[Gross Value]]*(1-Table1[[#This Row],[Discount]])</f>
        <v>307.2</v>
      </c>
      <c r="P921" s="2">
        <v>0.2</v>
      </c>
      <c r="Q921" s="1">
        <f>Table1[[#This Row],[Revenue]]*Table1[[#This Row],[VAT Rate]]</f>
        <v>61.44</v>
      </c>
      <c r="R921" s="1">
        <f>Table1[[#This Row],[Revenue]]+Table1[[#This Row],[VAT Charged]]</f>
        <v>368.64</v>
      </c>
      <c r="S921" s="1" cm="1">
        <f t="array" ref="S921">_xlfn.SWITCH(Table1[[#This Row],[Product ID]],"P001",140,"P002",80,"P003",72,"P004",30,"P005",110,"P006",24,"P007",14,"P008",12,"P009",115,"P010",360)</f>
        <v>12</v>
      </c>
      <c r="T921" s="1" cm="1">
        <f t="array" ref="T921">(_xlfn.SWITCH(Table1[[#This Row],[Product ID]],"P001",140,"P002",80,"P003",72,"P004",30,"P005",110,"P006",24,"P007",14,"P008",12,"P009",115,"P010",360))*Table1[[#This Row],[Quantity]]</f>
        <v>192</v>
      </c>
      <c r="U921" s="1" cm="1">
        <f t="array" ref="U921">_xlfn.SWITCH(Table1[[#This Row],[Product ID]],"P001",15,"P002",0,"P003",8,"P004",8,"P005",0,"P006",7,"P007",7,"P008",6,"P009",45,"P010",60)</f>
        <v>6</v>
      </c>
      <c r="V921" s="1">
        <f>Table1[[#This Row],[Shipping per Unit]]*Table1[[#This Row],[Quantity]]</f>
        <v>96</v>
      </c>
      <c r="W921" s="2">
        <f>IF(Table1[[#This Row],[Total Shipping]]&gt;0.1,0.2,0)</f>
        <v>0.2</v>
      </c>
      <c r="X921" s="4">
        <f>Table1[[#This Row],[Total Shipping]]*Table1[[#This Row],[VAT on Shipping]]</f>
        <v>19.200000000000003</v>
      </c>
      <c r="Y921" s="1">
        <f>Table1[[#This Row],[Revenue]]-Table1[[#This Row],[COGS]]</f>
        <v>115.19999999999999</v>
      </c>
      <c r="Z921" s="3">
        <f>(Table1[[#This Row],[Profit]]/Table1[[#This Row],[Revenue]])</f>
        <v>0.375</v>
      </c>
      <c r="AA921" s="1">
        <f>Table1[[#This Row],[Profit]]-Table1[[#This Row],[Total Shipping]]</f>
        <v>19.199999999999989</v>
      </c>
      <c r="AB921" s="3">
        <f>Table1[[#This Row],[Operating Profit]]/Table1[[#This Row],[Revenue]]</f>
        <v>6.2499999999999965E-2</v>
      </c>
    </row>
    <row r="922" spans="1:28" x14ac:dyDescent="0.25">
      <c r="A922" t="s">
        <v>398</v>
      </c>
      <c r="B922">
        <v>183</v>
      </c>
      <c r="C922" t="s">
        <v>65</v>
      </c>
      <c r="D922" t="s">
        <v>48</v>
      </c>
      <c r="E922" t="s">
        <v>31</v>
      </c>
      <c r="F922" t="s">
        <v>37</v>
      </c>
      <c r="G922" t="str" cm="1">
        <f t="array" ref="G922">_xlfn.SWITCH(F922,"Acme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22" t="s">
        <v>33</v>
      </c>
      <c r="I922" t="s">
        <v>46</v>
      </c>
      <c r="J922" t="str" cm="1">
        <f t="array" ref="J922">_xlfn.SWITCH(I922,"P001","Laptop","P002","Server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22" s="1" cm="1">
        <f t="array" ref="K922">_xlfn.SWITCH(Table1[[#This Row],[Product ID]],"P001",220,"P002",150,"P003",130,"P004",70,"P005",200,"P006",40,"P007",25,"P008",20,"P009",190,"P010",530)</f>
        <v>530</v>
      </c>
      <c r="L922">
        <v>14</v>
      </c>
      <c r="M922" s="1">
        <f>Table1[[#This Row],[Unit Price]]*Table1[[#This Row],[Quantity]]</f>
        <v>7420</v>
      </c>
      <c r="N922" s="2">
        <v>0.05</v>
      </c>
      <c r="O922" s="1">
        <f>Table1[[#This Row],[Gross Value]]*(1-Table1[[#This Row],[Discount]])</f>
        <v>7049</v>
      </c>
      <c r="P922" s="2">
        <v>0.2</v>
      </c>
      <c r="Q922" s="1">
        <f>Table1[[#This Row],[Revenue]]*Table1[[#This Row],[VAT Rate]]</f>
        <v>1409.8000000000002</v>
      </c>
      <c r="R922" s="1">
        <f>Table1[[#This Row],[Revenue]]+Table1[[#This Row],[VAT Charged]]</f>
        <v>8458.7999999999993</v>
      </c>
      <c r="S922" s="1" cm="1">
        <f t="array" ref="S922">_xlfn.SWITCH(Table1[[#This Row],[Product ID]],"P001",140,"P002",80,"P003",72,"P004",30,"P005",110,"P006",24,"P007",14,"P008",12,"P009",115,"P010",360)</f>
        <v>360</v>
      </c>
      <c r="T922" s="1" cm="1">
        <f t="array" ref="T922">(_xlfn.SWITCH(Table1[[#This Row],[Product ID]],"P001",140,"P002",80,"P003",72,"P004",30,"P005",110,"P006",24,"P007",14,"P008",12,"P009",115,"P010",360))*Table1[[#This Row],[Quantity]]</f>
        <v>5040</v>
      </c>
      <c r="U922" s="1" cm="1">
        <f t="array" ref="U922">_xlfn.SWITCH(Table1[[#This Row],[Product ID]],"P001",15,"P002",0,"P003",8,"P004",8,"P005",0,"P006",7,"P007",7,"P008",6,"P009",45,"P010",60)</f>
        <v>60</v>
      </c>
      <c r="V922" s="1">
        <f>Table1[[#This Row],[Shipping per Unit]]*Table1[[#This Row],[Quantity]]</f>
        <v>840</v>
      </c>
      <c r="W922" s="2">
        <f>IF(Table1[[#This Row],[Total Shipping]]&gt;0.1,0.2,0)</f>
        <v>0.2</v>
      </c>
      <c r="X922" s="4">
        <f>Table1[[#This Row],[Total Shipping]]*Table1[[#This Row],[VAT on Shipping]]</f>
        <v>168</v>
      </c>
      <c r="Y922" s="1">
        <f>Table1[[#This Row],[Revenue]]-Table1[[#This Row],[COGS]]</f>
        <v>2009</v>
      </c>
      <c r="Z922" s="3">
        <f>(Table1[[#This Row],[Profit]]/Table1[[#This Row],[Revenue]])</f>
        <v>0.28500496524329694</v>
      </c>
      <c r="AA922" s="1">
        <f>Table1[[#This Row],[Profit]]-Table1[[#This Row],[Total Shipping]]</f>
        <v>1169</v>
      </c>
      <c r="AB922" s="3">
        <f>Table1[[#This Row],[Operating Profit]]/Table1[[#This Row],[Revenue]]</f>
        <v>0.16583912611717974</v>
      </c>
    </row>
    <row r="923" spans="1:28" x14ac:dyDescent="0.25">
      <c r="A923" t="s">
        <v>398</v>
      </c>
      <c r="B923">
        <v>544</v>
      </c>
      <c r="C923" t="s">
        <v>71</v>
      </c>
      <c r="D923" t="s">
        <v>53</v>
      </c>
      <c r="E923" t="s">
        <v>31</v>
      </c>
      <c r="F923" t="s">
        <v>32</v>
      </c>
      <c r="G923" t="str" cm="1">
        <f t="array" ref="G923">_xlfn.SWITCH(F923,"Acme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923" t="s">
        <v>33</v>
      </c>
      <c r="I923" t="s">
        <v>52</v>
      </c>
      <c r="J923" t="str" cm="1">
        <f t="array" ref="J923">_xlfn.SWITCH(I923,"P001","Laptop","P002","Server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23" s="1" cm="1">
        <f t="array" ref="K923">_xlfn.SWITCH(Table1[[#This Row],[Product ID]],"P001",220,"P002",150,"P003",130,"P004",70,"P005",200,"P006",40,"P007",25,"P008",20,"P009",190,"P010",530)</f>
        <v>130</v>
      </c>
      <c r="L923">
        <v>2</v>
      </c>
      <c r="M923" s="1">
        <f>Table1[[#This Row],[Unit Price]]*Table1[[#This Row],[Quantity]]</f>
        <v>260</v>
      </c>
      <c r="N923" s="2">
        <v>7.0000000000000007E-2</v>
      </c>
      <c r="O923" s="1">
        <f>Table1[[#This Row],[Gross Value]]*(1-Table1[[#This Row],[Discount]])</f>
        <v>241.79999999999998</v>
      </c>
      <c r="P923" s="2">
        <v>0.2</v>
      </c>
      <c r="Q923" s="1">
        <f>Table1[[#This Row],[Revenue]]*Table1[[#This Row],[VAT Rate]]</f>
        <v>48.36</v>
      </c>
      <c r="R923" s="1">
        <f>Table1[[#This Row],[Revenue]]+Table1[[#This Row],[VAT Charged]]</f>
        <v>290.15999999999997</v>
      </c>
      <c r="S923" s="1" cm="1">
        <f t="array" ref="S923">_xlfn.SWITCH(Table1[[#This Row],[Product ID]],"P001",140,"P002",80,"P003",72,"P004",30,"P005",110,"P006",24,"P007",14,"P008",12,"P009",115,"P010",360)</f>
        <v>72</v>
      </c>
      <c r="T923" s="1" cm="1">
        <f t="array" ref="T923">(_xlfn.SWITCH(Table1[[#This Row],[Product ID]],"P001",140,"P002",80,"P003",72,"P004",30,"P005",110,"P006",24,"P007",14,"P008",12,"P009",115,"P010",360))*Table1[[#This Row],[Quantity]]</f>
        <v>144</v>
      </c>
      <c r="U923" s="1" cm="1">
        <f t="array" ref="U923">_xlfn.SWITCH(Table1[[#This Row],[Product ID]],"P001",15,"P002",0,"P003",8,"P004",8,"P005",0,"P006",7,"P007",7,"P008",6,"P009",45,"P010",60)</f>
        <v>8</v>
      </c>
      <c r="V923" s="1">
        <f>Table1[[#This Row],[Shipping per Unit]]*Table1[[#This Row],[Quantity]]</f>
        <v>16</v>
      </c>
      <c r="W923" s="2">
        <f>IF(Table1[[#This Row],[Total Shipping]]&gt;0.1,0.2,0)</f>
        <v>0.2</v>
      </c>
      <c r="X923" s="4">
        <f>Table1[[#This Row],[Total Shipping]]*Table1[[#This Row],[VAT on Shipping]]</f>
        <v>3.2</v>
      </c>
      <c r="Y923" s="1">
        <f>Table1[[#This Row],[Revenue]]-Table1[[#This Row],[COGS]]</f>
        <v>97.799999999999983</v>
      </c>
      <c r="Z923" s="3">
        <f>(Table1[[#This Row],[Profit]]/Table1[[#This Row],[Revenue]])</f>
        <v>0.40446650124069472</v>
      </c>
      <c r="AA923" s="1">
        <f>Table1[[#This Row],[Profit]]-Table1[[#This Row],[Total Shipping]]</f>
        <v>81.799999999999983</v>
      </c>
      <c r="AB923" s="3">
        <f>Table1[[#This Row],[Operating Profit]]/Table1[[#This Row],[Revenue]]</f>
        <v>0.33829611248966085</v>
      </c>
    </row>
    <row r="924" spans="1:28" x14ac:dyDescent="0.25">
      <c r="A924" t="s">
        <v>398</v>
      </c>
      <c r="B924">
        <v>615</v>
      </c>
      <c r="C924" t="s">
        <v>65</v>
      </c>
      <c r="D924" t="s">
        <v>67</v>
      </c>
      <c r="E924" t="s">
        <v>31</v>
      </c>
      <c r="F924" t="s">
        <v>84</v>
      </c>
      <c r="G924" t="str" cm="1">
        <f t="array" ref="G924">_xlfn.SWITCH(F924,"Acme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924" t="s">
        <v>33</v>
      </c>
      <c r="I924" t="s">
        <v>46</v>
      </c>
      <c r="J924" t="str" cm="1">
        <f t="array" ref="J924">_xlfn.SWITCH(I924,"P001","Laptop","P002","Server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24" s="1" cm="1">
        <f t="array" ref="K924">_xlfn.SWITCH(Table1[[#This Row],[Product ID]],"P001",220,"P002",150,"P003",130,"P004",70,"P005",200,"P006",40,"P007",25,"P008",20,"P009",190,"P010",530)</f>
        <v>530</v>
      </c>
      <c r="L924">
        <v>10</v>
      </c>
      <c r="M924" s="1">
        <f>Table1[[#This Row],[Unit Price]]*Table1[[#This Row],[Quantity]]</f>
        <v>5300</v>
      </c>
      <c r="N924" s="2">
        <v>0.04</v>
      </c>
      <c r="O924" s="1">
        <f>Table1[[#This Row],[Gross Value]]*(1-Table1[[#This Row],[Discount]])</f>
        <v>5088</v>
      </c>
      <c r="P924" s="2">
        <v>0.2</v>
      </c>
      <c r="Q924" s="1">
        <f>Table1[[#This Row],[Revenue]]*Table1[[#This Row],[VAT Rate]]</f>
        <v>1017.6</v>
      </c>
      <c r="R924" s="1">
        <f>Table1[[#This Row],[Revenue]]+Table1[[#This Row],[VAT Charged]]</f>
        <v>6105.6</v>
      </c>
      <c r="S924" s="1" cm="1">
        <f t="array" ref="S924">_xlfn.SWITCH(Table1[[#This Row],[Product ID]],"P001",140,"P002",80,"P003",72,"P004",30,"P005",110,"P006",24,"P007",14,"P008",12,"P009",115,"P010",360)</f>
        <v>360</v>
      </c>
      <c r="T924" s="1" cm="1">
        <f t="array" ref="T924">(_xlfn.SWITCH(Table1[[#This Row],[Product ID]],"P001",140,"P002",80,"P003",72,"P004",30,"P005",110,"P006",24,"P007",14,"P008",12,"P009",115,"P010",360))*Table1[[#This Row],[Quantity]]</f>
        <v>3600</v>
      </c>
      <c r="U924" s="1" cm="1">
        <f t="array" ref="U924">_xlfn.SWITCH(Table1[[#This Row],[Product ID]],"P001",15,"P002",0,"P003",8,"P004",8,"P005",0,"P006",7,"P007",7,"P008",6,"P009",45,"P010",60)</f>
        <v>60</v>
      </c>
      <c r="V924" s="1">
        <f>Table1[[#This Row],[Shipping per Unit]]*Table1[[#This Row],[Quantity]]</f>
        <v>600</v>
      </c>
      <c r="W924" s="2">
        <f>IF(Table1[[#This Row],[Total Shipping]]&gt;0.1,0.2,0)</f>
        <v>0.2</v>
      </c>
      <c r="X924" s="4">
        <f>Table1[[#This Row],[Total Shipping]]*Table1[[#This Row],[VAT on Shipping]]</f>
        <v>120</v>
      </c>
      <c r="Y924" s="1">
        <f>Table1[[#This Row],[Revenue]]-Table1[[#This Row],[COGS]]</f>
        <v>1488</v>
      </c>
      <c r="Z924" s="3">
        <f>(Table1[[#This Row],[Profit]]/Table1[[#This Row],[Revenue]])</f>
        <v>0.29245283018867924</v>
      </c>
      <c r="AA924" s="1">
        <f>Table1[[#This Row],[Profit]]-Table1[[#This Row],[Total Shipping]]</f>
        <v>888</v>
      </c>
      <c r="AB924" s="3">
        <f>Table1[[#This Row],[Operating Profit]]/Table1[[#This Row],[Revenue]]</f>
        <v>0.17452830188679244</v>
      </c>
    </row>
    <row r="925" spans="1:28" x14ac:dyDescent="0.25">
      <c r="A925" t="s">
        <v>398</v>
      </c>
      <c r="B925">
        <v>724</v>
      </c>
      <c r="C925" t="s">
        <v>29</v>
      </c>
      <c r="D925" t="s">
        <v>39</v>
      </c>
      <c r="E925" t="s">
        <v>40</v>
      </c>
      <c r="F925" t="s">
        <v>74</v>
      </c>
      <c r="G925" t="str" cm="1">
        <f t="array" ref="G925">_xlfn.SWITCH(F925,"Acme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925" t="s">
        <v>69</v>
      </c>
      <c r="I925" t="s">
        <v>46</v>
      </c>
      <c r="J925" t="str" cm="1">
        <f t="array" ref="J925">_xlfn.SWITCH(I925,"P001","Laptop","P002","Server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25" s="1" cm="1">
        <f t="array" ref="K925">_xlfn.SWITCH(Table1[[#This Row],[Product ID]],"P001",220,"P002",150,"P003",130,"P004",70,"P005",200,"P006",40,"P007",25,"P008",20,"P009",190,"P010",530)</f>
        <v>530</v>
      </c>
      <c r="L925">
        <v>5</v>
      </c>
      <c r="M925" s="1">
        <f>Table1[[#This Row],[Unit Price]]*Table1[[#This Row],[Quantity]]</f>
        <v>2650</v>
      </c>
      <c r="N925" s="2">
        <v>0.02</v>
      </c>
      <c r="O925" s="1">
        <f>Table1[[#This Row],[Gross Value]]*(1-Table1[[#This Row],[Discount]])</f>
        <v>2597</v>
      </c>
      <c r="P925" s="2">
        <v>0.2</v>
      </c>
      <c r="Q925" s="1">
        <f>Table1[[#This Row],[Revenue]]*Table1[[#This Row],[VAT Rate]]</f>
        <v>519.4</v>
      </c>
      <c r="R925" s="1">
        <f>Table1[[#This Row],[Revenue]]+Table1[[#This Row],[VAT Charged]]</f>
        <v>3116.4</v>
      </c>
      <c r="S925" s="1" cm="1">
        <f t="array" ref="S925">_xlfn.SWITCH(Table1[[#This Row],[Product ID]],"P001",140,"P002",80,"P003",72,"P004",30,"P005",110,"P006",24,"P007",14,"P008",12,"P009",115,"P010",360)</f>
        <v>360</v>
      </c>
      <c r="T925" s="1" cm="1">
        <f t="array" ref="T925">(_xlfn.SWITCH(Table1[[#This Row],[Product ID]],"P001",140,"P002",80,"P003",72,"P004",30,"P005",110,"P006",24,"P007",14,"P008",12,"P009",115,"P010",360))*Table1[[#This Row],[Quantity]]</f>
        <v>1800</v>
      </c>
      <c r="U925" s="1" cm="1">
        <f t="array" ref="U925">_xlfn.SWITCH(Table1[[#This Row],[Product ID]],"P001",15,"P002",0,"P003",8,"P004",8,"P005",0,"P006",7,"P007",7,"P008",6,"P009",45,"P010",60)</f>
        <v>60</v>
      </c>
      <c r="V925" s="1">
        <f>Table1[[#This Row],[Shipping per Unit]]*Table1[[#This Row],[Quantity]]</f>
        <v>300</v>
      </c>
      <c r="W925" s="2">
        <f>IF(Table1[[#This Row],[Total Shipping]]&gt;0.1,0.2,0)</f>
        <v>0.2</v>
      </c>
      <c r="X925" s="4">
        <f>Table1[[#This Row],[Total Shipping]]*Table1[[#This Row],[VAT on Shipping]]</f>
        <v>60</v>
      </c>
      <c r="Y925" s="1">
        <f>Table1[[#This Row],[Revenue]]-Table1[[#This Row],[COGS]]</f>
        <v>797</v>
      </c>
      <c r="Z925" s="3">
        <f>(Table1[[#This Row],[Profit]]/Table1[[#This Row],[Revenue]])</f>
        <v>0.30689256834809397</v>
      </c>
      <c r="AA925" s="1">
        <f>Table1[[#This Row],[Profit]]-Table1[[#This Row],[Total Shipping]]</f>
        <v>497</v>
      </c>
      <c r="AB925" s="3">
        <f>Table1[[#This Row],[Operating Profit]]/Table1[[#This Row],[Revenue]]</f>
        <v>0.19137466307277629</v>
      </c>
    </row>
    <row r="926" spans="1:28" x14ac:dyDescent="0.25">
      <c r="A926" t="s">
        <v>398</v>
      </c>
      <c r="B926">
        <v>967</v>
      </c>
      <c r="C926" t="s">
        <v>62</v>
      </c>
      <c r="D926" t="s">
        <v>53</v>
      </c>
      <c r="E926" t="s">
        <v>40</v>
      </c>
      <c r="F926" t="s">
        <v>87</v>
      </c>
      <c r="G926" t="str" cm="1">
        <f t="array" ref="G926">_xlfn.SWITCH(F926,"Acme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926" t="s">
        <v>33</v>
      </c>
      <c r="I926" t="s">
        <v>42</v>
      </c>
      <c r="J926" t="str" cm="1">
        <f t="array" ref="J926">_xlfn.SWITCH(I926,"P001","Laptop","P002","Server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26" s="1" cm="1">
        <f t="array" ref="K926">_xlfn.SWITCH(Table1[[#This Row],[Product ID]],"P001",220,"P002",150,"P003",130,"P004",70,"P005",200,"P006",40,"P007",25,"P008",20,"P009",190,"P010",530)</f>
        <v>40</v>
      </c>
      <c r="L926">
        <v>13</v>
      </c>
      <c r="M926" s="1">
        <f>Table1[[#This Row],[Unit Price]]*Table1[[#This Row],[Quantity]]</f>
        <v>520</v>
      </c>
      <c r="N926" s="2">
        <v>0.08</v>
      </c>
      <c r="O926" s="1">
        <f>Table1[[#This Row],[Gross Value]]*(1-Table1[[#This Row],[Discount]])</f>
        <v>478.40000000000003</v>
      </c>
      <c r="P926" s="2">
        <v>0.2</v>
      </c>
      <c r="Q926" s="1">
        <f>Table1[[#This Row],[Revenue]]*Table1[[#This Row],[VAT Rate]]</f>
        <v>95.68</v>
      </c>
      <c r="R926" s="1">
        <f>Table1[[#This Row],[Revenue]]+Table1[[#This Row],[VAT Charged]]</f>
        <v>574.08000000000004</v>
      </c>
      <c r="S926" s="1" cm="1">
        <f t="array" ref="S926">_xlfn.SWITCH(Table1[[#This Row],[Product ID]],"P001",140,"P002",80,"P003",72,"P004",30,"P005",110,"P006",24,"P007",14,"P008",12,"P009",115,"P010",360)</f>
        <v>24</v>
      </c>
      <c r="T926" s="1" cm="1">
        <f t="array" ref="T926">(_xlfn.SWITCH(Table1[[#This Row],[Product ID]],"P001",140,"P002",80,"P003",72,"P004",30,"P005",110,"P006",24,"P007",14,"P008",12,"P009",115,"P010",360))*Table1[[#This Row],[Quantity]]</f>
        <v>312</v>
      </c>
      <c r="U926" s="1" cm="1">
        <f t="array" ref="U926">_xlfn.SWITCH(Table1[[#This Row],[Product ID]],"P001",15,"P002",0,"P003",8,"P004",8,"P005",0,"P006",7,"P007",7,"P008",6,"P009",45,"P010",60)</f>
        <v>7</v>
      </c>
      <c r="V926" s="1">
        <f>Table1[[#This Row],[Shipping per Unit]]*Table1[[#This Row],[Quantity]]</f>
        <v>91</v>
      </c>
      <c r="W926" s="2">
        <f>IF(Table1[[#This Row],[Total Shipping]]&gt;0.1,0.2,0)</f>
        <v>0.2</v>
      </c>
      <c r="X926" s="4">
        <f>Table1[[#This Row],[Total Shipping]]*Table1[[#This Row],[VAT on Shipping]]</f>
        <v>18.2</v>
      </c>
      <c r="Y926" s="1">
        <f>Table1[[#This Row],[Revenue]]-Table1[[#This Row],[COGS]]</f>
        <v>166.40000000000003</v>
      </c>
      <c r="Z926" s="3">
        <f>(Table1[[#This Row],[Profit]]/Table1[[#This Row],[Revenue]])</f>
        <v>0.34782608695652178</v>
      </c>
      <c r="AA926" s="1">
        <f>Table1[[#This Row],[Profit]]-Table1[[#This Row],[Total Shipping]]</f>
        <v>75.400000000000034</v>
      </c>
      <c r="AB926" s="3">
        <f>Table1[[#This Row],[Operating Profit]]/Table1[[#This Row],[Revenue]]</f>
        <v>0.15760869565217397</v>
      </c>
    </row>
    <row r="927" spans="1:28" x14ac:dyDescent="0.25">
      <c r="A927" t="s">
        <v>399</v>
      </c>
      <c r="B927">
        <v>499</v>
      </c>
      <c r="C927" t="s">
        <v>56</v>
      </c>
      <c r="D927" t="s">
        <v>72</v>
      </c>
      <c r="E927" t="s">
        <v>40</v>
      </c>
      <c r="F927" t="s">
        <v>50</v>
      </c>
      <c r="G927" t="str" cm="1">
        <f t="array" ref="G927">_xlfn.SWITCH(F927,"Acme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927" t="s">
        <v>33</v>
      </c>
      <c r="I927" t="s">
        <v>60</v>
      </c>
      <c r="J927" t="str" cm="1">
        <f t="array" ref="J927">_xlfn.SWITCH(I927,"P001","Laptop","P002","Server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927" s="1" cm="1">
        <f t="array" ref="K927">_xlfn.SWITCH(Table1[[#This Row],[Product ID]],"P001",220,"P002",150,"P003",130,"P004",70,"P005",200,"P006",40,"P007",25,"P008",20,"P009",190,"P010",530)</f>
        <v>25</v>
      </c>
      <c r="L927">
        <v>5</v>
      </c>
      <c r="M927" s="1">
        <f>Table1[[#This Row],[Unit Price]]*Table1[[#This Row],[Quantity]]</f>
        <v>125</v>
      </c>
      <c r="N927" s="2">
        <v>0.05</v>
      </c>
      <c r="O927" s="1">
        <f>Table1[[#This Row],[Gross Value]]*(1-Table1[[#This Row],[Discount]])</f>
        <v>118.75</v>
      </c>
      <c r="P927" s="2">
        <v>0.2</v>
      </c>
      <c r="Q927" s="1">
        <f>Table1[[#This Row],[Revenue]]*Table1[[#This Row],[VAT Rate]]</f>
        <v>23.75</v>
      </c>
      <c r="R927" s="1">
        <f>Table1[[#This Row],[Revenue]]+Table1[[#This Row],[VAT Charged]]</f>
        <v>142.5</v>
      </c>
      <c r="S927" s="1" cm="1">
        <f t="array" ref="S927">_xlfn.SWITCH(Table1[[#This Row],[Product ID]],"P001",140,"P002",80,"P003",72,"P004",30,"P005",110,"P006",24,"P007",14,"P008",12,"P009",115,"P010",360)</f>
        <v>14</v>
      </c>
      <c r="T927" s="1" cm="1">
        <f t="array" ref="T927">(_xlfn.SWITCH(Table1[[#This Row],[Product ID]],"P001",140,"P002",80,"P003",72,"P004",30,"P005",110,"P006",24,"P007",14,"P008",12,"P009",115,"P010",360))*Table1[[#This Row],[Quantity]]</f>
        <v>70</v>
      </c>
      <c r="U927" s="1" cm="1">
        <f t="array" ref="U927">_xlfn.SWITCH(Table1[[#This Row],[Product ID]],"P001",15,"P002",0,"P003",8,"P004",8,"P005",0,"P006",7,"P007",7,"P008",6,"P009",45,"P010",60)</f>
        <v>7</v>
      </c>
      <c r="V927" s="1">
        <f>Table1[[#This Row],[Shipping per Unit]]*Table1[[#This Row],[Quantity]]</f>
        <v>35</v>
      </c>
      <c r="W927" s="2">
        <f>IF(Table1[[#This Row],[Total Shipping]]&gt;0.1,0.2,0)</f>
        <v>0.2</v>
      </c>
      <c r="X927" s="4">
        <f>Table1[[#This Row],[Total Shipping]]*Table1[[#This Row],[VAT on Shipping]]</f>
        <v>7</v>
      </c>
      <c r="Y927" s="1">
        <f>Table1[[#This Row],[Revenue]]-Table1[[#This Row],[COGS]]</f>
        <v>48.75</v>
      </c>
      <c r="Z927" s="3">
        <f>(Table1[[#This Row],[Profit]]/Table1[[#This Row],[Revenue]])</f>
        <v>0.41052631578947368</v>
      </c>
      <c r="AA927" s="1">
        <f>Table1[[#This Row],[Profit]]-Table1[[#This Row],[Total Shipping]]</f>
        <v>13.75</v>
      </c>
      <c r="AB927" s="3">
        <f>Table1[[#This Row],[Operating Profit]]/Table1[[#This Row],[Revenue]]</f>
        <v>0.11578947368421053</v>
      </c>
    </row>
    <row r="928" spans="1:28" x14ac:dyDescent="0.25">
      <c r="A928" t="s">
        <v>399</v>
      </c>
      <c r="B928">
        <v>777</v>
      </c>
      <c r="C928" t="s">
        <v>62</v>
      </c>
      <c r="D928" t="s">
        <v>72</v>
      </c>
      <c r="E928" t="s">
        <v>31</v>
      </c>
      <c r="F928" t="s">
        <v>32</v>
      </c>
      <c r="G928" t="str" cm="1">
        <f t="array" ref="G928">_xlfn.SWITCH(F928,"Acme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928" t="s">
        <v>69</v>
      </c>
      <c r="I928" t="s">
        <v>34</v>
      </c>
      <c r="J928" t="str" cm="1">
        <f t="array" ref="J928">_xlfn.SWITCH(I928,"P001","Laptop","P002","Server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928" s="1" cm="1">
        <f t="array" ref="K928">_xlfn.SWITCH(Table1[[#This Row],[Product ID]],"P001",220,"P002",150,"P003",130,"P004",70,"P005",200,"P006",40,"P007",25,"P008",20,"P009",190,"P010",530)</f>
        <v>20</v>
      </c>
      <c r="L928">
        <v>1</v>
      </c>
      <c r="M928" s="1">
        <f>Table1[[#This Row],[Unit Price]]*Table1[[#This Row],[Quantity]]</f>
        <v>20</v>
      </c>
      <c r="N928" s="2">
        <v>0.03</v>
      </c>
      <c r="O928" s="1">
        <f>Table1[[#This Row],[Gross Value]]*(1-Table1[[#This Row],[Discount]])</f>
        <v>19.399999999999999</v>
      </c>
      <c r="P928" s="2">
        <v>0.2</v>
      </c>
      <c r="Q928" s="1">
        <f>Table1[[#This Row],[Revenue]]*Table1[[#This Row],[VAT Rate]]</f>
        <v>3.88</v>
      </c>
      <c r="R928" s="1">
        <f>Table1[[#This Row],[Revenue]]+Table1[[#This Row],[VAT Charged]]</f>
        <v>23.279999999999998</v>
      </c>
      <c r="S928" s="1" cm="1">
        <f t="array" ref="S928">_xlfn.SWITCH(Table1[[#This Row],[Product ID]],"P001",140,"P002",80,"P003",72,"P004",30,"P005",110,"P006",24,"P007",14,"P008",12,"P009",115,"P010",360)</f>
        <v>12</v>
      </c>
      <c r="T928" s="1" cm="1">
        <f t="array" ref="T928">(_xlfn.SWITCH(Table1[[#This Row],[Product ID]],"P001",140,"P002",80,"P003",72,"P004",30,"P005",110,"P006",24,"P007",14,"P008",12,"P009",115,"P010",360))*Table1[[#This Row],[Quantity]]</f>
        <v>12</v>
      </c>
      <c r="U928" s="1" cm="1">
        <f t="array" ref="U928">_xlfn.SWITCH(Table1[[#This Row],[Product ID]],"P001",15,"P002",0,"P003",8,"P004",8,"P005",0,"P006",7,"P007",7,"P008",6,"P009",45,"P010",60)</f>
        <v>6</v>
      </c>
      <c r="V928" s="1">
        <f>Table1[[#This Row],[Shipping per Unit]]*Table1[[#This Row],[Quantity]]</f>
        <v>6</v>
      </c>
      <c r="W928" s="2">
        <f>IF(Table1[[#This Row],[Total Shipping]]&gt;0.1,0.2,0)</f>
        <v>0.2</v>
      </c>
      <c r="X928" s="4">
        <f>Table1[[#This Row],[Total Shipping]]*Table1[[#This Row],[VAT on Shipping]]</f>
        <v>1.2000000000000002</v>
      </c>
      <c r="Y928" s="1">
        <f>Table1[[#This Row],[Revenue]]-Table1[[#This Row],[COGS]]</f>
        <v>7.3999999999999986</v>
      </c>
      <c r="Z928" s="3">
        <f>(Table1[[#This Row],[Profit]]/Table1[[#This Row],[Revenue]])</f>
        <v>0.38144329896907214</v>
      </c>
      <c r="AA928" s="1">
        <f>Table1[[#This Row],[Profit]]-Table1[[#This Row],[Total Shipping]]</f>
        <v>1.3999999999999986</v>
      </c>
      <c r="AB928" s="3">
        <f>Table1[[#This Row],[Operating Profit]]/Table1[[#This Row],[Revenue]]</f>
        <v>7.2164948453608185E-2</v>
      </c>
    </row>
    <row r="929" spans="1:28" x14ac:dyDescent="0.25">
      <c r="A929" t="s">
        <v>400</v>
      </c>
      <c r="B929">
        <v>310</v>
      </c>
      <c r="C929" t="s">
        <v>35</v>
      </c>
      <c r="D929" t="s">
        <v>39</v>
      </c>
      <c r="E929" t="s">
        <v>49</v>
      </c>
      <c r="F929" t="s">
        <v>64</v>
      </c>
      <c r="G929" t="str" cm="1">
        <f t="array" ref="G929">_xlfn.SWITCH(F929,"Acme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929" t="s">
        <v>33</v>
      </c>
      <c r="I929" t="s">
        <v>70</v>
      </c>
      <c r="J929" t="str" cm="1">
        <f t="array" ref="J929">_xlfn.SWITCH(I929,"P001","Laptop","P002","Server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929" s="1" cm="1">
        <f t="array" ref="K929">_xlfn.SWITCH(Table1[[#This Row],[Product ID]],"P001",220,"P002",150,"P003",130,"P004",70,"P005",200,"P006",40,"P007",25,"P008",20,"P009",190,"P010",530)</f>
        <v>150</v>
      </c>
      <c r="L929">
        <v>9</v>
      </c>
      <c r="M929" s="1">
        <f>Table1[[#This Row],[Unit Price]]*Table1[[#This Row],[Quantity]]</f>
        <v>1350</v>
      </c>
      <c r="N929" s="2">
        <v>7.0000000000000007E-2</v>
      </c>
      <c r="O929" s="1">
        <f>Table1[[#This Row],[Gross Value]]*(1-Table1[[#This Row],[Discount]])</f>
        <v>1255.5</v>
      </c>
      <c r="P929" s="2">
        <v>0.2</v>
      </c>
      <c r="Q929" s="1">
        <f>Table1[[#This Row],[Revenue]]*Table1[[#This Row],[VAT Rate]]</f>
        <v>251.10000000000002</v>
      </c>
      <c r="R929" s="1">
        <f>Table1[[#This Row],[Revenue]]+Table1[[#This Row],[VAT Charged]]</f>
        <v>1506.6</v>
      </c>
      <c r="S929" s="1" cm="1">
        <f t="array" ref="S929">_xlfn.SWITCH(Table1[[#This Row],[Product ID]],"P001",140,"P002",80,"P003",72,"P004",30,"P005",110,"P006",24,"P007",14,"P008",12,"P009",115,"P010",360)</f>
        <v>80</v>
      </c>
      <c r="T929" s="1" cm="1">
        <f t="array" ref="T929">(_xlfn.SWITCH(Table1[[#This Row],[Product ID]],"P001",140,"P002",80,"P003",72,"P004",30,"P005",110,"P006",24,"P007",14,"P008",12,"P009",115,"P010",360))*Table1[[#This Row],[Quantity]]</f>
        <v>720</v>
      </c>
      <c r="U929" s="1" cm="1">
        <f t="array" ref="U929">_xlfn.SWITCH(Table1[[#This Row],[Product ID]],"P001",15,"P002",0,"P003",8,"P004",8,"P005",0,"P006",7,"P007",7,"P008",6,"P009",45,"P010",60)</f>
        <v>0</v>
      </c>
      <c r="V929" s="1">
        <f>Table1[[#This Row],[Shipping per Unit]]*Table1[[#This Row],[Quantity]]</f>
        <v>0</v>
      </c>
      <c r="W929" s="2">
        <f>IF(Table1[[#This Row],[Total Shipping]]&gt;0.1,0.2,0)</f>
        <v>0</v>
      </c>
      <c r="X929" s="4">
        <f>Table1[[#This Row],[Total Shipping]]*Table1[[#This Row],[VAT on Shipping]]</f>
        <v>0</v>
      </c>
      <c r="Y929" s="1">
        <f>Table1[[#This Row],[Revenue]]-Table1[[#This Row],[COGS]]</f>
        <v>535.5</v>
      </c>
      <c r="Z929" s="3">
        <f>(Table1[[#This Row],[Profit]]/Table1[[#This Row],[Revenue]])</f>
        <v>0.4265232974910394</v>
      </c>
      <c r="AA929" s="1">
        <f>Table1[[#This Row],[Profit]]-Table1[[#This Row],[Total Shipping]]</f>
        <v>535.5</v>
      </c>
      <c r="AB929" s="3">
        <f>Table1[[#This Row],[Operating Profit]]/Table1[[#This Row],[Revenue]]</f>
        <v>0.4265232974910394</v>
      </c>
    </row>
    <row r="930" spans="1:28" x14ac:dyDescent="0.25">
      <c r="A930" t="s">
        <v>400</v>
      </c>
      <c r="B930">
        <v>376</v>
      </c>
      <c r="C930" t="s">
        <v>38</v>
      </c>
      <c r="D930" t="s">
        <v>57</v>
      </c>
      <c r="E930" t="s">
        <v>31</v>
      </c>
      <c r="F930" t="s">
        <v>92</v>
      </c>
      <c r="G930" t="str" cm="1">
        <f t="array" ref="G930">_xlfn.SWITCH(F930,"Acme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930" t="s">
        <v>45</v>
      </c>
      <c r="I930" t="s">
        <v>52</v>
      </c>
      <c r="J930" t="str" cm="1">
        <f t="array" ref="J930">_xlfn.SWITCH(I930,"P001","Laptop","P002","Server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30" s="1" cm="1">
        <f t="array" ref="K930">_xlfn.SWITCH(Table1[[#This Row],[Product ID]],"P001",220,"P002",150,"P003",130,"P004",70,"P005",200,"P006",40,"P007",25,"P008",20,"P009",190,"P010",530)</f>
        <v>130</v>
      </c>
      <c r="L930">
        <v>18</v>
      </c>
      <c r="M930" s="1">
        <f>Table1[[#This Row],[Unit Price]]*Table1[[#This Row],[Quantity]]</f>
        <v>2340</v>
      </c>
      <c r="N930" s="2">
        <v>0.1</v>
      </c>
      <c r="O930" s="1">
        <f>Table1[[#This Row],[Gross Value]]*(1-Table1[[#This Row],[Discount]])</f>
        <v>2106</v>
      </c>
      <c r="P930" s="2">
        <v>0.2</v>
      </c>
      <c r="Q930" s="1">
        <f>Table1[[#This Row],[Revenue]]*Table1[[#This Row],[VAT Rate]]</f>
        <v>421.20000000000005</v>
      </c>
      <c r="R930" s="1">
        <f>Table1[[#This Row],[Revenue]]+Table1[[#This Row],[VAT Charged]]</f>
        <v>2527.1999999999998</v>
      </c>
      <c r="S930" s="1" cm="1">
        <f t="array" ref="S930">_xlfn.SWITCH(Table1[[#This Row],[Product ID]],"P001",140,"P002",80,"P003",72,"P004",30,"P005",110,"P006",24,"P007",14,"P008",12,"P009",115,"P010",360)</f>
        <v>72</v>
      </c>
      <c r="T930" s="1" cm="1">
        <f t="array" ref="T930">(_xlfn.SWITCH(Table1[[#This Row],[Product ID]],"P001",140,"P002",80,"P003",72,"P004",30,"P005",110,"P006",24,"P007",14,"P008",12,"P009",115,"P010",360))*Table1[[#This Row],[Quantity]]</f>
        <v>1296</v>
      </c>
      <c r="U930" s="1" cm="1">
        <f t="array" ref="U930">_xlfn.SWITCH(Table1[[#This Row],[Product ID]],"P001",15,"P002",0,"P003",8,"P004",8,"P005",0,"P006",7,"P007",7,"P008",6,"P009",45,"P010",60)</f>
        <v>8</v>
      </c>
      <c r="V930" s="1">
        <f>Table1[[#This Row],[Shipping per Unit]]*Table1[[#This Row],[Quantity]]</f>
        <v>144</v>
      </c>
      <c r="W930" s="2">
        <f>IF(Table1[[#This Row],[Total Shipping]]&gt;0.1,0.2,0)</f>
        <v>0.2</v>
      </c>
      <c r="X930" s="4">
        <f>Table1[[#This Row],[Total Shipping]]*Table1[[#This Row],[VAT on Shipping]]</f>
        <v>28.8</v>
      </c>
      <c r="Y930" s="1">
        <f>Table1[[#This Row],[Revenue]]-Table1[[#This Row],[COGS]]</f>
        <v>810</v>
      </c>
      <c r="Z930" s="3">
        <f>(Table1[[#This Row],[Profit]]/Table1[[#This Row],[Revenue]])</f>
        <v>0.38461538461538464</v>
      </c>
      <c r="AA930" s="1">
        <f>Table1[[#This Row],[Profit]]-Table1[[#This Row],[Total Shipping]]</f>
        <v>666</v>
      </c>
      <c r="AB930" s="3">
        <f>Table1[[#This Row],[Operating Profit]]/Table1[[#This Row],[Revenue]]</f>
        <v>0.31623931623931623</v>
      </c>
    </row>
    <row r="931" spans="1:28" x14ac:dyDescent="0.25">
      <c r="A931" t="s">
        <v>400</v>
      </c>
      <c r="B931">
        <v>394</v>
      </c>
      <c r="C931" t="s">
        <v>62</v>
      </c>
      <c r="D931" t="s">
        <v>63</v>
      </c>
      <c r="E931" t="s">
        <v>40</v>
      </c>
      <c r="F931" t="s">
        <v>98</v>
      </c>
      <c r="G931" t="str" cm="1">
        <f t="array" ref="G931">_xlfn.SWITCH(F931,"Acme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931" t="s">
        <v>69</v>
      </c>
      <c r="I931" t="s">
        <v>42</v>
      </c>
      <c r="J931" t="str" cm="1">
        <f t="array" ref="J931">_xlfn.SWITCH(I931,"P001","Laptop","P002","Server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31" s="1" cm="1">
        <f t="array" ref="K931">_xlfn.SWITCH(Table1[[#This Row],[Product ID]],"P001",220,"P002",150,"P003",130,"P004",70,"P005",200,"P006",40,"P007",25,"P008",20,"P009",190,"P010",530)</f>
        <v>40</v>
      </c>
      <c r="L931">
        <v>19</v>
      </c>
      <c r="M931" s="1">
        <f>Table1[[#This Row],[Unit Price]]*Table1[[#This Row],[Quantity]]</f>
        <v>760</v>
      </c>
      <c r="N931" s="2">
        <v>0.04</v>
      </c>
      <c r="O931" s="1">
        <f>Table1[[#This Row],[Gross Value]]*(1-Table1[[#This Row],[Discount]])</f>
        <v>729.6</v>
      </c>
      <c r="P931" s="2">
        <v>0.2</v>
      </c>
      <c r="Q931" s="1">
        <f>Table1[[#This Row],[Revenue]]*Table1[[#This Row],[VAT Rate]]</f>
        <v>145.92000000000002</v>
      </c>
      <c r="R931" s="1">
        <f>Table1[[#This Row],[Revenue]]+Table1[[#This Row],[VAT Charged]]</f>
        <v>875.52</v>
      </c>
      <c r="S931" s="1" cm="1">
        <f t="array" ref="S931">_xlfn.SWITCH(Table1[[#This Row],[Product ID]],"P001",140,"P002",80,"P003",72,"P004",30,"P005",110,"P006",24,"P007",14,"P008",12,"P009",115,"P010",360)</f>
        <v>24</v>
      </c>
      <c r="T931" s="1" cm="1">
        <f t="array" ref="T931">(_xlfn.SWITCH(Table1[[#This Row],[Product ID]],"P001",140,"P002",80,"P003",72,"P004",30,"P005",110,"P006",24,"P007",14,"P008",12,"P009",115,"P010",360))*Table1[[#This Row],[Quantity]]</f>
        <v>456</v>
      </c>
      <c r="U931" s="1" cm="1">
        <f t="array" ref="U931">_xlfn.SWITCH(Table1[[#This Row],[Product ID]],"P001",15,"P002",0,"P003",8,"P004",8,"P005",0,"P006",7,"P007",7,"P008",6,"P009",45,"P010",60)</f>
        <v>7</v>
      </c>
      <c r="V931" s="1">
        <f>Table1[[#This Row],[Shipping per Unit]]*Table1[[#This Row],[Quantity]]</f>
        <v>133</v>
      </c>
      <c r="W931" s="2">
        <f>IF(Table1[[#This Row],[Total Shipping]]&gt;0.1,0.2,0)</f>
        <v>0.2</v>
      </c>
      <c r="X931" s="4">
        <f>Table1[[#This Row],[Total Shipping]]*Table1[[#This Row],[VAT on Shipping]]</f>
        <v>26.6</v>
      </c>
      <c r="Y931" s="1">
        <f>Table1[[#This Row],[Revenue]]-Table1[[#This Row],[COGS]]</f>
        <v>273.60000000000002</v>
      </c>
      <c r="Z931" s="3">
        <f>(Table1[[#This Row],[Profit]]/Table1[[#This Row],[Revenue]])</f>
        <v>0.375</v>
      </c>
      <c r="AA931" s="1">
        <f>Table1[[#This Row],[Profit]]-Table1[[#This Row],[Total Shipping]]</f>
        <v>140.60000000000002</v>
      </c>
      <c r="AB931" s="3">
        <f>Table1[[#This Row],[Operating Profit]]/Table1[[#This Row],[Revenue]]</f>
        <v>0.19270833333333337</v>
      </c>
    </row>
    <row r="932" spans="1:28" x14ac:dyDescent="0.25">
      <c r="A932" t="s">
        <v>401</v>
      </c>
      <c r="B932">
        <v>181</v>
      </c>
      <c r="C932" t="s">
        <v>56</v>
      </c>
      <c r="D932" t="s">
        <v>57</v>
      </c>
      <c r="E932" t="s">
        <v>40</v>
      </c>
      <c r="F932" t="s">
        <v>113</v>
      </c>
      <c r="G932" t="str" cm="1">
        <f t="array" ref="G932">_xlfn.SWITCH(F932,"Acme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932" t="s">
        <v>58</v>
      </c>
      <c r="I932" t="s">
        <v>46</v>
      </c>
      <c r="J932" t="str" cm="1">
        <f t="array" ref="J932">_xlfn.SWITCH(I932,"P001","Laptop","P002","Server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32" s="1" cm="1">
        <f t="array" ref="K932">_xlfn.SWITCH(Table1[[#This Row],[Product ID]],"P001",220,"P002",150,"P003",130,"P004",70,"P005",200,"P006",40,"P007",25,"P008",20,"P009",190,"P010",530)</f>
        <v>530</v>
      </c>
      <c r="L932">
        <v>7</v>
      </c>
      <c r="M932" s="1">
        <f>Table1[[#This Row],[Unit Price]]*Table1[[#This Row],[Quantity]]</f>
        <v>3710</v>
      </c>
      <c r="N932" s="2">
        <v>0.04</v>
      </c>
      <c r="O932" s="1">
        <f>Table1[[#This Row],[Gross Value]]*(1-Table1[[#This Row],[Discount]])</f>
        <v>3561.6</v>
      </c>
      <c r="P932" s="2">
        <v>0.2</v>
      </c>
      <c r="Q932" s="1">
        <f>Table1[[#This Row],[Revenue]]*Table1[[#This Row],[VAT Rate]]</f>
        <v>712.32</v>
      </c>
      <c r="R932" s="1">
        <f>Table1[[#This Row],[Revenue]]+Table1[[#This Row],[VAT Charged]]</f>
        <v>4273.92</v>
      </c>
      <c r="S932" s="1" cm="1">
        <f t="array" ref="S932">_xlfn.SWITCH(Table1[[#This Row],[Product ID]],"P001",140,"P002",80,"P003",72,"P004",30,"P005",110,"P006",24,"P007",14,"P008",12,"P009",115,"P010",360)</f>
        <v>360</v>
      </c>
      <c r="T932" s="1" cm="1">
        <f t="array" ref="T932">(_xlfn.SWITCH(Table1[[#This Row],[Product ID]],"P001",140,"P002",80,"P003",72,"P004",30,"P005",110,"P006",24,"P007",14,"P008",12,"P009",115,"P010",360))*Table1[[#This Row],[Quantity]]</f>
        <v>2520</v>
      </c>
      <c r="U932" s="1" cm="1">
        <f t="array" ref="U932">_xlfn.SWITCH(Table1[[#This Row],[Product ID]],"P001",15,"P002",0,"P003",8,"P004",8,"P005",0,"P006",7,"P007",7,"P008",6,"P009",45,"P010",60)</f>
        <v>60</v>
      </c>
      <c r="V932" s="1">
        <f>Table1[[#This Row],[Shipping per Unit]]*Table1[[#This Row],[Quantity]]</f>
        <v>420</v>
      </c>
      <c r="W932" s="2">
        <f>IF(Table1[[#This Row],[Total Shipping]]&gt;0.1,0.2,0)</f>
        <v>0.2</v>
      </c>
      <c r="X932" s="4">
        <f>Table1[[#This Row],[Total Shipping]]*Table1[[#This Row],[VAT on Shipping]]</f>
        <v>84</v>
      </c>
      <c r="Y932" s="1">
        <f>Table1[[#This Row],[Revenue]]-Table1[[#This Row],[COGS]]</f>
        <v>1041.5999999999999</v>
      </c>
      <c r="Z932" s="3">
        <f>(Table1[[#This Row],[Profit]]/Table1[[#This Row],[Revenue]])</f>
        <v>0.29245283018867924</v>
      </c>
      <c r="AA932" s="1">
        <f>Table1[[#This Row],[Profit]]-Table1[[#This Row],[Total Shipping]]</f>
        <v>621.59999999999991</v>
      </c>
      <c r="AB932" s="3">
        <f>Table1[[#This Row],[Operating Profit]]/Table1[[#This Row],[Revenue]]</f>
        <v>0.17452830188679244</v>
      </c>
    </row>
    <row r="933" spans="1:28" x14ac:dyDescent="0.25">
      <c r="A933" t="s">
        <v>401</v>
      </c>
      <c r="B933">
        <v>746</v>
      </c>
      <c r="C933" t="s">
        <v>29</v>
      </c>
      <c r="D933" t="s">
        <v>36</v>
      </c>
      <c r="E933" t="s">
        <v>40</v>
      </c>
      <c r="F933" t="s">
        <v>78</v>
      </c>
      <c r="G933" t="str" cm="1">
        <f t="array" ref="G933">_xlfn.SWITCH(F933,"Acme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933" t="s">
        <v>58</v>
      </c>
      <c r="I933" t="s">
        <v>42</v>
      </c>
      <c r="J933" t="str" cm="1">
        <f t="array" ref="J933">_xlfn.SWITCH(I933,"P001","Laptop","P002","Server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33" s="1" cm="1">
        <f t="array" ref="K933">_xlfn.SWITCH(Table1[[#This Row],[Product ID]],"P001",220,"P002",150,"P003",130,"P004",70,"P005",200,"P006",40,"P007",25,"P008",20,"P009",190,"P010",530)</f>
        <v>40</v>
      </c>
      <c r="L933">
        <v>18</v>
      </c>
      <c r="M933" s="1">
        <f>Table1[[#This Row],[Unit Price]]*Table1[[#This Row],[Quantity]]</f>
        <v>720</v>
      </c>
      <c r="N933" s="2">
        <v>0.03</v>
      </c>
      <c r="O933" s="1">
        <f>Table1[[#This Row],[Gross Value]]*(1-Table1[[#This Row],[Discount]])</f>
        <v>698.4</v>
      </c>
      <c r="P933" s="2">
        <v>0.2</v>
      </c>
      <c r="Q933" s="1">
        <f>Table1[[#This Row],[Revenue]]*Table1[[#This Row],[VAT Rate]]</f>
        <v>139.68</v>
      </c>
      <c r="R933" s="1">
        <f>Table1[[#This Row],[Revenue]]+Table1[[#This Row],[VAT Charged]]</f>
        <v>838.07999999999993</v>
      </c>
      <c r="S933" s="1" cm="1">
        <f t="array" ref="S933">_xlfn.SWITCH(Table1[[#This Row],[Product ID]],"P001",140,"P002",80,"P003",72,"P004",30,"P005",110,"P006",24,"P007",14,"P008",12,"P009",115,"P010",360)</f>
        <v>24</v>
      </c>
      <c r="T933" s="1" cm="1">
        <f t="array" ref="T933">(_xlfn.SWITCH(Table1[[#This Row],[Product ID]],"P001",140,"P002",80,"P003",72,"P004",30,"P005",110,"P006",24,"P007",14,"P008",12,"P009",115,"P010",360))*Table1[[#This Row],[Quantity]]</f>
        <v>432</v>
      </c>
      <c r="U933" s="1" cm="1">
        <f t="array" ref="U933">_xlfn.SWITCH(Table1[[#This Row],[Product ID]],"P001",15,"P002",0,"P003",8,"P004",8,"P005",0,"P006",7,"P007",7,"P008",6,"P009",45,"P010",60)</f>
        <v>7</v>
      </c>
      <c r="V933" s="1">
        <f>Table1[[#This Row],[Shipping per Unit]]*Table1[[#This Row],[Quantity]]</f>
        <v>126</v>
      </c>
      <c r="W933" s="2">
        <f>IF(Table1[[#This Row],[Total Shipping]]&gt;0.1,0.2,0)</f>
        <v>0.2</v>
      </c>
      <c r="X933" s="4">
        <f>Table1[[#This Row],[Total Shipping]]*Table1[[#This Row],[VAT on Shipping]]</f>
        <v>25.200000000000003</v>
      </c>
      <c r="Y933" s="1">
        <f>Table1[[#This Row],[Revenue]]-Table1[[#This Row],[COGS]]</f>
        <v>266.39999999999998</v>
      </c>
      <c r="Z933" s="3">
        <f>(Table1[[#This Row],[Profit]]/Table1[[#This Row],[Revenue]])</f>
        <v>0.38144329896907214</v>
      </c>
      <c r="AA933" s="1">
        <f>Table1[[#This Row],[Profit]]-Table1[[#This Row],[Total Shipping]]</f>
        <v>140.39999999999998</v>
      </c>
      <c r="AB933" s="3">
        <f>Table1[[#This Row],[Operating Profit]]/Table1[[#This Row],[Revenue]]</f>
        <v>0.20103092783505153</v>
      </c>
    </row>
    <row r="934" spans="1:28" x14ac:dyDescent="0.25">
      <c r="A934" t="s">
        <v>401</v>
      </c>
      <c r="B934">
        <v>780</v>
      </c>
      <c r="C934" t="s">
        <v>65</v>
      </c>
      <c r="D934" t="s">
        <v>48</v>
      </c>
      <c r="E934" t="s">
        <v>31</v>
      </c>
      <c r="F934" t="s">
        <v>102</v>
      </c>
      <c r="G934" t="str" cm="1">
        <f t="array" ref="G934">_xlfn.SWITCH(F934,"Acme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934" t="s">
        <v>45</v>
      </c>
      <c r="I934" t="s">
        <v>46</v>
      </c>
      <c r="J934" t="str" cm="1">
        <f t="array" ref="J934">_xlfn.SWITCH(I934,"P001","Laptop","P002","Server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34" s="1" cm="1">
        <f t="array" ref="K934">_xlfn.SWITCH(Table1[[#This Row],[Product ID]],"P001",220,"P002",150,"P003",130,"P004",70,"P005",200,"P006",40,"P007",25,"P008",20,"P009",190,"P010",530)</f>
        <v>530</v>
      </c>
      <c r="L934">
        <v>1</v>
      </c>
      <c r="M934" s="1">
        <f>Table1[[#This Row],[Unit Price]]*Table1[[#This Row],[Quantity]]</f>
        <v>530</v>
      </c>
      <c r="N934" s="2">
        <v>0.12</v>
      </c>
      <c r="O934" s="1">
        <f>Table1[[#This Row],[Gross Value]]*(1-Table1[[#This Row],[Discount]])</f>
        <v>466.4</v>
      </c>
      <c r="P934" s="2">
        <v>0.2</v>
      </c>
      <c r="Q934" s="1">
        <f>Table1[[#This Row],[Revenue]]*Table1[[#This Row],[VAT Rate]]</f>
        <v>93.28</v>
      </c>
      <c r="R934" s="1">
        <f>Table1[[#This Row],[Revenue]]+Table1[[#This Row],[VAT Charged]]</f>
        <v>559.67999999999995</v>
      </c>
      <c r="S934" s="1" cm="1">
        <f t="array" ref="S934">_xlfn.SWITCH(Table1[[#This Row],[Product ID]],"P001",140,"P002",80,"P003",72,"P004",30,"P005",110,"P006",24,"P007",14,"P008",12,"P009",115,"P010",360)</f>
        <v>360</v>
      </c>
      <c r="T934" s="1" cm="1">
        <f t="array" ref="T934">(_xlfn.SWITCH(Table1[[#This Row],[Product ID]],"P001",140,"P002",80,"P003",72,"P004",30,"P005",110,"P006",24,"P007",14,"P008",12,"P009",115,"P010",360))*Table1[[#This Row],[Quantity]]</f>
        <v>360</v>
      </c>
      <c r="U934" s="1" cm="1">
        <f t="array" ref="U934">_xlfn.SWITCH(Table1[[#This Row],[Product ID]],"P001",15,"P002",0,"P003",8,"P004",8,"P005",0,"P006",7,"P007",7,"P008",6,"P009",45,"P010",60)</f>
        <v>60</v>
      </c>
      <c r="V934" s="1">
        <f>Table1[[#This Row],[Shipping per Unit]]*Table1[[#This Row],[Quantity]]</f>
        <v>60</v>
      </c>
      <c r="W934" s="2">
        <f>IF(Table1[[#This Row],[Total Shipping]]&gt;0.1,0.2,0)</f>
        <v>0.2</v>
      </c>
      <c r="X934" s="4">
        <f>Table1[[#This Row],[Total Shipping]]*Table1[[#This Row],[VAT on Shipping]]</f>
        <v>12</v>
      </c>
      <c r="Y934" s="1">
        <f>Table1[[#This Row],[Revenue]]-Table1[[#This Row],[COGS]]</f>
        <v>106.39999999999998</v>
      </c>
      <c r="Z934" s="3">
        <f>(Table1[[#This Row],[Profit]]/Table1[[#This Row],[Revenue]])</f>
        <v>0.22813036020583186</v>
      </c>
      <c r="AA934" s="1">
        <f>Table1[[#This Row],[Profit]]-Table1[[#This Row],[Total Shipping]]</f>
        <v>46.399999999999977</v>
      </c>
      <c r="AB934" s="3">
        <f>Table1[[#This Row],[Operating Profit]]/Table1[[#This Row],[Revenue]]</f>
        <v>9.9485420240137179E-2</v>
      </c>
    </row>
    <row r="935" spans="1:28" x14ac:dyDescent="0.25">
      <c r="A935" t="s">
        <v>402</v>
      </c>
      <c r="B935">
        <v>14</v>
      </c>
      <c r="C935" t="s">
        <v>71</v>
      </c>
      <c r="D935" t="s">
        <v>95</v>
      </c>
      <c r="E935" t="s">
        <v>40</v>
      </c>
      <c r="F935" t="s">
        <v>126</v>
      </c>
      <c r="G935" t="str" cm="1">
        <f t="array" ref="G935">_xlfn.SWITCH(F935,"Acme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935" t="s">
        <v>33</v>
      </c>
      <c r="I935" t="s">
        <v>68</v>
      </c>
      <c r="J935" t="str" cm="1">
        <f t="array" ref="J935">_xlfn.SWITCH(I935,"P001","Laptop","P002","Server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35" s="1" cm="1">
        <f t="array" ref="K935">_xlfn.SWITCH(Table1[[#This Row],[Product ID]],"P001",220,"P002",150,"P003",130,"P004",70,"P005",200,"P006",40,"P007",25,"P008",20,"P009",190,"P010",530)</f>
        <v>220</v>
      </c>
      <c r="L935">
        <v>9</v>
      </c>
      <c r="M935" s="1">
        <f>Table1[[#This Row],[Unit Price]]*Table1[[#This Row],[Quantity]]</f>
        <v>1980</v>
      </c>
      <c r="N935" s="2">
        <v>0.05</v>
      </c>
      <c r="O935" s="1">
        <f>Table1[[#This Row],[Gross Value]]*(1-Table1[[#This Row],[Discount]])</f>
        <v>1881</v>
      </c>
      <c r="P935" s="2">
        <v>0.2</v>
      </c>
      <c r="Q935" s="1">
        <f>Table1[[#This Row],[Revenue]]*Table1[[#This Row],[VAT Rate]]</f>
        <v>376.20000000000005</v>
      </c>
      <c r="R935" s="1">
        <f>Table1[[#This Row],[Revenue]]+Table1[[#This Row],[VAT Charged]]</f>
        <v>2257.1999999999998</v>
      </c>
      <c r="S935" s="1" cm="1">
        <f t="array" ref="S935">_xlfn.SWITCH(Table1[[#This Row],[Product ID]],"P001",140,"P002",80,"P003",72,"P004",30,"P005",110,"P006",24,"P007",14,"P008",12,"P009",115,"P010",360)</f>
        <v>140</v>
      </c>
      <c r="T935" s="1" cm="1">
        <f t="array" ref="T935">(_xlfn.SWITCH(Table1[[#This Row],[Product ID]],"P001",140,"P002",80,"P003",72,"P004",30,"P005",110,"P006",24,"P007",14,"P008",12,"P009",115,"P010",360))*Table1[[#This Row],[Quantity]]</f>
        <v>1260</v>
      </c>
      <c r="U935" s="1" cm="1">
        <f t="array" ref="U935">_xlfn.SWITCH(Table1[[#This Row],[Product ID]],"P001",15,"P002",0,"P003",8,"P004",8,"P005",0,"P006",7,"P007",7,"P008",6,"P009",45,"P010",60)</f>
        <v>15</v>
      </c>
      <c r="V935" s="1">
        <f>Table1[[#This Row],[Shipping per Unit]]*Table1[[#This Row],[Quantity]]</f>
        <v>135</v>
      </c>
      <c r="W935" s="2">
        <f>IF(Table1[[#This Row],[Total Shipping]]&gt;0.1,0.2,0)</f>
        <v>0.2</v>
      </c>
      <c r="X935" s="4">
        <f>Table1[[#This Row],[Total Shipping]]*Table1[[#This Row],[VAT on Shipping]]</f>
        <v>27</v>
      </c>
      <c r="Y935" s="1">
        <f>Table1[[#This Row],[Revenue]]-Table1[[#This Row],[COGS]]</f>
        <v>621</v>
      </c>
      <c r="Z935" s="3">
        <f>(Table1[[#This Row],[Profit]]/Table1[[#This Row],[Revenue]])</f>
        <v>0.33014354066985646</v>
      </c>
      <c r="AA935" s="1">
        <f>Table1[[#This Row],[Profit]]-Table1[[#This Row],[Total Shipping]]</f>
        <v>486</v>
      </c>
      <c r="AB935" s="3">
        <f>Table1[[#This Row],[Operating Profit]]/Table1[[#This Row],[Revenue]]</f>
        <v>0.25837320574162681</v>
      </c>
    </row>
    <row r="936" spans="1:28" x14ac:dyDescent="0.25">
      <c r="A936" t="s">
        <v>403</v>
      </c>
      <c r="B936">
        <v>715</v>
      </c>
      <c r="C936" t="s">
        <v>38</v>
      </c>
      <c r="D936" t="s">
        <v>53</v>
      </c>
      <c r="E936" t="s">
        <v>49</v>
      </c>
      <c r="F936" t="s">
        <v>90</v>
      </c>
      <c r="G936" t="str" cm="1">
        <f t="array" ref="G936">_xlfn.SWITCH(F936,"Acme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936" t="s">
        <v>33</v>
      </c>
      <c r="I936" t="s">
        <v>75</v>
      </c>
      <c r="J936" t="str" cm="1">
        <f t="array" ref="J936">_xlfn.SWITCH(I936,"P001","Laptop","P002","Server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36" s="1" cm="1">
        <f t="array" ref="K936">_xlfn.SWITCH(Table1[[#This Row],[Product ID]],"P001",220,"P002",150,"P003",130,"P004",70,"P005",200,"P006",40,"P007",25,"P008",20,"P009",190,"P010",530)</f>
        <v>200</v>
      </c>
      <c r="L936">
        <v>18</v>
      </c>
      <c r="M936" s="1">
        <f>Table1[[#This Row],[Unit Price]]*Table1[[#This Row],[Quantity]]</f>
        <v>3600</v>
      </c>
      <c r="N936" s="2">
        <v>0.03</v>
      </c>
      <c r="O936" s="1">
        <f>Table1[[#This Row],[Gross Value]]*(1-Table1[[#This Row],[Discount]])</f>
        <v>3492</v>
      </c>
      <c r="P936" s="2">
        <v>0.2</v>
      </c>
      <c r="Q936" s="1">
        <f>Table1[[#This Row],[Revenue]]*Table1[[#This Row],[VAT Rate]]</f>
        <v>698.40000000000009</v>
      </c>
      <c r="R936" s="1">
        <f>Table1[[#This Row],[Revenue]]+Table1[[#This Row],[VAT Charged]]</f>
        <v>4190.3999999999996</v>
      </c>
      <c r="S936" s="1" cm="1">
        <f t="array" ref="S936">_xlfn.SWITCH(Table1[[#This Row],[Product ID]],"P001",140,"P002",80,"P003",72,"P004",30,"P005",110,"P006",24,"P007",14,"P008",12,"P009",115,"P010",360)</f>
        <v>110</v>
      </c>
      <c r="T936" s="1" cm="1">
        <f t="array" ref="T936">(_xlfn.SWITCH(Table1[[#This Row],[Product ID]],"P001",140,"P002",80,"P003",72,"P004",30,"P005",110,"P006",24,"P007",14,"P008",12,"P009",115,"P010",360))*Table1[[#This Row],[Quantity]]</f>
        <v>1980</v>
      </c>
      <c r="U936" s="1" cm="1">
        <f t="array" ref="U936">_xlfn.SWITCH(Table1[[#This Row],[Product ID]],"P001",15,"P002",0,"P003",8,"P004",8,"P005",0,"P006",7,"P007",7,"P008",6,"P009",45,"P010",60)</f>
        <v>0</v>
      </c>
      <c r="V936" s="1">
        <f>Table1[[#This Row],[Shipping per Unit]]*Table1[[#This Row],[Quantity]]</f>
        <v>0</v>
      </c>
      <c r="W936" s="2">
        <f>IF(Table1[[#This Row],[Total Shipping]]&gt;0.1,0.2,0)</f>
        <v>0</v>
      </c>
      <c r="X936" s="4">
        <f>Table1[[#This Row],[Total Shipping]]*Table1[[#This Row],[VAT on Shipping]]</f>
        <v>0</v>
      </c>
      <c r="Y936" s="1">
        <f>Table1[[#This Row],[Revenue]]-Table1[[#This Row],[COGS]]</f>
        <v>1512</v>
      </c>
      <c r="Z936" s="3">
        <f>(Table1[[#This Row],[Profit]]/Table1[[#This Row],[Revenue]])</f>
        <v>0.4329896907216495</v>
      </c>
      <c r="AA936" s="1">
        <f>Table1[[#This Row],[Profit]]-Table1[[#This Row],[Total Shipping]]</f>
        <v>1512</v>
      </c>
      <c r="AB936" s="3">
        <f>Table1[[#This Row],[Operating Profit]]/Table1[[#This Row],[Revenue]]</f>
        <v>0.4329896907216495</v>
      </c>
    </row>
    <row r="937" spans="1:28" x14ac:dyDescent="0.25">
      <c r="A937" t="s">
        <v>404</v>
      </c>
      <c r="B937">
        <v>557</v>
      </c>
      <c r="C937" t="s">
        <v>38</v>
      </c>
      <c r="D937" t="s">
        <v>95</v>
      </c>
      <c r="E937" t="s">
        <v>40</v>
      </c>
      <c r="F937" t="s">
        <v>74</v>
      </c>
      <c r="G937" t="str" cm="1">
        <f t="array" ref="G937">_xlfn.SWITCH(F937,"Acme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937" t="s">
        <v>33</v>
      </c>
      <c r="I937" t="s">
        <v>75</v>
      </c>
      <c r="J937" t="str" cm="1">
        <f t="array" ref="J937">_xlfn.SWITCH(I937,"P001","Laptop","P002","Server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37" s="1" cm="1">
        <f t="array" ref="K937">_xlfn.SWITCH(Table1[[#This Row],[Product ID]],"P001",220,"P002",150,"P003",130,"P004",70,"P005",200,"P006",40,"P007",25,"P008",20,"P009",190,"P010",530)</f>
        <v>200</v>
      </c>
      <c r="L937">
        <v>14</v>
      </c>
      <c r="M937" s="1">
        <f>Table1[[#This Row],[Unit Price]]*Table1[[#This Row],[Quantity]]</f>
        <v>2800</v>
      </c>
      <c r="N937" s="2">
        <v>0.06</v>
      </c>
      <c r="O937" s="1">
        <f>Table1[[#This Row],[Gross Value]]*(1-Table1[[#This Row],[Discount]])</f>
        <v>2632</v>
      </c>
      <c r="P937" s="2">
        <v>0.2</v>
      </c>
      <c r="Q937" s="1">
        <f>Table1[[#This Row],[Revenue]]*Table1[[#This Row],[VAT Rate]]</f>
        <v>526.4</v>
      </c>
      <c r="R937" s="1">
        <f>Table1[[#This Row],[Revenue]]+Table1[[#This Row],[VAT Charged]]</f>
        <v>3158.4</v>
      </c>
      <c r="S937" s="1" cm="1">
        <f t="array" ref="S937">_xlfn.SWITCH(Table1[[#This Row],[Product ID]],"P001",140,"P002",80,"P003",72,"P004",30,"P005",110,"P006",24,"P007",14,"P008",12,"P009",115,"P010",360)</f>
        <v>110</v>
      </c>
      <c r="T937" s="1" cm="1">
        <f t="array" ref="T937">(_xlfn.SWITCH(Table1[[#This Row],[Product ID]],"P001",140,"P002",80,"P003",72,"P004",30,"P005",110,"P006",24,"P007",14,"P008",12,"P009",115,"P010",360))*Table1[[#This Row],[Quantity]]</f>
        <v>1540</v>
      </c>
      <c r="U937" s="1" cm="1">
        <f t="array" ref="U937">_xlfn.SWITCH(Table1[[#This Row],[Product ID]],"P001",15,"P002",0,"P003",8,"P004",8,"P005",0,"P006",7,"P007",7,"P008",6,"P009",45,"P010",60)</f>
        <v>0</v>
      </c>
      <c r="V937" s="1">
        <f>Table1[[#This Row],[Shipping per Unit]]*Table1[[#This Row],[Quantity]]</f>
        <v>0</v>
      </c>
      <c r="W937" s="2">
        <f>IF(Table1[[#This Row],[Total Shipping]]&gt;0.1,0.2,0)</f>
        <v>0</v>
      </c>
      <c r="X937" s="4">
        <f>Table1[[#This Row],[Total Shipping]]*Table1[[#This Row],[VAT on Shipping]]</f>
        <v>0</v>
      </c>
      <c r="Y937" s="1">
        <f>Table1[[#This Row],[Revenue]]-Table1[[#This Row],[COGS]]</f>
        <v>1092</v>
      </c>
      <c r="Z937" s="3">
        <f>(Table1[[#This Row],[Profit]]/Table1[[#This Row],[Revenue]])</f>
        <v>0.41489361702127658</v>
      </c>
      <c r="AA937" s="1">
        <f>Table1[[#This Row],[Profit]]-Table1[[#This Row],[Total Shipping]]</f>
        <v>1092</v>
      </c>
      <c r="AB937" s="3">
        <f>Table1[[#This Row],[Operating Profit]]/Table1[[#This Row],[Revenue]]</f>
        <v>0.41489361702127658</v>
      </c>
    </row>
    <row r="938" spans="1:28" x14ac:dyDescent="0.25">
      <c r="A938" t="s">
        <v>404</v>
      </c>
      <c r="B938">
        <v>647</v>
      </c>
      <c r="C938" t="s">
        <v>56</v>
      </c>
      <c r="D938" t="s">
        <v>95</v>
      </c>
      <c r="E938" t="s">
        <v>49</v>
      </c>
      <c r="F938" t="s">
        <v>84</v>
      </c>
      <c r="G938" t="str" cm="1">
        <f t="array" ref="G938">_xlfn.SWITCH(F938,"Acme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938" t="s">
        <v>45</v>
      </c>
      <c r="I938" t="s">
        <v>70</v>
      </c>
      <c r="J938" t="str" cm="1">
        <f t="array" ref="J938">_xlfn.SWITCH(I938,"P001","Laptop","P002","Server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938" s="1" cm="1">
        <f t="array" ref="K938">_xlfn.SWITCH(Table1[[#This Row],[Product ID]],"P001",220,"P002",150,"P003",130,"P004",70,"P005",200,"P006",40,"P007",25,"P008",20,"P009",190,"P010",530)</f>
        <v>150</v>
      </c>
      <c r="L938">
        <v>16</v>
      </c>
      <c r="M938" s="1">
        <f>Table1[[#This Row],[Unit Price]]*Table1[[#This Row],[Quantity]]</f>
        <v>2400</v>
      </c>
      <c r="N938" s="2">
        <v>0.03</v>
      </c>
      <c r="O938" s="1">
        <f>Table1[[#This Row],[Gross Value]]*(1-Table1[[#This Row],[Discount]])</f>
        <v>2328</v>
      </c>
      <c r="P938" s="2">
        <v>0.2</v>
      </c>
      <c r="Q938" s="1">
        <f>Table1[[#This Row],[Revenue]]*Table1[[#This Row],[VAT Rate]]</f>
        <v>465.6</v>
      </c>
      <c r="R938" s="1">
        <f>Table1[[#This Row],[Revenue]]+Table1[[#This Row],[VAT Charged]]</f>
        <v>2793.6</v>
      </c>
      <c r="S938" s="1" cm="1">
        <f t="array" ref="S938">_xlfn.SWITCH(Table1[[#This Row],[Product ID]],"P001",140,"P002",80,"P003",72,"P004",30,"P005",110,"P006",24,"P007",14,"P008",12,"P009",115,"P010",360)</f>
        <v>80</v>
      </c>
      <c r="T938" s="1" cm="1">
        <f t="array" ref="T938">(_xlfn.SWITCH(Table1[[#This Row],[Product ID]],"P001",140,"P002",80,"P003",72,"P004",30,"P005",110,"P006",24,"P007",14,"P008",12,"P009",115,"P010",360))*Table1[[#This Row],[Quantity]]</f>
        <v>1280</v>
      </c>
      <c r="U938" s="1" cm="1">
        <f t="array" ref="U938">_xlfn.SWITCH(Table1[[#This Row],[Product ID]],"P001",15,"P002",0,"P003",8,"P004",8,"P005",0,"P006",7,"P007",7,"P008",6,"P009",45,"P010",60)</f>
        <v>0</v>
      </c>
      <c r="V938" s="1">
        <f>Table1[[#This Row],[Shipping per Unit]]*Table1[[#This Row],[Quantity]]</f>
        <v>0</v>
      </c>
      <c r="W938" s="2">
        <f>IF(Table1[[#This Row],[Total Shipping]]&gt;0.1,0.2,0)</f>
        <v>0</v>
      </c>
      <c r="X938" s="4">
        <f>Table1[[#This Row],[Total Shipping]]*Table1[[#This Row],[VAT on Shipping]]</f>
        <v>0</v>
      </c>
      <c r="Y938" s="1">
        <f>Table1[[#This Row],[Revenue]]-Table1[[#This Row],[COGS]]</f>
        <v>1048</v>
      </c>
      <c r="Z938" s="3">
        <f>(Table1[[#This Row],[Profit]]/Table1[[#This Row],[Revenue]])</f>
        <v>0.45017182130584193</v>
      </c>
      <c r="AA938" s="1">
        <f>Table1[[#This Row],[Profit]]-Table1[[#This Row],[Total Shipping]]</f>
        <v>1048</v>
      </c>
      <c r="AB938" s="3">
        <f>Table1[[#This Row],[Operating Profit]]/Table1[[#This Row],[Revenue]]</f>
        <v>0.45017182130584193</v>
      </c>
    </row>
    <row r="939" spans="1:28" x14ac:dyDescent="0.25">
      <c r="A939" t="s">
        <v>405</v>
      </c>
      <c r="B939">
        <v>442</v>
      </c>
      <c r="C939" t="s">
        <v>35</v>
      </c>
      <c r="D939" t="s">
        <v>48</v>
      </c>
      <c r="E939" t="s">
        <v>40</v>
      </c>
      <c r="F939" t="s">
        <v>78</v>
      </c>
      <c r="G939" t="str" cm="1">
        <f t="array" ref="G939">_xlfn.SWITCH(F939,"Acme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939" t="s">
        <v>33</v>
      </c>
      <c r="I939" t="s">
        <v>70</v>
      </c>
      <c r="J939" t="str" cm="1">
        <f t="array" ref="J939">_xlfn.SWITCH(I939,"P001","Laptop","P002","Server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939" s="1" cm="1">
        <f t="array" ref="K939">_xlfn.SWITCH(Table1[[#This Row],[Product ID]],"P001",220,"P002",150,"P003",130,"P004",70,"P005",200,"P006",40,"P007",25,"P008",20,"P009",190,"P010",530)</f>
        <v>150</v>
      </c>
      <c r="L939">
        <v>19</v>
      </c>
      <c r="M939" s="1">
        <f>Table1[[#This Row],[Unit Price]]*Table1[[#This Row],[Quantity]]</f>
        <v>2850</v>
      </c>
      <c r="N939" s="2">
        <v>0.05</v>
      </c>
      <c r="O939" s="1">
        <f>Table1[[#This Row],[Gross Value]]*(1-Table1[[#This Row],[Discount]])</f>
        <v>2707.5</v>
      </c>
      <c r="P939" s="2">
        <v>0.2</v>
      </c>
      <c r="Q939" s="1">
        <f>Table1[[#This Row],[Revenue]]*Table1[[#This Row],[VAT Rate]]</f>
        <v>541.5</v>
      </c>
      <c r="R939" s="1">
        <f>Table1[[#This Row],[Revenue]]+Table1[[#This Row],[VAT Charged]]</f>
        <v>3249</v>
      </c>
      <c r="S939" s="1" cm="1">
        <f t="array" ref="S939">_xlfn.SWITCH(Table1[[#This Row],[Product ID]],"P001",140,"P002",80,"P003",72,"P004",30,"P005",110,"P006",24,"P007",14,"P008",12,"P009",115,"P010",360)</f>
        <v>80</v>
      </c>
      <c r="T939" s="1" cm="1">
        <f t="array" ref="T939">(_xlfn.SWITCH(Table1[[#This Row],[Product ID]],"P001",140,"P002",80,"P003",72,"P004",30,"P005",110,"P006",24,"P007",14,"P008",12,"P009",115,"P010",360))*Table1[[#This Row],[Quantity]]</f>
        <v>1520</v>
      </c>
      <c r="U939" s="1" cm="1">
        <f t="array" ref="U939">_xlfn.SWITCH(Table1[[#This Row],[Product ID]],"P001",15,"P002",0,"P003",8,"P004",8,"P005",0,"P006",7,"P007",7,"P008",6,"P009",45,"P010",60)</f>
        <v>0</v>
      </c>
      <c r="V939" s="1">
        <f>Table1[[#This Row],[Shipping per Unit]]*Table1[[#This Row],[Quantity]]</f>
        <v>0</v>
      </c>
      <c r="W939" s="2">
        <f>IF(Table1[[#This Row],[Total Shipping]]&gt;0.1,0.2,0)</f>
        <v>0</v>
      </c>
      <c r="X939" s="4">
        <f>Table1[[#This Row],[Total Shipping]]*Table1[[#This Row],[VAT on Shipping]]</f>
        <v>0</v>
      </c>
      <c r="Y939" s="1">
        <f>Table1[[#This Row],[Revenue]]-Table1[[#This Row],[COGS]]</f>
        <v>1187.5</v>
      </c>
      <c r="Z939" s="3">
        <f>(Table1[[#This Row],[Profit]]/Table1[[#This Row],[Revenue]])</f>
        <v>0.43859649122807015</v>
      </c>
      <c r="AA939" s="1">
        <f>Table1[[#This Row],[Profit]]-Table1[[#This Row],[Total Shipping]]</f>
        <v>1187.5</v>
      </c>
      <c r="AB939" s="3">
        <f>Table1[[#This Row],[Operating Profit]]/Table1[[#This Row],[Revenue]]</f>
        <v>0.43859649122807015</v>
      </c>
    </row>
    <row r="940" spans="1:28" x14ac:dyDescent="0.25">
      <c r="A940" t="s">
        <v>405</v>
      </c>
      <c r="B940">
        <v>643</v>
      </c>
      <c r="C940" t="s">
        <v>65</v>
      </c>
      <c r="D940" t="s">
        <v>48</v>
      </c>
      <c r="E940" t="s">
        <v>31</v>
      </c>
      <c r="F940" t="s">
        <v>97</v>
      </c>
      <c r="G940" t="str" cm="1">
        <f t="array" ref="G940">_xlfn.SWITCH(F940,"Acme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C002</v>
      </c>
      <c r="H940" t="s">
        <v>104</v>
      </c>
      <c r="I940" t="s">
        <v>52</v>
      </c>
      <c r="J940" t="str" cm="1">
        <f t="array" ref="J940">_xlfn.SWITCH(I940,"P001","Laptop","P002","Server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40" s="1" cm="1">
        <f t="array" ref="K940">_xlfn.SWITCH(Table1[[#This Row],[Product ID]],"P001",220,"P002",150,"P003",130,"P004",70,"P005",200,"P006",40,"P007",25,"P008",20,"P009",190,"P010",530)</f>
        <v>130</v>
      </c>
      <c r="L940">
        <v>3</v>
      </c>
      <c r="M940" s="1">
        <f>Table1[[#This Row],[Unit Price]]*Table1[[#This Row],[Quantity]]</f>
        <v>390</v>
      </c>
      <c r="N940" s="2">
        <v>0.09</v>
      </c>
      <c r="O940" s="1">
        <f>Table1[[#This Row],[Gross Value]]*(1-Table1[[#This Row],[Discount]])</f>
        <v>354.90000000000003</v>
      </c>
      <c r="P940" s="2">
        <v>0.2</v>
      </c>
      <c r="Q940" s="1">
        <f>Table1[[#This Row],[Revenue]]*Table1[[#This Row],[VAT Rate]]</f>
        <v>70.98</v>
      </c>
      <c r="R940" s="1">
        <f>Table1[[#This Row],[Revenue]]+Table1[[#This Row],[VAT Charged]]</f>
        <v>425.88000000000005</v>
      </c>
      <c r="S940" s="1" cm="1">
        <f t="array" ref="S940">_xlfn.SWITCH(Table1[[#This Row],[Product ID]],"P001",140,"P002",80,"P003",72,"P004",30,"P005",110,"P006",24,"P007",14,"P008",12,"P009",115,"P010",360)</f>
        <v>72</v>
      </c>
      <c r="T940" s="1" cm="1">
        <f t="array" ref="T940">(_xlfn.SWITCH(Table1[[#This Row],[Product ID]],"P001",140,"P002",80,"P003",72,"P004",30,"P005",110,"P006",24,"P007",14,"P008",12,"P009",115,"P010",360))*Table1[[#This Row],[Quantity]]</f>
        <v>216</v>
      </c>
      <c r="U940" s="1" cm="1">
        <f t="array" ref="U940">_xlfn.SWITCH(Table1[[#This Row],[Product ID]],"P001",15,"P002",0,"P003",8,"P004",8,"P005",0,"P006",7,"P007",7,"P008",6,"P009",45,"P010",60)</f>
        <v>8</v>
      </c>
      <c r="V940" s="1">
        <f>Table1[[#This Row],[Shipping per Unit]]*Table1[[#This Row],[Quantity]]</f>
        <v>24</v>
      </c>
      <c r="W940" s="2">
        <f>IF(Table1[[#This Row],[Total Shipping]]&gt;0.1,0.2,0)</f>
        <v>0.2</v>
      </c>
      <c r="X940" s="4">
        <f>Table1[[#This Row],[Total Shipping]]*Table1[[#This Row],[VAT on Shipping]]</f>
        <v>4.8000000000000007</v>
      </c>
      <c r="Y940" s="1">
        <f>Table1[[#This Row],[Revenue]]-Table1[[#This Row],[COGS]]</f>
        <v>138.90000000000003</v>
      </c>
      <c r="Z940" s="3">
        <f>(Table1[[#This Row],[Profit]]/Table1[[#This Row],[Revenue]])</f>
        <v>0.39137785291631449</v>
      </c>
      <c r="AA940" s="1">
        <f>Table1[[#This Row],[Profit]]-Table1[[#This Row],[Total Shipping]]</f>
        <v>114.90000000000003</v>
      </c>
      <c r="AB940" s="3">
        <f>Table1[[#This Row],[Operating Profit]]/Table1[[#This Row],[Revenue]]</f>
        <v>0.32375316990701614</v>
      </c>
    </row>
    <row r="941" spans="1:28" x14ac:dyDescent="0.25">
      <c r="A941" t="s">
        <v>405</v>
      </c>
      <c r="B941">
        <v>841</v>
      </c>
      <c r="C941" t="s">
        <v>56</v>
      </c>
      <c r="D941" t="s">
        <v>95</v>
      </c>
      <c r="E941" t="s">
        <v>49</v>
      </c>
      <c r="F941" t="s">
        <v>50</v>
      </c>
      <c r="G941" t="str" cm="1">
        <f t="array" ref="G941">_xlfn.SWITCH(F941,"Acme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941" t="s">
        <v>33</v>
      </c>
      <c r="I941" t="s">
        <v>46</v>
      </c>
      <c r="J941" t="str" cm="1">
        <f t="array" ref="J941">_xlfn.SWITCH(I941,"P001","Laptop","P002","Server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41" s="1" cm="1">
        <f t="array" ref="K941">_xlfn.SWITCH(Table1[[#This Row],[Product ID]],"P001",220,"P002",150,"P003",130,"P004",70,"P005",200,"P006",40,"P007",25,"P008",20,"P009",190,"P010",530)</f>
        <v>530</v>
      </c>
      <c r="L941">
        <v>1</v>
      </c>
      <c r="M941" s="1">
        <f>Table1[[#This Row],[Unit Price]]*Table1[[#This Row],[Quantity]]</f>
        <v>530</v>
      </c>
      <c r="N941" s="2">
        <v>0.1</v>
      </c>
      <c r="O941" s="1">
        <f>Table1[[#This Row],[Gross Value]]*(1-Table1[[#This Row],[Discount]])</f>
        <v>477</v>
      </c>
      <c r="P941" s="2">
        <v>0.2</v>
      </c>
      <c r="Q941" s="1">
        <f>Table1[[#This Row],[Revenue]]*Table1[[#This Row],[VAT Rate]]</f>
        <v>95.4</v>
      </c>
      <c r="R941" s="1">
        <f>Table1[[#This Row],[Revenue]]+Table1[[#This Row],[VAT Charged]]</f>
        <v>572.4</v>
      </c>
      <c r="S941" s="1" cm="1">
        <f t="array" ref="S941">_xlfn.SWITCH(Table1[[#This Row],[Product ID]],"P001",140,"P002",80,"P003",72,"P004",30,"P005",110,"P006",24,"P007",14,"P008",12,"P009",115,"P010",360)</f>
        <v>360</v>
      </c>
      <c r="T941" s="1" cm="1">
        <f t="array" ref="T941">(_xlfn.SWITCH(Table1[[#This Row],[Product ID]],"P001",140,"P002",80,"P003",72,"P004",30,"P005",110,"P006",24,"P007",14,"P008",12,"P009",115,"P010",360))*Table1[[#This Row],[Quantity]]</f>
        <v>360</v>
      </c>
      <c r="U941" s="1" cm="1">
        <f t="array" ref="U941">_xlfn.SWITCH(Table1[[#This Row],[Product ID]],"P001",15,"P002",0,"P003",8,"P004",8,"P005",0,"P006",7,"P007",7,"P008",6,"P009",45,"P010",60)</f>
        <v>60</v>
      </c>
      <c r="V941" s="1">
        <f>Table1[[#This Row],[Shipping per Unit]]*Table1[[#This Row],[Quantity]]</f>
        <v>60</v>
      </c>
      <c r="W941" s="2">
        <f>IF(Table1[[#This Row],[Total Shipping]]&gt;0.1,0.2,0)</f>
        <v>0.2</v>
      </c>
      <c r="X941" s="4">
        <f>Table1[[#This Row],[Total Shipping]]*Table1[[#This Row],[VAT on Shipping]]</f>
        <v>12</v>
      </c>
      <c r="Y941" s="1">
        <f>Table1[[#This Row],[Revenue]]-Table1[[#This Row],[COGS]]</f>
        <v>117</v>
      </c>
      <c r="Z941" s="3">
        <f>(Table1[[#This Row],[Profit]]/Table1[[#This Row],[Revenue]])</f>
        <v>0.24528301886792453</v>
      </c>
      <c r="AA941" s="1">
        <f>Table1[[#This Row],[Profit]]-Table1[[#This Row],[Total Shipping]]</f>
        <v>57</v>
      </c>
      <c r="AB941" s="3">
        <f>Table1[[#This Row],[Operating Profit]]/Table1[[#This Row],[Revenue]]</f>
        <v>0.11949685534591195</v>
      </c>
    </row>
    <row r="942" spans="1:28" x14ac:dyDescent="0.25">
      <c r="A942" t="s">
        <v>405</v>
      </c>
      <c r="B942">
        <v>971</v>
      </c>
      <c r="C942" t="s">
        <v>29</v>
      </c>
      <c r="D942" t="s">
        <v>39</v>
      </c>
      <c r="E942" t="s">
        <v>49</v>
      </c>
      <c r="F942" t="s">
        <v>32</v>
      </c>
      <c r="G942" t="str" cm="1">
        <f t="array" ref="G942">_xlfn.SWITCH(F942,"Acme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942" t="s">
        <v>45</v>
      </c>
      <c r="I942" t="s">
        <v>91</v>
      </c>
      <c r="J942" t="str" cm="1">
        <f t="array" ref="J942">_xlfn.SWITCH(I942,"P001","Laptop","P002","Server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942" s="1" cm="1">
        <f t="array" ref="K942">_xlfn.SWITCH(Table1[[#This Row],[Product ID]],"P001",220,"P002",150,"P003",130,"P004",70,"P005",200,"P006",40,"P007",25,"P008",20,"P009",190,"P010",530)</f>
        <v>190</v>
      </c>
      <c r="L942">
        <v>8</v>
      </c>
      <c r="M942" s="1">
        <f>Table1[[#This Row],[Unit Price]]*Table1[[#This Row],[Quantity]]</f>
        <v>1520</v>
      </c>
      <c r="N942" s="2">
        <v>0.03</v>
      </c>
      <c r="O942" s="1">
        <f>Table1[[#This Row],[Gross Value]]*(1-Table1[[#This Row],[Discount]])</f>
        <v>1474.3999999999999</v>
      </c>
      <c r="P942" s="2">
        <v>0.2</v>
      </c>
      <c r="Q942" s="1">
        <f>Table1[[#This Row],[Revenue]]*Table1[[#This Row],[VAT Rate]]</f>
        <v>294.88</v>
      </c>
      <c r="R942" s="1">
        <f>Table1[[#This Row],[Revenue]]+Table1[[#This Row],[VAT Charged]]</f>
        <v>1769.2799999999997</v>
      </c>
      <c r="S942" s="1" cm="1">
        <f t="array" ref="S942">_xlfn.SWITCH(Table1[[#This Row],[Product ID]],"P001",140,"P002",80,"P003",72,"P004",30,"P005",110,"P006",24,"P007",14,"P008",12,"P009",115,"P010",360)</f>
        <v>115</v>
      </c>
      <c r="T942" s="1" cm="1">
        <f t="array" ref="T942">(_xlfn.SWITCH(Table1[[#This Row],[Product ID]],"P001",140,"P002",80,"P003",72,"P004",30,"P005",110,"P006",24,"P007",14,"P008",12,"P009",115,"P010",360))*Table1[[#This Row],[Quantity]]</f>
        <v>920</v>
      </c>
      <c r="U942" s="1" cm="1">
        <f t="array" ref="U942">_xlfn.SWITCH(Table1[[#This Row],[Product ID]],"P001",15,"P002",0,"P003",8,"P004",8,"P005",0,"P006",7,"P007",7,"P008",6,"P009",45,"P010",60)</f>
        <v>45</v>
      </c>
      <c r="V942" s="1">
        <f>Table1[[#This Row],[Shipping per Unit]]*Table1[[#This Row],[Quantity]]</f>
        <v>360</v>
      </c>
      <c r="W942" s="2">
        <f>IF(Table1[[#This Row],[Total Shipping]]&gt;0.1,0.2,0)</f>
        <v>0.2</v>
      </c>
      <c r="X942" s="4">
        <f>Table1[[#This Row],[Total Shipping]]*Table1[[#This Row],[VAT on Shipping]]</f>
        <v>72</v>
      </c>
      <c r="Y942" s="1">
        <f>Table1[[#This Row],[Revenue]]-Table1[[#This Row],[COGS]]</f>
        <v>554.39999999999986</v>
      </c>
      <c r="Z942" s="3">
        <f>(Table1[[#This Row],[Profit]]/Table1[[#This Row],[Revenue]])</f>
        <v>0.37601736299511662</v>
      </c>
      <c r="AA942" s="1">
        <f>Table1[[#This Row],[Profit]]-Table1[[#This Row],[Total Shipping]]</f>
        <v>194.39999999999986</v>
      </c>
      <c r="AB942" s="3">
        <f>Table1[[#This Row],[Operating Profit]]/Table1[[#This Row],[Revenue]]</f>
        <v>0.13185024416711874</v>
      </c>
    </row>
    <row r="943" spans="1:28" x14ac:dyDescent="0.25">
      <c r="A943" t="s">
        <v>406</v>
      </c>
      <c r="B943">
        <v>222</v>
      </c>
      <c r="C943" t="s">
        <v>38</v>
      </c>
      <c r="D943" t="s">
        <v>67</v>
      </c>
      <c r="E943" t="s">
        <v>40</v>
      </c>
      <c r="F943" t="s">
        <v>32</v>
      </c>
      <c r="G943" t="str" cm="1">
        <f t="array" ref="G943">_xlfn.SWITCH(F943,"Acme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943" t="s">
        <v>33</v>
      </c>
      <c r="I943" t="s">
        <v>68</v>
      </c>
      <c r="J943" t="str" cm="1">
        <f t="array" ref="J943">_xlfn.SWITCH(I943,"P001","Laptop","P002","Server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43" s="1" cm="1">
        <f t="array" ref="K943">_xlfn.SWITCH(Table1[[#This Row],[Product ID]],"P001",220,"P002",150,"P003",130,"P004",70,"P005",200,"P006",40,"P007",25,"P008",20,"P009",190,"P010",530)</f>
        <v>220</v>
      </c>
      <c r="L943">
        <v>7</v>
      </c>
      <c r="M943" s="1">
        <f>Table1[[#This Row],[Unit Price]]*Table1[[#This Row],[Quantity]]</f>
        <v>1540</v>
      </c>
      <c r="N943" s="2">
        <v>0.12</v>
      </c>
      <c r="O943" s="1">
        <f>Table1[[#This Row],[Gross Value]]*(1-Table1[[#This Row],[Discount]])</f>
        <v>1355.2</v>
      </c>
      <c r="P943" s="2">
        <v>0.2</v>
      </c>
      <c r="Q943" s="1">
        <f>Table1[[#This Row],[Revenue]]*Table1[[#This Row],[VAT Rate]]</f>
        <v>271.04000000000002</v>
      </c>
      <c r="R943" s="1">
        <f>Table1[[#This Row],[Revenue]]+Table1[[#This Row],[VAT Charged]]</f>
        <v>1626.24</v>
      </c>
      <c r="S943" s="1" cm="1">
        <f t="array" ref="S943">_xlfn.SWITCH(Table1[[#This Row],[Product ID]],"P001",140,"P002",80,"P003",72,"P004",30,"P005",110,"P006",24,"P007",14,"P008",12,"P009",115,"P010",360)</f>
        <v>140</v>
      </c>
      <c r="T943" s="1" cm="1">
        <f t="array" ref="T943">(_xlfn.SWITCH(Table1[[#This Row],[Product ID]],"P001",140,"P002",80,"P003",72,"P004",30,"P005",110,"P006",24,"P007",14,"P008",12,"P009",115,"P010",360))*Table1[[#This Row],[Quantity]]</f>
        <v>980</v>
      </c>
      <c r="U943" s="1" cm="1">
        <f t="array" ref="U943">_xlfn.SWITCH(Table1[[#This Row],[Product ID]],"P001",15,"P002",0,"P003",8,"P004",8,"P005",0,"P006",7,"P007",7,"P008",6,"P009",45,"P010",60)</f>
        <v>15</v>
      </c>
      <c r="V943" s="1">
        <f>Table1[[#This Row],[Shipping per Unit]]*Table1[[#This Row],[Quantity]]</f>
        <v>105</v>
      </c>
      <c r="W943" s="2">
        <f>IF(Table1[[#This Row],[Total Shipping]]&gt;0.1,0.2,0)</f>
        <v>0.2</v>
      </c>
      <c r="X943" s="4">
        <f>Table1[[#This Row],[Total Shipping]]*Table1[[#This Row],[VAT on Shipping]]</f>
        <v>21</v>
      </c>
      <c r="Y943" s="1">
        <f>Table1[[#This Row],[Revenue]]-Table1[[#This Row],[COGS]]</f>
        <v>375.20000000000005</v>
      </c>
      <c r="Z943" s="3">
        <f>(Table1[[#This Row],[Profit]]/Table1[[#This Row],[Revenue]])</f>
        <v>0.27685950413223143</v>
      </c>
      <c r="AA943" s="1">
        <f>Table1[[#This Row],[Profit]]-Table1[[#This Row],[Total Shipping]]</f>
        <v>270.20000000000005</v>
      </c>
      <c r="AB943" s="3">
        <f>Table1[[#This Row],[Operating Profit]]/Table1[[#This Row],[Revenue]]</f>
        <v>0.19938016528925623</v>
      </c>
    </row>
    <row r="944" spans="1:28" x14ac:dyDescent="0.25">
      <c r="A944" t="s">
        <v>406</v>
      </c>
      <c r="B944">
        <v>391</v>
      </c>
      <c r="C944" t="s">
        <v>71</v>
      </c>
      <c r="D944" t="s">
        <v>39</v>
      </c>
      <c r="E944" t="s">
        <v>40</v>
      </c>
      <c r="F944" t="s">
        <v>90</v>
      </c>
      <c r="G944" t="str" cm="1">
        <f t="array" ref="G944">_xlfn.SWITCH(F944,"Acme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944" t="s">
        <v>104</v>
      </c>
      <c r="I944" t="s">
        <v>60</v>
      </c>
      <c r="J944" t="str" cm="1">
        <f t="array" ref="J944">_xlfn.SWITCH(I944,"P001","Laptop","P002","Server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944" s="1" cm="1">
        <f t="array" ref="K944">_xlfn.SWITCH(Table1[[#This Row],[Product ID]],"P001",220,"P002",150,"P003",130,"P004",70,"P005",200,"P006",40,"P007",25,"P008",20,"P009",190,"P010",530)</f>
        <v>25</v>
      </c>
      <c r="L944">
        <v>18</v>
      </c>
      <c r="M944" s="1">
        <f>Table1[[#This Row],[Unit Price]]*Table1[[#This Row],[Quantity]]</f>
        <v>450</v>
      </c>
      <c r="N944" s="2">
        <v>0.06</v>
      </c>
      <c r="O944" s="1">
        <f>Table1[[#This Row],[Gross Value]]*(1-Table1[[#This Row],[Discount]])</f>
        <v>423</v>
      </c>
      <c r="P944" s="2">
        <v>0.2</v>
      </c>
      <c r="Q944" s="1">
        <f>Table1[[#This Row],[Revenue]]*Table1[[#This Row],[VAT Rate]]</f>
        <v>84.600000000000009</v>
      </c>
      <c r="R944" s="1">
        <f>Table1[[#This Row],[Revenue]]+Table1[[#This Row],[VAT Charged]]</f>
        <v>507.6</v>
      </c>
      <c r="S944" s="1" cm="1">
        <f t="array" ref="S944">_xlfn.SWITCH(Table1[[#This Row],[Product ID]],"P001",140,"P002",80,"P003",72,"P004",30,"P005",110,"P006",24,"P007",14,"P008",12,"P009",115,"P010",360)</f>
        <v>14</v>
      </c>
      <c r="T944" s="1" cm="1">
        <f t="array" ref="T944">(_xlfn.SWITCH(Table1[[#This Row],[Product ID]],"P001",140,"P002",80,"P003",72,"P004",30,"P005",110,"P006",24,"P007",14,"P008",12,"P009",115,"P010",360))*Table1[[#This Row],[Quantity]]</f>
        <v>252</v>
      </c>
      <c r="U944" s="1" cm="1">
        <f t="array" ref="U944">_xlfn.SWITCH(Table1[[#This Row],[Product ID]],"P001",15,"P002",0,"P003",8,"P004",8,"P005",0,"P006",7,"P007",7,"P008",6,"P009",45,"P010",60)</f>
        <v>7</v>
      </c>
      <c r="V944" s="1">
        <f>Table1[[#This Row],[Shipping per Unit]]*Table1[[#This Row],[Quantity]]</f>
        <v>126</v>
      </c>
      <c r="W944" s="2">
        <f>IF(Table1[[#This Row],[Total Shipping]]&gt;0.1,0.2,0)</f>
        <v>0.2</v>
      </c>
      <c r="X944" s="4">
        <f>Table1[[#This Row],[Total Shipping]]*Table1[[#This Row],[VAT on Shipping]]</f>
        <v>25.200000000000003</v>
      </c>
      <c r="Y944" s="1">
        <f>Table1[[#This Row],[Revenue]]-Table1[[#This Row],[COGS]]</f>
        <v>171</v>
      </c>
      <c r="Z944" s="3">
        <f>(Table1[[#This Row],[Profit]]/Table1[[#This Row],[Revenue]])</f>
        <v>0.40425531914893614</v>
      </c>
      <c r="AA944" s="1">
        <f>Table1[[#This Row],[Profit]]-Table1[[#This Row],[Total Shipping]]</f>
        <v>45</v>
      </c>
      <c r="AB944" s="3">
        <f>Table1[[#This Row],[Operating Profit]]/Table1[[#This Row],[Revenue]]</f>
        <v>0.10638297872340426</v>
      </c>
    </row>
    <row r="945" spans="1:28" x14ac:dyDescent="0.25">
      <c r="A945" t="s">
        <v>407</v>
      </c>
      <c r="B945">
        <v>58</v>
      </c>
      <c r="C945" t="s">
        <v>71</v>
      </c>
      <c r="D945" t="s">
        <v>63</v>
      </c>
      <c r="E945" t="s">
        <v>31</v>
      </c>
      <c r="F945" t="s">
        <v>84</v>
      </c>
      <c r="G945" t="str" cm="1">
        <f t="array" ref="G945">_xlfn.SWITCH(F945,"Acme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C008</v>
      </c>
      <c r="H945" t="s">
        <v>104</v>
      </c>
      <c r="I945" t="s">
        <v>42</v>
      </c>
      <c r="J945" t="str" cm="1">
        <f t="array" ref="J945">_xlfn.SWITCH(I945,"P001","Laptop","P002","Server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45" s="1" cm="1">
        <f t="array" ref="K945">_xlfn.SWITCH(Table1[[#This Row],[Product ID]],"P001",220,"P002",150,"P003",130,"P004",70,"P005",200,"P006",40,"P007",25,"P008",20,"P009",190,"P010",530)</f>
        <v>40</v>
      </c>
      <c r="L945">
        <v>17</v>
      </c>
      <c r="M945" s="1">
        <f>Table1[[#This Row],[Unit Price]]*Table1[[#This Row],[Quantity]]</f>
        <v>680</v>
      </c>
      <c r="N945" s="2">
        <v>0.03</v>
      </c>
      <c r="O945" s="1">
        <f>Table1[[#This Row],[Gross Value]]*(1-Table1[[#This Row],[Discount]])</f>
        <v>659.6</v>
      </c>
      <c r="P945" s="2">
        <v>0.2</v>
      </c>
      <c r="Q945" s="1">
        <f>Table1[[#This Row],[Revenue]]*Table1[[#This Row],[VAT Rate]]</f>
        <v>131.92000000000002</v>
      </c>
      <c r="R945" s="1">
        <f>Table1[[#This Row],[Revenue]]+Table1[[#This Row],[VAT Charged]]</f>
        <v>791.52</v>
      </c>
      <c r="S945" s="1" cm="1">
        <f t="array" ref="S945">_xlfn.SWITCH(Table1[[#This Row],[Product ID]],"P001",140,"P002",80,"P003",72,"P004",30,"P005",110,"P006",24,"P007",14,"P008",12,"P009",115,"P010",360)</f>
        <v>24</v>
      </c>
      <c r="T945" s="1" cm="1">
        <f t="array" ref="T945">(_xlfn.SWITCH(Table1[[#This Row],[Product ID]],"P001",140,"P002",80,"P003",72,"P004",30,"P005",110,"P006",24,"P007",14,"P008",12,"P009",115,"P010",360))*Table1[[#This Row],[Quantity]]</f>
        <v>408</v>
      </c>
      <c r="U945" s="1" cm="1">
        <f t="array" ref="U945">_xlfn.SWITCH(Table1[[#This Row],[Product ID]],"P001",15,"P002",0,"P003",8,"P004",8,"P005",0,"P006",7,"P007",7,"P008",6,"P009",45,"P010",60)</f>
        <v>7</v>
      </c>
      <c r="V945" s="1">
        <f>Table1[[#This Row],[Shipping per Unit]]*Table1[[#This Row],[Quantity]]</f>
        <v>119</v>
      </c>
      <c r="W945" s="2">
        <f>IF(Table1[[#This Row],[Total Shipping]]&gt;0.1,0.2,0)</f>
        <v>0.2</v>
      </c>
      <c r="X945" s="4">
        <f>Table1[[#This Row],[Total Shipping]]*Table1[[#This Row],[VAT on Shipping]]</f>
        <v>23.8</v>
      </c>
      <c r="Y945" s="1">
        <f>Table1[[#This Row],[Revenue]]-Table1[[#This Row],[COGS]]</f>
        <v>251.60000000000002</v>
      </c>
      <c r="Z945" s="3">
        <f>(Table1[[#This Row],[Profit]]/Table1[[#This Row],[Revenue]])</f>
        <v>0.3814432989690722</v>
      </c>
      <c r="AA945" s="1">
        <f>Table1[[#This Row],[Profit]]-Table1[[#This Row],[Total Shipping]]</f>
        <v>132.60000000000002</v>
      </c>
      <c r="AB945" s="3">
        <f>Table1[[#This Row],[Operating Profit]]/Table1[[#This Row],[Revenue]]</f>
        <v>0.20103092783505158</v>
      </c>
    </row>
    <row r="946" spans="1:28" x14ac:dyDescent="0.25">
      <c r="A946" t="s">
        <v>407</v>
      </c>
      <c r="B946">
        <v>70</v>
      </c>
      <c r="C946" t="s">
        <v>71</v>
      </c>
      <c r="D946" t="s">
        <v>57</v>
      </c>
      <c r="E946" t="s">
        <v>31</v>
      </c>
      <c r="F946" t="s">
        <v>79</v>
      </c>
      <c r="G946" t="str" cm="1">
        <f t="array" ref="G946">_xlfn.SWITCH(F946,"Acme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946" t="s">
        <v>33</v>
      </c>
      <c r="I946" t="s">
        <v>55</v>
      </c>
      <c r="J946" t="str" cm="1">
        <f t="array" ref="J946">_xlfn.SWITCH(I946,"P001","Laptop","P002","Server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46" s="1" cm="1">
        <f t="array" ref="K946">_xlfn.SWITCH(Table1[[#This Row],[Product ID]],"P001",220,"P002",150,"P003",130,"P004",70,"P005",200,"P006",40,"P007",25,"P008",20,"P009",190,"P010",530)</f>
        <v>70</v>
      </c>
      <c r="L946">
        <v>6</v>
      </c>
      <c r="M946" s="1">
        <f>Table1[[#This Row],[Unit Price]]*Table1[[#This Row],[Quantity]]</f>
        <v>420</v>
      </c>
      <c r="N946" s="2">
        <v>0.05</v>
      </c>
      <c r="O946" s="1">
        <f>Table1[[#This Row],[Gross Value]]*(1-Table1[[#This Row],[Discount]])</f>
        <v>399</v>
      </c>
      <c r="P946" s="2">
        <v>0.2</v>
      </c>
      <c r="Q946" s="1">
        <f>Table1[[#This Row],[Revenue]]*Table1[[#This Row],[VAT Rate]]</f>
        <v>79.800000000000011</v>
      </c>
      <c r="R946" s="1">
        <f>Table1[[#This Row],[Revenue]]+Table1[[#This Row],[VAT Charged]]</f>
        <v>478.8</v>
      </c>
      <c r="S946" s="1" cm="1">
        <f t="array" ref="S946">_xlfn.SWITCH(Table1[[#This Row],[Product ID]],"P001",140,"P002",80,"P003",72,"P004",30,"P005",110,"P006",24,"P007",14,"P008",12,"P009",115,"P010",360)</f>
        <v>30</v>
      </c>
      <c r="T946" s="1" cm="1">
        <f t="array" ref="T946">(_xlfn.SWITCH(Table1[[#This Row],[Product ID]],"P001",140,"P002",80,"P003",72,"P004",30,"P005",110,"P006",24,"P007",14,"P008",12,"P009",115,"P010",360))*Table1[[#This Row],[Quantity]]</f>
        <v>180</v>
      </c>
      <c r="U946" s="1" cm="1">
        <f t="array" ref="U946">_xlfn.SWITCH(Table1[[#This Row],[Product ID]],"P001",15,"P002",0,"P003",8,"P004",8,"P005",0,"P006",7,"P007",7,"P008",6,"P009",45,"P010",60)</f>
        <v>8</v>
      </c>
      <c r="V946" s="1">
        <f>Table1[[#This Row],[Shipping per Unit]]*Table1[[#This Row],[Quantity]]</f>
        <v>48</v>
      </c>
      <c r="W946" s="2">
        <f>IF(Table1[[#This Row],[Total Shipping]]&gt;0.1,0.2,0)</f>
        <v>0.2</v>
      </c>
      <c r="X946" s="4">
        <f>Table1[[#This Row],[Total Shipping]]*Table1[[#This Row],[VAT on Shipping]]</f>
        <v>9.6000000000000014</v>
      </c>
      <c r="Y946" s="1">
        <f>Table1[[#This Row],[Revenue]]-Table1[[#This Row],[COGS]]</f>
        <v>219</v>
      </c>
      <c r="Z946" s="3">
        <f>(Table1[[#This Row],[Profit]]/Table1[[#This Row],[Revenue]])</f>
        <v>0.54887218045112784</v>
      </c>
      <c r="AA946" s="1">
        <f>Table1[[#This Row],[Profit]]-Table1[[#This Row],[Total Shipping]]</f>
        <v>171</v>
      </c>
      <c r="AB946" s="3">
        <f>Table1[[#This Row],[Operating Profit]]/Table1[[#This Row],[Revenue]]</f>
        <v>0.42857142857142855</v>
      </c>
    </row>
    <row r="947" spans="1:28" x14ac:dyDescent="0.25">
      <c r="A947" t="s">
        <v>407</v>
      </c>
      <c r="B947">
        <v>125</v>
      </c>
      <c r="C947" t="s">
        <v>83</v>
      </c>
      <c r="D947" t="s">
        <v>67</v>
      </c>
      <c r="E947" t="s">
        <v>40</v>
      </c>
      <c r="F947" t="s">
        <v>90</v>
      </c>
      <c r="G947" t="str" cm="1">
        <f t="array" ref="G947">_xlfn.SWITCH(F947,"Acme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947" t="s">
        <v>33</v>
      </c>
      <c r="I947" t="s">
        <v>68</v>
      </c>
      <c r="J947" t="str" cm="1">
        <f t="array" ref="J947">_xlfn.SWITCH(I947,"P001","Laptop","P002","Server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47" s="1" cm="1">
        <f t="array" ref="K947">_xlfn.SWITCH(Table1[[#This Row],[Product ID]],"P001",220,"P002",150,"P003",130,"P004",70,"P005",200,"P006",40,"P007",25,"P008",20,"P009",190,"P010",530)</f>
        <v>220</v>
      </c>
      <c r="L947">
        <v>10</v>
      </c>
      <c r="M947" s="1">
        <f>Table1[[#This Row],[Unit Price]]*Table1[[#This Row],[Quantity]]</f>
        <v>2200</v>
      </c>
      <c r="N947" s="2">
        <v>0.02</v>
      </c>
      <c r="O947" s="1">
        <f>Table1[[#This Row],[Gross Value]]*(1-Table1[[#This Row],[Discount]])</f>
        <v>2156</v>
      </c>
      <c r="P947" s="2">
        <v>0.2</v>
      </c>
      <c r="Q947" s="1">
        <f>Table1[[#This Row],[Revenue]]*Table1[[#This Row],[VAT Rate]]</f>
        <v>431.20000000000005</v>
      </c>
      <c r="R947" s="1">
        <f>Table1[[#This Row],[Revenue]]+Table1[[#This Row],[VAT Charged]]</f>
        <v>2587.1999999999998</v>
      </c>
      <c r="S947" s="1" cm="1">
        <f t="array" ref="S947">_xlfn.SWITCH(Table1[[#This Row],[Product ID]],"P001",140,"P002",80,"P003",72,"P004",30,"P005",110,"P006",24,"P007",14,"P008",12,"P009",115,"P010",360)</f>
        <v>140</v>
      </c>
      <c r="T947" s="1" cm="1">
        <f t="array" ref="T947">(_xlfn.SWITCH(Table1[[#This Row],[Product ID]],"P001",140,"P002",80,"P003",72,"P004",30,"P005",110,"P006",24,"P007",14,"P008",12,"P009",115,"P010",360))*Table1[[#This Row],[Quantity]]</f>
        <v>1400</v>
      </c>
      <c r="U947" s="1" cm="1">
        <f t="array" ref="U947">_xlfn.SWITCH(Table1[[#This Row],[Product ID]],"P001",15,"P002",0,"P003",8,"P004",8,"P005",0,"P006",7,"P007",7,"P008",6,"P009",45,"P010",60)</f>
        <v>15</v>
      </c>
      <c r="V947" s="1">
        <f>Table1[[#This Row],[Shipping per Unit]]*Table1[[#This Row],[Quantity]]</f>
        <v>150</v>
      </c>
      <c r="W947" s="2">
        <f>IF(Table1[[#This Row],[Total Shipping]]&gt;0.1,0.2,0)</f>
        <v>0.2</v>
      </c>
      <c r="X947" s="4">
        <f>Table1[[#This Row],[Total Shipping]]*Table1[[#This Row],[VAT on Shipping]]</f>
        <v>30</v>
      </c>
      <c r="Y947" s="1">
        <f>Table1[[#This Row],[Revenue]]-Table1[[#This Row],[COGS]]</f>
        <v>756</v>
      </c>
      <c r="Z947" s="3">
        <f>(Table1[[#This Row],[Profit]]/Table1[[#This Row],[Revenue]])</f>
        <v>0.35064935064935066</v>
      </c>
      <c r="AA947" s="1">
        <f>Table1[[#This Row],[Profit]]-Table1[[#This Row],[Total Shipping]]</f>
        <v>606</v>
      </c>
      <c r="AB947" s="3">
        <f>Table1[[#This Row],[Operating Profit]]/Table1[[#This Row],[Revenue]]</f>
        <v>0.28107606679035252</v>
      </c>
    </row>
    <row r="948" spans="1:28" x14ac:dyDescent="0.25">
      <c r="A948" t="s">
        <v>407</v>
      </c>
      <c r="B948">
        <v>654</v>
      </c>
      <c r="C948" t="s">
        <v>29</v>
      </c>
      <c r="D948" t="s">
        <v>48</v>
      </c>
      <c r="E948" t="s">
        <v>40</v>
      </c>
      <c r="F948" t="s">
        <v>86</v>
      </c>
      <c r="G948" t="str" cm="1">
        <f t="array" ref="G948">_xlfn.SWITCH(F948,"Acme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48" t="s">
        <v>33</v>
      </c>
      <c r="I948" t="s">
        <v>55</v>
      </c>
      <c r="J948" t="str" cm="1">
        <f t="array" ref="J948">_xlfn.SWITCH(I948,"P001","Laptop","P002","Server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48" s="1" cm="1">
        <f t="array" ref="K948">_xlfn.SWITCH(Table1[[#This Row],[Product ID]],"P001",220,"P002",150,"P003",130,"P004",70,"P005",200,"P006",40,"P007",25,"P008",20,"P009",190,"P010",530)</f>
        <v>70</v>
      </c>
      <c r="L948">
        <v>15</v>
      </c>
      <c r="M948" s="1">
        <f>Table1[[#This Row],[Unit Price]]*Table1[[#This Row],[Quantity]]</f>
        <v>1050</v>
      </c>
      <c r="N948" s="2">
        <v>0.05</v>
      </c>
      <c r="O948" s="1">
        <f>Table1[[#This Row],[Gross Value]]*(1-Table1[[#This Row],[Discount]])</f>
        <v>997.5</v>
      </c>
      <c r="P948" s="2">
        <v>0.2</v>
      </c>
      <c r="Q948" s="1">
        <f>Table1[[#This Row],[Revenue]]*Table1[[#This Row],[VAT Rate]]</f>
        <v>199.5</v>
      </c>
      <c r="R948" s="1">
        <f>Table1[[#This Row],[Revenue]]+Table1[[#This Row],[VAT Charged]]</f>
        <v>1197</v>
      </c>
      <c r="S948" s="1" cm="1">
        <f t="array" ref="S948">_xlfn.SWITCH(Table1[[#This Row],[Product ID]],"P001",140,"P002",80,"P003",72,"P004",30,"P005",110,"P006",24,"P007",14,"P008",12,"P009",115,"P010",360)</f>
        <v>30</v>
      </c>
      <c r="T948" s="1" cm="1">
        <f t="array" ref="T948">(_xlfn.SWITCH(Table1[[#This Row],[Product ID]],"P001",140,"P002",80,"P003",72,"P004",30,"P005",110,"P006",24,"P007",14,"P008",12,"P009",115,"P010",360))*Table1[[#This Row],[Quantity]]</f>
        <v>450</v>
      </c>
      <c r="U948" s="1" cm="1">
        <f t="array" ref="U948">_xlfn.SWITCH(Table1[[#This Row],[Product ID]],"P001",15,"P002",0,"P003",8,"P004",8,"P005",0,"P006",7,"P007",7,"P008",6,"P009",45,"P010",60)</f>
        <v>8</v>
      </c>
      <c r="V948" s="1">
        <f>Table1[[#This Row],[Shipping per Unit]]*Table1[[#This Row],[Quantity]]</f>
        <v>120</v>
      </c>
      <c r="W948" s="2">
        <f>IF(Table1[[#This Row],[Total Shipping]]&gt;0.1,0.2,0)</f>
        <v>0.2</v>
      </c>
      <c r="X948" s="4">
        <f>Table1[[#This Row],[Total Shipping]]*Table1[[#This Row],[VAT on Shipping]]</f>
        <v>24</v>
      </c>
      <c r="Y948" s="1">
        <f>Table1[[#This Row],[Revenue]]-Table1[[#This Row],[COGS]]</f>
        <v>547.5</v>
      </c>
      <c r="Z948" s="3">
        <f>(Table1[[#This Row],[Profit]]/Table1[[#This Row],[Revenue]])</f>
        <v>0.54887218045112784</v>
      </c>
      <c r="AA948" s="1">
        <f>Table1[[#This Row],[Profit]]-Table1[[#This Row],[Total Shipping]]</f>
        <v>427.5</v>
      </c>
      <c r="AB948" s="3">
        <f>Table1[[#This Row],[Operating Profit]]/Table1[[#This Row],[Revenue]]</f>
        <v>0.42857142857142855</v>
      </c>
    </row>
    <row r="949" spans="1:28" x14ac:dyDescent="0.25">
      <c r="A949" t="s">
        <v>407</v>
      </c>
      <c r="B949">
        <v>998</v>
      </c>
      <c r="C949" t="s">
        <v>71</v>
      </c>
      <c r="D949" t="s">
        <v>36</v>
      </c>
      <c r="E949" t="s">
        <v>49</v>
      </c>
      <c r="F949" t="s">
        <v>113</v>
      </c>
      <c r="G949" t="str" cm="1">
        <f t="array" ref="G949">_xlfn.SWITCH(F949,"Acme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C019</v>
      </c>
      <c r="H949" t="s">
        <v>33</v>
      </c>
      <c r="I949" t="s">
        <v>42</v>
      </c>
      <c r="J949" t="str" cm="1">
        <f t="array" ref="J949">_xlfn.SWITCH(I949,"P001","Laptop","P002","Server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49" s="1" cm="1">
        <f t="array" ref="K949">_xlfn.SWITCH(Table1[[#This Row],[Product ID]],"P001",220,"P002",150,"P003",130,"P004",70,"P005",200,"P006",40,"P007",25,"P008",20,"P009",190,"P010",530)</f>
        <v>40</v>
      </c>
      <c r="L949">
        <v>17</v>
      </c>
      <c r="M949" s="1">
        <f>Table1[[#This Row],[Unit Price]]*Table1[[#This Row],[Quantity]]</f>
        <v>680</v>
      </c>
      <c r="N949" s="2">
        <v>0.08</v>
      </c>
      <c r="O949" s="1">
        <f>Table1[[#This Row],[Gross Value]]*(1-Table1[[#This Row],[Discount]])</f>
        <v>625.6</v>
      </c>
      <c r="P949" s="2">
        <v>0.2</v>
      </c>
      <c r="Q949" s="1">
        <f>Table1[[#This Row],[Revenue]]*Table1[[#This Row],[VAT Rate]]</f>
        <v>125.12</v>
      </c>
      <c r="R949" s="1">
        <f>Table1[[#This Row],[Revenue]]+Table1[[#This Row],[VAT Charged]]</f>
        <v>750.72</v>
      </c>
      <c r="S949" s="1" cm="1">
        <f t="array" ref="S949">_xlfn.SWITCH(Table1[[#This Row],[Product ID]],"P001",140,"P002",80,"P003",72,"P004",30,"P005",110,"P006",24,"P007",14,"P008",12,"P009",115,"P010",360)</f>
        <v>24</v>
      </c>
      <c r="T949" s="1" cm="1">
        <f t="array" ref="T949">(_xlfn.SWITCH(Table1[[#This Row],[Product ID]],"P001",140,"P002",80,"P003",72,"P004",30,"P005",110,"P006",24,"P007",14,"P008",12,"P009",115,"P010",360))*Table1[[#This Row],[Quantity]]</f>
        <v>408</v>
      </c>
      <c r="U949" s="1" cm="1">
        <f t="array" ref="U949">_xlfn.SWITCH(Table1[[#This Row],[Product ID]],"P001",15,"P002",0,"P003",8,"P004",8,"P005",0,"P006",7,"P007",7,"P008",6,"P009",45,"P010",60)</f>
        <v>7</v>
      </c>
      <c r="V949" s="1">
        <f>Table1[[#This Row],[Shipping per Unit]]*Table1[[#This Row],[Quantity]]</f>
        <v>119</v>
      </c>
      <c r="W949" s="2">
        <f>IF(Table1[[#This Row],[Total Shipping]]&gt;0.1,0.2,0)</f>
        <v>0.2</v>
      </c>
      <c r="X949" s="4">
        <f>Table1[[#This Row],[Total Shipping]]*Table1[[#This Row],[VAT on Shipping]]</f>
        <v>23.8</v>
      </c>
      <c r="Y949" s="1">
        <f>Table1[[#This Row],[Revenue]]-Table1[[#This Row],[COGS]]</f>
        <v>217.60000000000002</v>
      </c>
      <c r="Z949" s="3">
        <f>(Table1[[#This Row],[Profit]]/Table1[[#This Row],[Revenue]])</f>
        <v>0.34782608695652178</v>
      </c>
      <c r="AA949" s="1">
        <f>Table1[[#This Row],[Profit]]-Table1[[#This Row],[Total Shipping]]</f>
        <v>98.600000000000023</v>
      </c>
      <c r="AB949" s="3">
        <f>Table1[[#This Row],[Operating Profit]]/Table1[[#This Row],[Revenue]]</f>
        <v>0.15760869565217395</v>
      </c>
    </row>
    <row r="950" spans="1:28" x14ac:dyDescent="0.25">
      <c r="A950" t="s">
        <v>408</v>
      </c>
      <c r="B950">
        <v>402</v>
      </c>
      <c r="C950" t="s">
        <v>29</v>
      </c>
      <c r="D950" t="s">
        <v>48</v>
      </c>
      <c r="E950" t="s">
        <v>40</v>
      </c>
      <c r="F950" t="s">
        <v>37</v>
      </c>
      <c r="G950" t="str" cm="1">
        <f t="array" ref="G950">_xlfn.SWITCH(F950,"Acme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50" t="s">
        <v>33</v>
      </c>
      <c r="I950" t="s">
        <v>52</v>
      </c>
      <c r="J950" t="str" cm="1">
        <f t="array" ref="J950">_xlfn.SWITCH(I950,"P001","Laptop","P002","Server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50" s="1" cm="1">
        <f t="array" ref="K950">_xlfn.SWITCH(Table1[[#This Row],[Product ID]],"P001",220,"P002",150,"P003",130,"P004",70,"P005",200,"P006",40,"P007",25,"P008",20,"P009",190,"P010",530)</f>
        <v>130</v>
      </c>
      <c r="L950">
        <v>5</v>
      </c>
      <c r="M950" s="1">
        <f>Table1[[#This Row],[Unit Price]]*Table1[[#This Row],[Quantity]]</f>
        <v>650</v>
      </c>
      <c r="N950" s="2">
        <v>0.06</v>
      </c>
      <c r="O950" s="1">
        <f>Table1[[#This Row],[Gross Value]]*(1-Table1[[#This Row],[Discount]])</f>
        <v>611</v>
      </c>
      <c r="P950" s="2">
        <v>0.2</v>
      </c>
      <c r="Q950" s="1">
        <f>Table1[[#This Row],[Revenue]]*Table1[[#This Row],[VAT Rate]]</f>
        <v>122.2</v>
      </c>
      <c r="R950" s="1">
        <f>Table1[[#This Row],[Revenue]]+Table1[[#This Row],[VAT Charged]]</f>
        <v>733.2</v>
      </c>
      <c r="S950" s="1" cm="1">
        <f t="array" ref="S950">_xlfn.SWITCH(Table1[[#This Row],[Product ID]],"P001",140,"P002",80,"P003",72,"P004",30,"P005",110,"P006",24,"P007",14,"P008",12,"P009",115,"P010",360)</f>
        <v>72</v>
      </c>
      <c r="T950" s="1" cm="1">
        <f t="array" ref="T950">(_xlfn.SWITCH(Table1[[#This Row],[Product ID]],"P001",140,"P002",80,"P003",72,"P004",30,"P005",110,"P006",24,"P007",14,"P008",12,"P009",115,"P010",360))*Table1[[#This Row],[Quantity]]</f>
        <v>360</v>
      </c>
      <c r="U950" s="1" cm="1">
        <f t="array" ref="U950">_xlfn.SWITCH(Table1[[#This Row],[Product ID]],"P001",15,"P002",0,"P003",8,"P004",8,"P005",0,"P006",7,"P007",7,"P008",6,"P009",45,"P010",60)</f>
        <v>8</v>
      </c>
      <c r="V950" s="1">
        <f>Table1[[#This Row],[Shipping per Unit]]*Table1[[#This Row],[Quantity]]</f>
        <v>40</v>
      </c>
      <c r="W950" s="2">
        <f>IF(Table1[[#This Row],[Total Shipping]]&gt;0.1,0.2,0)</f>
        <v>0.2</v>
      </c>
      <c r="X950" s="4">
        <f>Table1[[#This Row],[Total Shipping]]*Table1[[#This Row],[VAT on Shipping]]</f>
        <v>8</v>
      </c>
      <c r="Y950" s="1">
        <f>Table1[[#This Row],[Revenue]]-Table1[[#This Row],[COGS]]</f>
        <v>251</v>
      </c>
      <c r="Z950" s="3">
        <f>(Table1[[#This Row],[Profit]]/Table1[[#This Row],[Revenue]])</f>
        <v>0.41080196399345337</v>
      </c>
      <c r="AA950" s="1">
        <f>Table1[[#This Row],[Profit]]-Table1[[#This Row],[Total Shipping]]</f>
        <v>211</v>
      </c>
      <c r="AB950" s="3">
        <f>Table1[[#This Row],[Operating Profit]]/Table1[[#This Row],[Revenue]]</f>
        <v>0.34533551554828151</v>
      </c>
    </row>
    <row r="951" spans="1:28" x14ac:dyDescent="0.25">
      <c r="A951" t="s">
        <v>408</v>
      </c>
      <c r="B951">
        <v>437</v>
      </c>
      <c r="C951" t="s">
        <v>56</v>
      </c>
      <c r="D951" t="s">
        <v>72</v>
      </c>
      <c r="E951" t="s">
        <v>31</v>
      </c>
      <c r="F951" t="s">
        <v>41</v>
      </c>
      <c r="G951" t="str" cm="1">
        <f t="array" ref="G951">_xlfn.SWITCH(F951,"Acme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951" t="s">
        <v>104</v>
      </c>
      <c r="I951" t="s">
        <v>52</v>
      </c>
      <c r="J951" t="str" cm="1">
        <f t="array" ref="J951">_xlfn.SWITCH(I951,"P001","Laptop","P002","Server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51" s="1" cm="1">
        <f t="array" ref="K951">_xlfn.SWITCH(Table1[[#This Row],[Product ID]],"P001",220,"P002",150,"P003",130,"P004",70,"P005",200,"P006",40,"P007",25,"P008",20,"P009",190,"P010",530)</f>
        <v>130</v>
      </c>
      <c r="L951">
        <v>16</v>
      </c>
      <c r="M951" s="1">
        <f>Table1[[#This Row],[Unit Price]]*Table1[[#This Row],[Quantity]]</f>
        <v>2080</v>
      </c>
      <c r="N951" s="2">
        <v>0.05</v>
      </c>
      <c r="O951" s="1">
        <f>Table1[[#This Row],[Gross Value]]*(1-Table1[[#This Row],[Discount]])</f>
        <v>1976</v>
      </c>
      <c r="P951" s="2">
        <v>0.2</v>
      </c>
      <c r="Q951" s="1">
        <f>Table1[[#This Row],[Revenue]]*Table1[[#This Row],[VAT Rate]]</f>
        <v>395.20000000000005</v>
      </c>
      <c r="R951" s="1">
        <f>Table1[[#This Row],[Revenue]]+Table1[[#This Row],[VAT Charged]]</f>
        <v>2371.1999999999998</v>
      </c>
      <c r="S951" s="1" cm="1">
        <f t="array" ref="S951">_xlfn.SWITCH(Table1[[#This Row],[Product ID]],"P001",140,"P002",80,"P003",72,"P004",30,"P005",110,"P006",24,"P007",14,"P008",12,"P009",115,"P010",360)</f>
        <v>72</v>
      </c>
      <c r="T951" s="1" cm="1">
        <f t="array" ref="T951">(_xlfn.SWITCH(Table1[[#This Row],[Product ID]],"P001",140,"P002",80,"P003",72,"P004",30,"P005",110,"P006",24,"P007",14,"P008",12,"P009",115,"P010",360))*Table1[[#This Row],[Quantity]]</f>
        <v>1152</v>
      </c>
      <c r="U951" s="1" cm="1">
        <f t="array" ref="U951">_xlfn.SWITCH(Table1[[#This Row],[Product ID]],"P001",15,"P002",0,"P003",8,"P004",8,"P005",0,"P006",7,"P007",7,"P008",6,"P009",45,"P010",60)</f>
        <v>8</v>
      </c>
      <c r="V951" s="1">
        <f>Table1[[#This Row],[Shipping per Unit]]*Table1[[#This Row],[Quantity]]</f>
        <v>128</v>
      </c>
      <c r="W951" s="2">
        <f>IF(Table1[[#This Row],[Total Shipping]]&gt;0.1,0.2,0)</f>
        <v>0.2</v>
      </c>
      <c r="X951" s="4">
        <f>Table1[[#This Row],[Total Shipping]]*Table1[[#This Row],[VAT on Shipping]]</f>
        <v>25.6</v>
      </c>
      <c r="Y951" s="1">
        <f>Table1[[#This Row],[Revenue]]-Table1[[#This Row],[COGS]]</f>
        <v>824</v>
      </c>
      <c r="Z951" s="3">
        <f>(Table1[[#This Row],[Profit]]/Table1[[#This Row],[Revenue]])</f>
        <v>0.41700404858299595</v>
      </c>
      <c r="AA951" s="1">
        <f>Table1[[#This Row],[Profit]]-Table1[[#This Row],[Total Shipping]]</f>
        <v>696</v>
      </c>
      <c r="AB951" s="3">
        <f>Table1[[#This Row],[Operating Profit]]/Table1[[#This Row],[Revenue]]</f>
        <v>0.35222672064777327</v>
      </c>
    </row>
    <row r="952" spans="1:28" x14ac:dyDescent="0.25">
      <c r="A952" t="s">
        <v>409</v>
      </c>
      <c r="B952">
        <v>593</v>
      </c>
      <c r="C952" t="s">
        <v>83</v>
      </c>
      <c r="D952" t="s">
        <v>39</v>
      </c>
      <c r="E952" t="s">
        <v>49</v>
      </c>
      <c r="F952" t="s">
        <v>50</v>
      </c>
      <c r="G952" t="str" cm="1">
        <f t="array" ref="G952">_xlfn.SWITCH(F952,"Acme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952" t="s">
        <v>33</v>
      </c>
      <c r="I952" t="s">
        <v>68</v>
      </c>
      <c r="J952" t="str" cm="1">
        <f t="array" ref="J952">_xlfn.SWITCH(I952,"P001","Laptop","P002","Server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52" s="1" cm="1">
        <f t="array" ref="K952">_xlfn.SWITCH(Table1[[#This Row],[Product ID]],"P001",220,"P002",150,"P003",130,"P004",70,"P005",200,"P006",40,"P007",25,"P008",20,"P009",190,"P010",530)</f>
        <v>220</v>
      </c>
      <c r="L952">
        <v>11</v>
      </c>
      <c r="M952" s="1">
        <f>Table1[[#This Row],[Unit Price]]*Table1[[#This Row],[Quantity]]</f>
        <v>2420</v>
      </c>
      <c r="N952" s="2">
        <v>0.1</v>
      </c>
      <c r="O952" s="1">
        <f>Table1[[#This Row],[Gross Value]]*(1-Table1[[#This Row],[Discount]])</f>
        <v>2178</v>
      </c>
      <c r="P952" s="2">
        <v>0.2</v>
      </c>
      <c r="Q952" s="1">
        <f>Table1[[#This Row],[Revenue]]*Table1[[#This Row],[VAT Rate]]</f>
        <v>435.6</v>
      </c>
      <c r="R952" s="1">
        <f>Table1[[#This Row],[Revenue]]+Table1[[#This Row],[VAT Charged]]</f>
        <v>2613.6</v>
      </c>
      <c r="S952" s="1" cm="1">
        <f t="array" ref="S952">_xlfn.SWITCH(Table1[[#This Row],[Product ID]],"P001",140,"P002",80,"P003",72,"P004",30,"P005",110,"P006",24,"P007",14,"P008",12,"P009",115,"P010",360)</f>
        <v>140</v>
      </c>
      <c r="T952" s="1" cm="1">
        <f t="array" ref="T952">(_xlfn.SWITCH(Table1[[#This Row],[Product ID]],"P001",140,"P002",80,"P003",72,"P004",30,"P005",110,"P006",24,"P007",14,"P008",12,"P009",115,"P010",360))*Table1[[#This Row],[Quantity]]</f>
        <v>1540</v>
      </c>
      <c r="U952" s="1" cm="1">
        <f t="array" ref="U952">_xlfn.SWITCH(Table1[[#This Row],[Product ID]],"P001",15,"P002",0,"P003",8,"P004",8,"P005",0,"P006",7,"P007",7,"P008",6,"P009",45,"P010",60)</f>
        <v>15</v>
      </c>
      <c r="V952" s="1">
        <f>Table1[[#This Row],[Shipping per Unit]]*Table1[[#This Row],[Quantity]]</f>
        <v>165</v>
      </c>
      <c r="W952" s="2">
        <f>IF(Table1[[#This Row],[Total Shipping]]&gt;0.1,0.2,0)</f>
        <v>0.2</v>
      </c>
      <c r="X952" s="4">
        <f>Table1[[#This Row],[Total Shipping]]*Table1[[#This Row],[VAT on Shipping]]</f>
        <v>33</v>
      </c>
      <c r="Y952" s="1">
        <f>Table1[[#This Row],[Revenue]]-Table1[[#This Row],[COGS]]</f>
        <v>638</v>
      </c>
      <c r="Z952" s="3">
        <f>(Table1[[#This Row],[Profit]]/Table1[[#This Row],[Revenue]])</f>
        <v>0.29292929292929293</v>
      </c>
      <c r="AA952" s="1">
        <f>Table1[[#This Row],[Profit]]-Table1[[#This Row],[Total Shipping]]</f>
        <v>473</v>
      </c>
      <c r="AB952" s="3">
        <f>Table1[[#This Row],[Operating Profit]]/Table1[[#This Row],[Revenue]]</f>
        <v>0.21717171717171718</v>
      </c>
    </row>
    <row r="953" spans="1:28" x14ac:dyDescent="0.25">
      <c r="A953" t="s">
        <v>410</v>
      </c>
      <c r="B953">
        <v>237</v>
      </c>
      <c r="C953" t="s">
        <v>65</v>
      </c>
      <c r="D953" t="s">
        <v>95</v>
      </c>
      <c r="E953" t="s">
        <v>40</v>
      </c>
      <c r="F953" t="s">
        <v>54</v>
      </c>
      <c r="G953" t="str" cm="1">
        <f t="array" ref="G953">_xlfn.SWITCH(F953,"Acme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953" t="s">
        <v>45</v>
      </c>
      <c r="I953" t="s">
        <v>42</v>
      </c>
      <c r="J953" t="str" cm="1">
        <f t="array" ref="J953">_xlfn.SWITCH(I953,"P001","Laptop","P002","Server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53" s="1" cm="1">
        <f t="array" ref="K953">_xlfn.SWITCH(Table1[[#This Row],[Product ID]],"P001",220,"P002",150,"P003",130,"P004",70,"P005",200,"P006",40,"P007",25,"P008",20,"P009",190,"P010",530)</f>
        <v>40</v>
      </c>
      <c r="L953">
        <v>20</v>
      </c>
      <c r="M953" s="1">
        <f>Table1[[#This Row],[Unit Price]]*Table1[[#This Row],[Quantity]]</f>
        <v>800</v>
      </c>
      <c r="N953" s="2">
        <v>0.05</v>
      </c>
      <c r="O953" s="1">
        <f>Table1[[#This Row],[Gross Value]]*(1-Table1[[#This Row],[Discount]])</f>
        <v>760</v>
      </c>
      <c r="P953" s="2">
        <v>0.2</v>
      </c>
      <c r="Q953" s="1">
        <f>Table1[[#This Row],[Revenue]]*Table1[[#This Row],[VAT Rate]]</f>
        <v>152</v>
      </c>
      <c r="R953" s="1">
        <f>Table1[[#This Row],[Revenue]]+Table1[[#This Row],[VAT Charged]]</f>
        <v>912</v>
      </c>
      <c r="S953" s="1" cm="1">
        <f t="array" ref="S953">_xlfn.SWITCH(Table1[[#This Row],[Product ID]],"P001",140,"P002",80,"P003",72,"P004",30,"P005",110,"P006",24,"P007",14,"P008",12,"P009",115,"P010",360)</f>
        <v>24</v>
      </c>
      <c r="T953" s="1" cm="1">
        <f t="array" ref="T953">(_xlfn.SWITCH(Table1[[#This Row],[Product ID]],"P001",140,"P002",80,"P003",72,"P004",30,"P005",110,"P006",24,"P007",14,"P008",12,"P009",115,"P010",360))*Table1[[#This Row],[Quantity]]</f>
        <v>480</v>
      </c>
      <c r="U953" s="1" cm="1">
        <f t="array" ref="U953">_xlfn.SWITCH(Table1[[#This Row],[Product ID]],"P001",15,"P002",0,"P003",8,"P004",8,"P005",0,"P006",7,"P007",7,"P008",6,"P009",45,"P010",60)</f>
        <v>7</v>
      </c>
      <c r="V953" s="1">
        <f>Table1[[#This Row],[Shipping per Unit]]*Table1[[#This Row],[Quantity]]</f>
        <v>140</v>
      </c>
      <c r="W953" s="2">
        <f>IF(Table1[[#This Row],[Total Shipping]]&gt;0.1,0.2,0)</f>
        <v>0.2</v>
      </c>
      <c r="X953" s="4">
        <f>Table1[[#This Row],[Total Shipping]]*Table1[[#This Row],[VAT on Shipping]]</f>
        <v>28</v>
      </c>
      <c r="Y953" s="1">
        <f>Table1[[#This Row],[Revenue]]-Table1[[#This Row],[COGS]]</f>
        <v>280</v>
      </c>
      <c r="Z953" s="3">
        <f>(Table1[[#This Row],[Profit]]/Table1[[#This Row],[Revenue]])</f>
        <v>0.36842105263157893</v>
      </c>
      <c r="AA953" s="1">
        <f>Table1[[#This Row],[Profit]]-Table1[[#This Row],[Total Shipping]]</f>
        <v>140</v>
      </c>
      <c r="AB953" s="3">
        <f>Table1[[#This Row],[Operating Profit]]/Table1[[#This Row],[Revenue]]</f>
        <v>0.18421052631578946</v>
      </c>
    </row>
    <row r="954" spans="1:28" x14ac:dyDescent="0.25">
      <c r="A954" t="s">
        <v>410</v>
      </c>
      <c r="B954">
        <v>858</v>
      </c>
      <c r="C954" t="s">
        <v>56</v>
      </c>
      <c r="D954" t="s">
        <v>53</v>
      </c>
      <c r="E954" t="s">
        <v>49</v>
      </c>
      <c r="F954" t="s">
        <v>103</v>
      </c>
      <c r="G954" t="str" cm="1">
        <f t="array" ref="G954">_xlfn.SWITCH(F954,"Acme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954" t="s">
        <v>45</v>
      </c>
      <c r="I954" t="s">
        <v>75</v>
      </c>
      <c r="J954" t="str" cm="1">
        <f t="array" ref="J954">_xlfn.SWITCH(I954,"P001","Laptop","P002","Server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54" s="1" cm="1">
        <f t="array" ref="K954">_xlfn.SWITCH(Table1[[#This Row],[Product ID]],"P001",220,"P002",150,"P003",130,"P004",70,"P005",200,"P006",40,"P007",25,"P008",20,"P009",190,"P010",530)</f>
        <v>200</v>
      </c>
      <c r="L954">
        <v>19</v>
      </c>
      <c r="M954" s="1">
        <f>Table1[[#This Row],[Unit Price]]*Table1[[#This Row],[Quantity]]</f>
        <v>3800</v>
      </c>
      <c r="N954" s="2">
        <v>0.05</v>
      </c>
      <c r="O954" s="1">
        <f>Table1[[#This Row],[Gross Value]]*(1-Table1[[#This Row],[Discount]])</f>
        <v>3610</v>
      </c>
      <c r="P954" s="2">
        <v>0.2</v>
      </c>
      <c r="Q954" s="1">
        <f>Table1[[#This Row],[Revenue]]*Table1[[#This Row],[VAT Rate]]</f>
        <v>722</v>
      </c>
      <c r="R954" s="1">
        <f>Table1[[#This Row],[Revenue]]+Table1[[#This Row],[VAT Charged]]</f>
        <v>4332</v>
      </c>
      <c r="S954" s="1" cm="1">
        <f t="array" ref="S954">_xlfn.SWITCH(Table1[[#This Row],[Product ID]],"P001",140,"P002",80,"P003",72,"P004",30,"P005",110,"P006",24,"P007",14,"P008",12,"P009",115,"P010",360)</f>
        <v>110</v>
      </c>
      <c r="T954" s="1" cm="1">
        <f t="array" ref="T954">(_xlfn.SWITCH(Table1[[#This Row],[Product ID]],"P001",140,"P002",80,"P003",72,"P004",30,"P005",110,"P006",24,"P007",14,"P008",12,"P009",115,"P010",360))*Table1[[#This Row],[Quantity]]</f>
        <v>2090</v>
      </c>
      <c r="U954" s="1" cm="1">
        <f t="array" ref="U954">_xlfn.SWITCH(Table1[[#This Row],[Product ID]],"P001",15,"P002",0,"P003",8,"P004",8,"P005",0,"P006",7,"P007",7,"P008",6,"P009",45,"P010",60)</f>
        <v>0</v>
      </c>
      <c r="V954" s="1">
        <f>Table1[[#This Row],[Shipping per Unit]]*Table1[[#This Row],[Quantity]]</f>
        <v>0</v>
      </c>
      <c r="W954" s="2">
        <f>IF(Table1[[#This Row],[Total Shipping]]&gt;0.1,0.2,0)</f>
        <v>0</v>
      </c>
      <c r="X954" s="4">
        <f>Table1[[#This Row],[Total Shipping]]*Table1[[#This Row],[VAT on Shipping]]</f>
        <v>0</v>
      </c>
      <c r="Y954" s="1">
        <f>Table1[[#This Row],[Revenue]]-Table1[[#This Row],[COGS]]</f>
        <v>1520</v>
      </c>
      <c r="Z954" s="3">
        <f>(Table1[[#This Row],[Profit]]/Table1[[#This Row],[Revenue]])</f>
        <v>0.42105263157894735</v>
      </c>
      <c r="AA954" s="1">
        <f>Table1[[#This Row],[Profit]]-Table1[[#This Row],[Total Shipping]]</f>
        <v>1520</v>
      </c>
      <c r="AB954" s="3">
        <f>Table1[[#This Row],[Operating Profit]]/Table1[[#This Row],[Revenue]]</f>
        <v>0.42105263157894735</v>
      </c>
    </row>
    <row r="955" spans="1:28" x14ac:dyDescent="0.25">
      <c r="A955" t="s">
        <v>411</v>
      </c>
      <c r="B955">
        <v>146</v>
      </c>
      <c r="C955" t="s">
        <v>62</v>
      </c>
      <c r="D955" t="s">
        <v>72</v>
      </c>
      <c r="E955" t="s">
        <v>31</v>
      </c>
      <c r="F955" t="s">
        <v>78</v>
      </c>
      <c r="G955" t="str" cm="1">
        <f t="array" ref="G955">_xlfn.SWITCH(F955,"Acme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955" t="s">
        <v>104</v>
      </c>
      <c r="I955" t="s">
        <v>34</v>
      </c>
      <c r="J955" t="str" cm="1">
        <f t="array" ref="J955">_xlfn.SWITCH(I955,"P001","Laptop","P002","Server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955" s="1" cm="1">
        <f t="array" ref="K955">_xlfn.SWITCH(Table1[[#This Row],[Product ID]],"P001",220,"P002",150,"P003",130,"P004",70,"P005",200,"P006",40,"P007",25,"P008",20,"P009",190,"P010",530)</f>
        <v>20</v>
      </c>
      <c r="L955">
        <v>19</v>
      </c>
      <c r="M955" s="1">
        <f>Table1[[#This Row],[Unit Price]]*Table1[[#This Row],[Quantity]]</f>
        <v>380</v>
      </c>
      <c r="N955" s="2">
        <v>0.04</v>
      </c>
      <c r="O955" s="1">
        <f>Table1[[#This Row],[Gross Value]]*(1-Table1[[#This Row],[Discount]])</f>
        <v>364.8</v>
      </c>
      <c r="P955" s="2">
        <v>0.2</v>
      </c>
      <c r="Q955" s="1">
        <f>Table1[[#This Row],[Revenue]]*Table1[[#This Row],[VAT Rate]]</f>
        <v>72.960000000000008</v>
      </c>
      <c r="R955" s="1">
        <f>Table1[[#This Row],[Revenue]]+Table1[[#This Row],[VAT Charged]]</f>
        <v>437.76</v>
      </c>
      <c r="S955" s="1" cm="1">
        <f t="array" ref="S955">_xlfn.SWITCH(Table1[[#This Row],[Product ID]],"P001",140,"P002",80,"P003",72,"P004",30,"P005",110,"P006",24,"P007",14,"P008",12,"P009",115,"P010",360)</f>
        <v>12</v>
      </c>
      <c r="T955" s="1" cm="1">
        <f t="array" ref="T955">(_xlfn.SWITCH(Table1[[#This Row],[Product ID]],"P001",140,"P002",80,"P003",72,"P004",30,"P005",110,"P006",24,"P007",14,"P008",12,"P009",115,"P010",360))*Table1[[#This Row],[Quantity]]</f>
        <v>228</v>
      </c>
      <c r="U955" s="1" cm="1">
        <f t="array" ref="U955">_xlfn.SWITCH(Table1[[#This Row],[Product ID]],"P001",15,"P002",0,"P003",8,"P004",8,"P005",0,"P006",7,"P007",7,"P008",6,"P009",45,"P010",60)</f>
        <v>6</v>
      </c>
      <c r="V955" s="1">
        <f>Table1[[#This Row],[Shipping per Unit]]*Table1[[#This Row],[Quantity]]</f>
        <v>114</v>
      </c>
      <c r="W955" s="2">
        <f>IF(Table1[[#This Row],[Total Shipping]]&gt;0.1,0.2,0)</f>
        <v>0.2</v>
      </c>
      <c r="X955" s="4">
        <f>Table1[[#This Row],[Total Shipping]]*Table1[[#This Row],[VAT on Shipping]]</f>
        <v>22.8</v>
      </c>
      <c r="Y955" s="1">
        <f>Table1[[#This Row],[Revenue]]-Table1[[#This Row],[COGS]]</f>
        <v>136.80000000000001</v>
      </c>
      <c r="Z955" s="3">
        <f>(Table1[[#This Row],[Profit]]/Table1[[#This Row],[Revenue]])</f>
        <v>0.375</v>
      </c>
      <c r="AA955" s="1">
        <f>Table1[[#This Row],[Profit]]-Table1[[#This Row],[Total Shipping]]</f>
        <v>22.800000000000011</v>
      </c>
      <c r="AB955" s="3">
        <f>Table1[[#This Row],[Operating Profit]]/Table1[[#This Row],[Revenue]]</f>
        <v>6.2500000000000028E-2</v>
      </c>
    </row>
    <row r="956" spans="1:28" x14ac:dyDescent="0.25">
      <c r="A956" t="s">
        <v>411</v>
      </c>
      <c r="B956">
        <v>307</v>
      </c>
      <c r="C956" t="s">
        <v>38</v>
      </c>
      <c r="D956" t="s">
        <v>48</v>
      </c>
      <c r="E956" t="s">
        <v>40</v>
      </c>
      <c r="F956" t="s">
        <v>86</v>
      </c>
      <c r="G956" t="str" cm="1">
        <f t="array" ref="G956">_xlfn.SWITCH(F956,"Acme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56" t="s">
        <v>33</v>
      </c>
      <c r="I956" t="s">
        <v>70</v>
      </c>
      <c r="J956" t="str" cm="1">
        <f t="array" ref="J956">_xlfn.SWITCH(I956,"P001","Laptop","P002","Server Key","P003","Network Switch","P004","Data Storage Device","P005","Software License","P006","Monitor Stand","P007","Keyboard Tray","P008","Cable Management Tray","P009","Ergonomic Chair","P010","Standing Desk")</f>
        <v>Server Key</v>
      </c>
      <c r="K956" s="1" cm="1">
        <f t="array" ref="K956">_xlfn.SWITCH(Table1[[#This Row],[Product ID]],"P001",220,"P002",150,"P003",130,"P004",70,"P005",200,"P006",40,"P007",25,"P008",20,"P009",190,"P010",530)</f>
        <v>150</v>
      </c>
      <c r="L956">
        <v>2</v>
      </c>
      <c r="M956" s="1">
        <f>Table1[[#This Row],[Unit Price]]*Table1[[#This Row],[Quantity]]</f>
        <v>300</v>
      </c>
      <c r="N956" s="2">
        <v>0.05</v>
      </c>
      <c r="O956" s="1">
        <f>Table1[[#This Row],[Gross Value]]*(1-Table1[[#This Row],[Discount]])</f>
        <v>285</v>
      </c>
      <c r="P956" s="2">
        <v>0.2</v>
      </c>
      <c r="Q956" s="1">
        <f>Table1[[#This Row],[Revenue]]*Table1[[#This Row],[VAT Rate]]</f>
        <v>57</v>
      </c>
      <c r="R956" s="1">
        <f>Table1[[#This Row],[Revenue]]+Table1[[#This Row],[VAT Charged]]</f>
        <v>342</v>
      </c>
      <c r="S956" s="1" cm="1">
        <f t="array" ref="S956">_xlfn.SWITCH(Table1[[#This Row],[Product ID]],"P001",140,"P002",80,"P003",72,"P004",30,"P005",110,"P006",24,"P007",14,"P008",12,"P009",115,"P010",360)</f>
        <v>80</v>
      </c>
      <c r="T956" s="1" cm="1">
        <f t="array" ref="T956">(_xlfn.SWITCH(Table1[[#This Row],[Product ID]],"P001",140,"P002",80,"P003",72,"P004",30,"P005",110,"P006",24,"P007",14,"P008",12,"P009",115,"P010",360))*Table1[[#This Row],[Quantity]]</f>
        <v>160</v>
      </c>
      <c r="U956" s="1" cm="1">
        <f t="array" ref="U956">_xlfn.SWITCH(Table1[[#This Row],[Product ID]],"P001",15,"P002",0,"P003",8,"P004",8,"P005",0,"P006",7,"P007",7,"P008",6,"P009",45,"P010",60)</f>
        <v>0</v>
      </c>
      <c r="V956" s="1">
        <f>Table1[[#This Row],[Shipping per Unit]]*Table1[[#This Row],[Quantity]]</f>
        <v>0</v>
      </c>
      <c r="W956" s="2">
        <f>IF(Table1[[#This Row],[Total Shipping]]&gt;0.1,0.2,0)</f>
        <v>0</v>
      </c>
      <c r="X956" s="4">
        <f>Table1[[#This Row],[Total Shipping]]*Table1[[#This Row],[VAT on Shipping]]</f>
        <v>0</v>
      </c>
      <c r="Y956" s="1">
        <f>Table1[[#This Row],[Revenue]]-Table1[[#This Row],[COGS]]</f>
        <v>125</v>
      </c>
      <c r="Z956" s="3">
        <f>(Table1[[#This Row],[Profit]]/Table1[[#This Row],[Revenue]])</f>
        <v>0.43859649122807015</v>
      </c>
      <c r="AA956" s="1">
        <f>Table1[[#This Row],[Profit]]-Table1[[#This Row],[Total Shipping]]</f>
        <v>125</v>
      </c>
      <c r="AB956" s="3">
        <f>Table1[[#This Row],[Operating Profit]]/Table1[[#This Row],[Revenue]]</f>
        <v>0.43859649122807015</v>
      </c>
    </row>
    <row r="957" spans="1:28" x14ac:dyDescent="0.25">
      <c r="A957" t="s">
        <v>411</v>
      </c>
      <c r="B957">
        <v>351</v>
      </c>
      <c r="C957" t="s">
        <v>38</v>
      </c>
      <c r="D957" t="s">
        <v>39</v>
      </c>
      <c r="E957" t="s">
        <v>40</v>
      </c>
      <c r="F957" t="s">
        <v>102</v>
      </c>
      <c r="G957" t="str" cm="1">
        <f t="array" ref="G957">_xlfn.SWITCH(F957,"Acme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C004</v>
      </c>
      <c r="H957" t="s">
        <v>45</v>
      </c>
      <c r="I957" t="s">
        <v>42</v>
      </c>
      <c r="J957" t="str" cm="1">
        <f t="array" ref="J957">_xlfn.SWITCH(I957,"P001","Laptop","P002","Server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57" s="1" cm="1">
        <f t="array" ref="K957">_xlfn.SWITCH(Table1[[#This Row],[Product ID]],"P001",220,"P002",150,"P003",130,"P004",70,"P005",200,"P006",40,"P007",25,"P008",20,"P009",190,"P010",530)</f>
        <v>40</v>
      </c>
      <c r="L957">
        <v>1</v>
      </c>
      <c r="M957" s="1">
        <f>Table1[[#This Row],[Unit Price]]*Table1[[#This Row],[Quantity]]</f>
        <v>40</v>
      </c>
      <c r="N957" s="2">
        <v>0.03</v>
      </c>
      <c r="O957" s="1">
        <f>Table1[[#This Row],[Gross Value]]*(1-Table1[[#This Row],[Discount]])</f>
        <v>38.799999999999997</v>
      </c>
      <c r="P957" s="2">
        <v>0.2</v>
      </c>
      <c r="Q957" s="1">
        <f>Table1[[#This Row],[Revenue]]*Table1[[#This Row],[VAT Rate]]</f>
        <v>7.76</v>
      </c>
      <c r="R957" s="1">
        <f>Table1[[#This Row],[Revenue]]+Table1[[#This Row],[VAT Charged]]</f>
        <v>46.559999999999995</v>
      </c>
      <c r="S957" s="1" cm="1">
        <f t="array" ref="S957">_xlfn.SWITCH(Table1[[#This Row],[Product ID]],"P001",140,"P002",80,"P003",72,"P004",30,"P005",110,"P006",24,"P007",14,"P008",12,"P009",115,"P010",360)</f>
        <v>24</v>
      </c>
      <c r="T957" s="1" cm="1">
        <f t="array" ref="T957">(_xlfn.SWITCH(Table1[[#This Row],[Product ID]],"P001",140,"P002",80,"P003",72,"P004",30,"P005",110,"P006",24,"P007",14,"P008",12,"P009",115,"P010",360))*Table1[[#This Row],[Quantity]]</f>
        <v>24</v>
      </c>
      <c r="U957" s="1" cm="1">
        <f t="array" ref="U957">_xlfn.SWITCH(Table1[[#This Row],[Product ID]],"P001",15,"P002",0,"P003",8,"P004",8,"P005",0,"P006",7,"P007",7,"P008",6,"P009",45,"P010",60)</f>
        <v>7</v>
      </c>
      <c r="V957" s="1">
        <f>Table1[[#This Row],[Shipping per Unit]]*Table1[[#This Row],[Quantity]]</f>
        <v>7</v>
      </c>
      <c r="W957" s="2">
        <f>IF(Table1[[#This Row],[Total Shipping]]&gt;0.1,0.2,0)</f>
        <v>0.2</v>
      </c>
      <c r="X957" s="4">
        <f>Table1[[#This Row],[Total Shipping]]*Table1[[#This Row],[VAT on Shipping]]</f>
        <v>1.4000000000000001</v>
      </c>
      <c r="Y957" s="1">
        <f>Table1[[#This Row],[Revenue]]-Table1[[#This Row],[COGS]]</f>
        <v>14.799999999999997</v>
      </c>
      <c r="Z957" s="3">
        <f>(Table1[[#This Row],[Profit]]/Table1[[#This Row],[Revenue]])</f>
        <v>0.38144329896907214</v>
      </c>
      <c r="AA957" s="1">
        <f>Table1[[#This Row],[Profit]]-Table1[[#This Row],[Total Shipping]]</f>
        <v>7.7999999999999972</v>
      </c>
      <c r="AB957" s="3">
        <f>Table1[[#This Row],[Operating Profit]]/Table1[[#This Row],[Revenue]]</f>
        <v>0.2010309278350515</v>
      </c>
    </row>
    <row r="958" spans="1:28" x14ac:dyDescent="0.25">
      <c r="A958" t="s">
        <v>412</v>
      </c>
      <c r="B958">
        <v>764</v>
      </c>
      <c r="C958" t="s">
        <v>71</v>
      </c>
      <c r="D958" t="s">
        <v>53</v>
      </c>
      <c r="E958" t="s">
        <v>49</v>
      </c>
      <c r="F958" t="s">
        <v>74</v>
      </c>
      <c r="G958" t="str" cm="1">
        <f t="array" ref="G958">_xlfn.SWITCH(F958,"Acme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C023</v>
      </c>
      <c r="H958" t="s">
        <v>33</v>
      </c>
      <c r="I958" t="s">
        <v>42</v>
      </c>
      <c r="J958" t="str" cm="1">
        <f t="array" ref="J958">_xlfn.SWITCH(I958,"P001","Laptop","P002","Server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58" s="1" cm="1">
        <f t="array" ref="K958">_xlfn.SWITCH(Table1[[#This Row],[Product ID]],"P001",220,"P002",150,"P003",130,"P004",70,"P005",200,"P006",40,"P007",25,"P008",20,"P009",190,"P010",530)</f>
        <v>40</v>
      </c>
      <c r="L958">
        <v>17</v>
      </c>
      <c r="M958" s="1">
        <f>Table1[[#This Row],[Unit Price]]*Table1[[#This Row],[Quantity]]</f>
        <v>680</v>
      </c>
      <c r="N958" s="2">
        <v>0.05</v>
      </c>
      <c r="O958" s="1">
        <f>Table1[[#This Row],[Gross Value]]*(1-Table1[[#This Row],[Discount]])</f>
        <v>646</v>
      </c>
      <c r="P958" s="2">
        <v>0.2</v>
      </c>
      <c r="Q958" s="1">
        <f>Table1[[#This Row],[Revenue]]*Table1[[#This Row],[VAT Rate]]</f>
        <v>129.20000000000002</v>
      </c>
      <c r="R958" s="1">
        <f>Table1[[#This Row],[Revenue]]+Table1[[#This Row],[VAT Charged]]</f>
        <v>775.2</v>
      </c>
      <c r="S958" s="1" cm="1">
        <f t="array" ref="S958">_xlfn.SWITCH(Table1[[#This Row],[Product ID]],"P001",140,"P002",80,"P003",72,"P004",30,"P005",110,"P006",24,"P007",14,"P008",12,"P009",115,"P010",360)</f>
        <v>24</v>
      </c>
      <c r="T958" s="1" cm="1">
        <f t="array" ref="T958">(_xlfn.SWITCH(Table1[[#This Row],[Product ID]],"P001",140,"P002",80,"P003",72,"P004",30,"P005",110,"P006",24,"P007",14,"P008",12,"P009",115,"P010",360))*Table1[[#This Row],[Quantity]]</f>
        <v>408</v>
      </c>
      <c r="U958" s="1" cm="1">
        <f t="array" ref="U958">_xlfn.SWITCH(Table1[[#This Row],[Product ID]],"P001",15,"P002",0,"P003",8,"P004",8,"P005",0,"P006",7,"P007",7,"P008",6,"P009",45,"P010",60)</f>
        <v>7</v>
      </c>
      <c r="V958" s="1">
        <f>Table1[[#This Row],[Shipping per Unit]]*Table1[[#This Row],[Quantity]]</f>
        <v>119</v>
      </c>
      <c r="W958" s="2">
        <f>IF(Table1[[#This Row],[Total Shipping]]&gt;0.1,0.2,0)</f>
        <v>0.2</v>
      </c>
      <c r="X958" s="4">
        <f>Table1[[#This Row],[Total Shipping]]*Table1[[#This Row],[VAT on Shipping]]</f>
        <v>23.8</v>
      </c>
      <c r="Y958" s="1">
        <f>Table1[[#This Row],[Revenue]]-Table1[[#This Row],[COGS]]</f>
        <v>238</v>
      </c>
      <c r="Z958" s="3">
        <f>(Table1[[#This Row],[Profit]]/Table1[[#This Row],[Revenue]])</f>
        <v>0.36842105263157893</v>
      </c>
      <c r="AA958" s="1">
        <f>Table1[[#This Row],[Profit]]-Table1[[#This Row],[Total Shipping]]</f>
        <v>119</v>
      </c>
      <c r="AB958" s="3">
        <f>Table1[[#This Row],[Operating Profit]]/Table1[[#This Row],[Revenue]]</f>
        <v>0.18421052631578946</v>
      </c>
    </row>
    <row r="959" spans="1:28" x14ac:dyDescent="0.25">
      <c r="A959" t="s">
        <v>412</v>
      </c>
      <c r="B959">
        <v>931</v>
      </c>
      <c r="C959" t="s">
        <v>56</v>
      </c>
      <c r="D959" t="s">
        <v>95</v>
      </c>
      <c r="E959" t="s">
        <v>31</v>
      </c>
      <c r="F959" t="s">
        <v>78</v>
      </c>
      <c r="G959" t="str" cm="1">
        <f t="array" ref="G959">_xlfn.SWITCH(F959,"Acme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959" t="s">
        <v>33</v>
      </c>
      <c r="I959" t="s">
        <v>75</v>
      </c>
      <c r="J959" t="str" cm="1">
        <f t="array" ref="J959">_xlfn.SWITCH(I959,"P001","Laptop","P002","Server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59" s="1" cm="1">
        <f t="array" ref="K959">_xlfn.SWITCH(Table1[[#This Row],[Product ID]],"P001",220,"P002",150,"P003",130,"P004",70,"P005",200,"P006",40,"P007",25,"P008",20,"P009",190,"P010",530)</f>
        <v>200</v>
      </c>
      <c r="L959">
        <v>11</v>
      </c>
      <c r="M959" s="1">
        <f>Table1[[#This Row],[Unit Price]]*Table1[[#This Row],[Quantity]]</f>
        <v>2200</v>
      </c>
      <c r="N959" s="2">
        <v>0.02</v>
      </c>
      <c r="O959" s="1">
        <f>Table1[[#This Row],[Gross Value]]*(1-Table1[[#This Row],[Discount]])</f>
        <v>2156</v>
      </c>
      <c r="P959" s="2">
        <v>0.2</v>
      </c>
      <c r="Q959" s="1">
        <f>Table1[[#This Row],[Revenue]]*Table1[[#This Row],[VAT Rate]]</f>
        <v>431.20000000000005</v>
      </c>
      <c r="R959" s="1">
        <f>Table1[[#This Row],[Revenue]]+Table1[[#This Row],[VAT Charged]]</f>
        <v>2587.1999999999998</v>
      </c>
      <c r="S959" s="1" cm="1">
        <f t="array" ref="S959">_xlfn.SWITCH(Table1[[#This Row],[Product ID]],"P001",140,"P002",80,"P003",72,"P004",30,"P005",110,"P006",24,"P007",14,"P008",12,"P009",115,"P010",360)</f>
        <v>110</v>
      </c>
      <c r="T959" s="1" cm="1">
        <f t="array" ref="T959">(_xlfn.SWITCH(Table1[[#This Row],[Product ID]],"P001",140,"P002",80,"P003",72,"P004",30,"P005",110,"P006",24,"P007",14,"P008",12,"P009",115,"P010",360))*Table1[[#This Row],[Quantity]]</f>
        <v>1210</v>
      </c>
      <c r="U959" s="1" cm="1">
        <f t="array" ref="U959">_xlfn.SWITCH(Table1[[#This Row],[Product ID]],"P001",15,"P002",0,"P003",8,"P004",8,"P005",0,"P006",7,"P007",7,"P008",6,"P009",45,"P010",60)</f>
        <v>0</v>
      </c>
      <c r="V959" s="1">
        <f>Table1[[#This Row],[Shipping per Unit]]*Table1[[#This Row],[Quantity]]</f>
        <v>0</v>
      </c>
      <c r="W959" s="2">
        <f>IF(Table1[[#This Row],[Total Shipping]]&gt;0.1,0.2,0)</f>
        <v>0</v>
      </c>
      <c r="X959" s="4">
        <f>Table1[[#This Row],[Total Shipping]]*Table1[[#This Row],[VAT on Shipping]]</f>
        <v>0</v>
      </c>
      <c r="Y959" s="1">
        <f>Table1[[#This Row],[Revenue]]-Table1[[#This Row],[COGS]]</f>
        <v>946</v>
      </c>
      <c r="Z959" s="3">
        <f>(Table1[[#This Row],[Profit]]/Table1[[#This Row],[Revenue]])</f>
        <v>0.43877551020408162</v>
      </c>
      <c r="AA959" s="1">
        <f>Table1[[#This Row],[Profit]]-Table1[[#This Row],[Total Shipping]]</f>
        <v>946</v>
      </c>
      <c r="AB959" s="3">
        <f>Table1[[#This Row],[Operating Profit]]/Table1[[#This Row],[Revenue]]</f>
        <v>0.43877551020408162</v>
      </c>
    </row>
    <row r="960" spans="1:28" x14ac:dyDescent="0.25">
      <c r="A960" t="s">
        <v>412</v>
      </c>
      <c r="B960">
        <v>948</v>
      </c>
      <c r="C960" t="s">
        <v>29</v>
      </c>
      <c r="D960" t="s">
        <v>53</v>
      </c>
      <c r="E960" t="s">
        <v>49</v>
      </c>
      <c r="F960" t="s">
        <v>76</v>
      </c>
      <c r="G960" t="str" cm="1">
        <f t="array" ref="G960">_xlfn.SWITCH(F960,"Acme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960" t="s">
        <v>33</v>
      </c>
      <c r="I960" t="s">
        <v>52</v>
      </c>
      <c r="J960" t="str" cm="1">
        <f t="array" ref="J960">_xlfn.SWITCH(I960,"P001","Laptop","P002","Server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60" s="1" cm="1">
        <f t="array" ref="K960">_xlfn.SWITCH(Table1[[#This Row],[Product ID]],"P001",220,"P002",150,"P003",130,"P004",70,"P005",200,"P006",40,"P007",25,"P008",20,"P009",190,"P010",530)</f>
        <v>130</v>
      </c>
      <c r="L960">
        <v>18</v>
      </c>
      <c r="M960" s="1">
        <f>Table1[[#This Row],[Unit Price]]*Table1[[#This Row],[Quantity]]</f>
        <v>2340</v>
      </c>
      <c r="N960" s="2">
        <v>0.08</v>
      </c>
      <c r="O960" s="1">
        <f>Table1[[#This Row],[Gross Value]]*(1-Table1[[#This Row],[Discount]])</f>
        <v>2152.8000000000002</v>
      </c>
      <c r="P960" s="2">
        <v>0.2</v>
      </c>
      <c r="Q960" s="1">
        <f>Table1[[#This Row],[Revenue]]*Table1[[#This Row],[VAT Rate]]</f>
        <v>430.56000000000006</v>
      </c>
      <c r="R960" s="1">
        <f>Table1[[#This Row],[Revenue]]+Table1[[#This Row],[VAT Charged]]</f>
        <v>2583.36</v>
      </c>
      <c r="S960" s="1" cm="1">
        <f t="array" ref="S960">_xlfn.SWITCH(Table1[[#This Row],[Product ID]],"P001",140,"P002",80,"P003",72,"P004",30,"P005",110,"P006",24,"P007",14,"P008",12,"P009",115,"P010",360)</f>
        <v>72</v>
      </c>
      <c r="T960" s="1" cm="1">
        <f t="array" ref="T960">(_xlfn.SWITCH(Table1[[#This Row],[Product ID]],"P001",140,"P002",80,"P003",72,"P004",30,"P005",110,"P006",24,"P007",14,"P008",12,"P009",115,"P010",360))*Table1[[#This Row],[Quantity]]</f>
        <v>1296</v>
      </c>
      <c r="U960" s="1" cm="1">
        <f t="array" ref="U960">_xlfn.SWITCH(Table1[[#This Row],[Product ID]],"P001",15,"P002",0,"P003",8,"P004",8,"P005",0,"P006",7,"P007",7,"P008",6,"P009",45,"P010",60)</f>
        <v>8</v>
      </c>
      <c r="V960" s="1">
        <f>Table1[[#This Row],[Shipping per Unit]]*Table1[[#This Row],[Quantity]]</f>
        <v>144</v>
      </c>
      <c r="W960" s="2">
        <f>IF(Table1[[#This Row],[Total Shipping]]&gt;0.1,0.2,0)</f>
        <v>0.2</v>
      </c>
      <c r="X960" s="4">
        <f>Table1[[#This Row],[Total Shipping]]*Table1[[#This Row],[VAT on Shipping]]</f>
        <v>28.8</v>
      </c>
      <c r="Y960" s="1">
        <f>Table1[[#This Row],[Revenue]]-Table1[[#This Row],[COGS]]</f>
        <v>856.80000000000018</v>
      </c>
      <c r="Z960" s="3">
        <f>(Table1[[#This Row],[Profit]]/Table1[[#This Row],[Revenue]])</f>
        <v>0.39799331103678937</v>
      </c>
      <c r="AA960" s="1">
        <f>Table1[[#This Row],[Profit]]-Table1[[#This Row],[Total Shipping]]</f>
        <v>712.80000000000018</v>
      </c>
      <c r="AB960" s="3">
        <f>Table1[[#This Row],[Operating Profit]]/Table1[[#This Row],[Revenue]]</f>
        <v>0.33110367892976594</v>
      </c>
    </row>
    <row r="961" spans="1:28" x14ac:dyDescent="0.25">
      <c r="A961" t="s">
        <v>413</v>
      </c>
      <c r="B961">
        <v>251</v>
      </c>
      <c r="C961" t="s">
        <v>65</v>
      </c>
      <c r="D961" t="s">
        <v>39</v>
      </c>
      <c r="E961" t="s">
        <v>49</v>
      </c>
      <c r="F961" t="s">
        <v>103</v>
      </c>
      <c r="G961" t="str" cm="1">
        <f t="array" ref="G961">_xlfn.SWITCH(F961,"Acme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961" t="s">
        <v>33</v>
      </c>
      <c r="I961" t="s">
        <v>55</v>
      </c>
      <c r="J961" t="str" cm="1">
        <f t="array" ref="J961">_xlfn.SWITCH(I961,"P001","Laptop","P002","Server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61" s="1" cm="1">
        <f t="array" ref="K961">_xlfn.SWITCH(Table1[[#This Row],[Product ID]],"P001",220,"P002",150,"P003",130,"P004",70,"P005",200,"P006",40,"P007",25,"P008",20,"P009",190,"P010",530)</f>
        <v>70</v>
      </c>
      <c r="L961">
        <v>9</v>
      </c>
      <c r="M961" s="1">
        <f>Table1[[#This Row],[Unit Price]]*Table1[[#This Row],[Quantity]]</f>
        <v>630</v>
      </c>
      <c r="N961" s="2">
        <v>0.05</v>
      </c>
      <c r="O961" s="1">
        <f>Table1[[#This Row],[Gross Value]]*(1-Table1[[#This Row],[Discount]])</f>
        <v>598.5</v>
      </c>
      <c r="P961" s="2">
        <v>0.2</v>
      </c>
      <c r="Q961" s="1">
        <f>Table1[[#This Row],[Revenue]]*Table1[[#This Row],[VAT Rate]]</f>
        <v>119.7</v>
      </c>
      <c r="R961" s="1">
        <f>Table1[[#This Row],[Revenue]]+Table1[[#This Row],[VAT Charged]]</f>
        <v>718.2</v>
      </c>
      <c r="S961" s="1" cm="1">
        <f t="array" ref="S961">_xlfn.SWITCH(Table1[[#This Row],[Product ID]],"P001",140,"P002",80,"P003",72,"P004",30,"P005",110,"P006",24,"P007",14,"P008",12,"P009",115,"P010",360)</f>
        <v>30</v>
      </c>
      <c r="T961" s="1" cm="1">
        <f t="array" ref="T961">(_xlfn.SWITCH(Table1[[#This Row],[Product ID]],"P001",140,"P002",80,"P003",72,"P004",30,"P005",110,"P006",24,"P007",14,"P008",12,"P009",115,"P010",360))*Table1[[#This Row],[Quantity]]</f>
        <v>270</v>
      </c>
      <c r="U961" s="1" cm="1">
        <f t="array" ref="U961">_xlfn.SWITCH(Table1[[#This Row],[Product ID]],"P001",15,"P002",0,"P003",8,"P004",8,"P005",0,"P006",7,"P007",7,"P008",6,"P009",45,"P010",60)</f>
        <v>8</v>
      </c>
      <c r="V961" s="1">
        <f>Table1[[#This Row],[Shipping per Unit]]*Table1[[#This Row],[Quantity]]</f>
        <v>72</v>
      </c>
      <c r="W961" s="2">
        <f>IF(Table1[[#This Row],[Total Shipping]]&gt;0.1,0.2,0)</f>
        <v>0.2</v>
      </c>
      <c r="X961" s="4">
        <f>Table1[[#This Row],[Total Shipping]]*Table1[[#This Row],[VAT on Shipping]]</f>
        <v>14.4</v>
      </c>
      <c r="Y961" s="1">
        <f>Table1[[#This Row],[Revenue]]-Table1[[#This Row],[COGS]]</f>
        <v>328.5</v>
      </c>
      <c r="Z961" s="3">
        <f>(Table1[[#This Row],[Profit]]/Table1[[#This Row],[Revenue]])</f>
        <v>0.54887218045112784</v>
      </c>
      <c r="AA961" s="1">
        <f>Table1[[#This Row],[Profit]]-Table1[[#This Row],[Total Shipping]]</f>
        <v>256.5</v>
      </c>
      <c r="AB961" s="3">
        <f>Table1[[#This Row],[Operating Profit]]/Table1[[#This Row],[Revenue]]</f>
        <v>0.42857142857142855</v>
      </c>
    </row>
    <row r="962" spans="1:28" x14ac:dyDescent="0.25">
      <c r="A962" t="s">
        <v>413</v>
      </c>
      <c r="B962">
        <v>397</v>
      </c>
      <c r="C962" t="s">
        <v>65</v>
      </c>
      <c r="D962" t="s">
        <v>36</v>
      </c>
      <c r="E962" t="s">
        <v>31</v>
      </c>
      <c r="F962" t="s">
        <v>32</v>
      </c>
      <c r="G962" t="str" cm="1">
        <f t="array" ref="G962">_xlfn.SWITCH(F962,"Acme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C003</v>
      </c>
      <c r="H962" t="s">
        <v>45</v>
      </c>
      <c r="I962" t="s">
        <v>91</v>
      </c>
      <c r="J962" t="str" cm="1">
        <f t="array" ref="J962">_xlfn.SWITCH(I962,"P001","Laptop","P002","Server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962" s="1" cm="1">
        <f t="array" ref="K962">_xlfn.SWITCH(Table1[[#This Row],[Product ID]],"P001",220,"P002",150,"P003",130,"P004",70,"P005",200,"P006",40,"P007",25,"P008",20,"P009",190,"P010",530)</f>
        <v>190</v>
      </c>
      <c r="L962">
        <v>8</v>
      </c>
      <c r="M962" s="1">
        <f>Table1[[#This Row],[Unit Price]]*Table1[[#This Row],[Quantity]]</f>
        <v>1520</v>
      </c>
      <c r="N962" s="2">
        <v>0.1</v>
      </c>
      <c r="O962" s="1">
        <f>Table1[[#This Row],[Gross Value]]*(1-Table1[[#This Row],[Discount]])</f>
        <v>1368</v>
      </c>
      <c r="P962" s="2">
        <v>0.2</v>
      </c>
      <c r="Q962" s="1">
        <f>Table1[[#This Row],[Revenue]]*Table1[[#This Row],[VAT Rate]]</f>
        <v>273.60000000000002</v>
      </c>
      <c r="R962" s="1">
        <f>Table1[[#This Row],[Revenue]]+Table1[[#This Row],[VAT Charged]]</f>
        <v>1641.6</v>
      </c>
      <c r="S962" s="1" cm="1">
        <f t="array" ref="S962">_xlfn.SWITCH(Table1[[#This Row],[Product ID]],"P001",140,"P002",80,"P003",72,"P004",30,"P005",110,"P006",24,"P007",14,"P008",12,"P009",115,"P010",360)</f>
        <v>115</v>
      </c>
      <c r="T962" s="1" cm="1">
        <f t="array" ref="T962">(_xlfn.SWITCH(Table1[[#This Row],[Product ID]],"P001",140,"P002",80,"P003",72,"P004",30,"P005",110,"P006",24,"P007",14,"P008",12,"P009",115,"P010",360))*Table1[[#This Row],[Quantity]]</f>
        <v>920</v>
      </c>
      <c r="U962" s="1" cm="1">
        <f t="array" ref="U962">_xlfn.SWITCH(Table1[[#This Row],[Product ID]],"P001",15,"P002",0,"P003",8,"P004",8,"P005",0,"P006",7,"P007",7,"P008",6,"P009",45,"P010",60)</f>
        <v>45</v>
      </c>
      <c r="V962" s="1">
        <f>Table1[[#This Row],[Shipping per Unit]]*Table1[[#This Row],[Quantity]]</f>
        <v>360</v>
      </c>
      <c r="W962" s="2">
        <f>IF(Table1[[#This Row],[Total Shipping]]&gt;0.1,0.2,0)</f>
        <v>0.2</v>
      </c>
      <c r="X962" s="4">
        <f>Table1[[#This Row],[Total Shipping]]*Table1[[#This Row],[VAT on Shipping]]</f>
        <v>72</v>
      </c>
      <c r="Y962" s="1">
        <f>Table1[[#This Row],[Revenue]]-Table1[[#This Row],[COGS]]</f>
        <v>448</v>
      </c>
      <c r="Z962" s="3">
        <f>(Table1[[#This Row],[Profit]]/Table1[[#This Row],[Revenue]])</f>
        <v>0.32748538011695905</v>
      </c>
      <c r="AA962" s="1">
        <f>Table1[[#This Row],[Profit]]-Table1[[#This Row],[Total Shipping]]</f>
        <v>88</v>
      </c>
      <c r="AB962" s="3">
        <f>Table1[[#This Row],[Operating Profit]]/Table1[[#This Row],[Revenue]]</f>
        <v>6.4327485380116955E-2</v>
      </c>
    </row>
    <row r="963" spans="1:28" x14ac:dyDescent="0.25">
      <c r="A963" t="s">
        <v>413</v>
      </c>
      <c r="B963">
        <v>699</v>
      </c>
      <c r="C963" t="s">
        <v>65</v>
      </c>
      <c r="D963" t="s">
        <v>30</v>
      </c>
      <c r="E963" t="s">
        <v>40</v>
      </c>
      <c r="F963" t="s">
        <v>92</v>
      </c>
      <c r="G963" t="str" cm="1">
        <f t="array" ref="G963">_xlfn.SWITCH(F963,"Acme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963" t="s">
        <v>45</v>
      </c>
      <c r="I963" t="s">
        <v>42</v>
      </c>
      <c r="J963" t="str" cm="1">
        <f t="array" ref="J963">_xlfn.SWITCH(I963,"P001","Laptop","P002","Server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63" s="1" cm="1">
        <f t="array" ref="K963">_xlfn.SWITCH(Table1[[#This Row],[Product ID]],"P001",220,"P002",150,"P003",130,"P004",70,"P005",200,"P006",40,"P007",25,"P008",20,"P009",190,"P010",530)</f>
        <v>40</v>
      </c>
      <c r="L963">
        <v>5</v>
      </c>
      <c r="M963" s="1">
        <f>Table1[[#This Row],[Unit Price]]*Table1[[#This Row],[Quantity]]</f>
        <v>200</v>
      </c>
      <c r="N963" s="2">
        <v>7.0000000000000007E-2</v>
      </c>
      <c r="O963" s="1">
        <f>Table1[[#This Row],[Gross Value]]*(1-Table1[[#This Row],[Discount]])</f>
        <v>186</v>
      </c>
      <c r="P963" s="2">
        <v>0.2</v>
      </c>
      <c r="Q963" s="1">
        <f>Table1[[#This Row],[Revenue]]*Table1[[#This Row],[VAT Rate]]</f>
        <v>37.200000000000003</v>
      </c>
      <c r="R963" s="1">
        <f>Table1[[#This Row],[Revenue]]+Table1[[#This Row],[VAT Charged]]</f>
        <v>223.2</v>
      </c>
      <c r="S963" s="1" cm="1">
        <f t="array" ref="S963">_xlfn.SWITCH(Table1[[#This Row],[Product ID]],"P001",140,"P002",80,"P003",72,"P004",30,"P005",110,"P006",24,"P007",14,"P008",12,"P009",115,"P010",360)</f>
        <v>24</v>
      </c>
      <c r="T963" s="1" cm="1">
        <f t="array" ref="T963">(_xlfn.SWITCH(Table1[[#This Row],[Product ID]],"P001",140,"P002",80,"P003",72,"P004",30,"P005",110,"P006",24,"P007",14,"P008",12,"P009",115,"P010",360))*Table1[[#This Row],[Quantity]]</f>
        <v>120</v>
      </c>
      <c r="U963" s="1" cm="1">
        <f t="array" ref="U963">_xlfn.SWITCH(Table1[[#This Row],[Product ID]],"P001",15,"P002",0,"P003",8,"P004",8,"P005",0,"P006",7,"P007",7,"P008",6,"P009",45,"P010",60)</f>
        <v>7</v>
      </c>
      <c r="V963" s="1">
        <f>Table1[[#This Row],[Shipping per Unit]]*Table1[[#This Row],[Quantity]]</f>
        <v>35</v>
      </c>
      <c r="W963" s="2">
        <f>IF(Table1[[#This Row],[Total Shipping]]&gt;0.1,0.2,0)</f>
        <v>0.2</v>
      </c>
      <c r="X963" s="4">
        <f>Table1[[#This Row],[Total Shipping]]*Table1[[#This Row],[VAT on Shipping]]</f>
        <v>7</v>
      </c>
      <c r="Y963" s="1">
        <f>Table1[[#This Row],[Revenue]]-Table1[[#This Row],[COGS]]</f>
        <v>66</v>
      </c>
      <c r="Z963" s="3">
        <f>(Table1[[#This Row],[Profit]]/Table1[[#This Row],[Revenue]])</f>
        <v>0.35483870967741937</v>
      </c>
      <c r="AA963" s="1">
        <f>Table1[[#This Row],[Profit]]-Table1[[#This Row],[Total Shipping]]</f>
        <v>31</v>
      </c>
      <c r="AB963" s="3">
        <f>Table1[[#This Row],[Operating Profit]]/Table1[[#This Row],[Revenue]]</f>
        <v>0.16666666666666666</v>
      </c>
    </row>
    <row r="964" spans="1:28" x14ac:dyDescent="0.25">
      <c r="A964" t="s">
        <v>413</v>
      </c>
      <c r="B964">
        <v>902</v>
      </c>
      <c r="C964" t="s">
        <v>38</v>
      </c>
      <c r="D964" t="s">
        <v>48</v>
      </c>
      <c r="E964" t="s">
        <v>40</v>
      </c>
      <c r="F964" t="s">
        <v>78</v>
      </c>
      <c r="G964" t="str" cm="1">
        <f t="array" ref="G964">_xlfn.SWITCH(F964,"Acme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964" t="s">
        <v>58</v>
      </c>
      <c r="I964" t="s">
        <v>52</v>
      </c>
      <c r="J964" t="str" cm="1">
        <f t="array" ref="J964">_xlfn.SWITCH(I964,"P001","Laptop","P002","Server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64" s="1" cm="1">
        <f t="array" ref="K964">_xlfn.SWITCH(Table1[[#This Row],[Product ID]],"P001",220,"P002",150,"P003",130,"P004",70,"P005",200,"P006",40,"P007",25,"P008",20,"P009",190,"P010",530)</f>
        <v>130</v>
      </c>
      <c r="L964">
        <v>12</v>
      </c>
      <c r="M964" s="1">
        <f>Table1[[#This Row],[Unit Price]]*Table1[[#This Row],[Quantity]]</f>
        <v>1560</v>
      </c>
      <c r="N964" s="2">
        <v>0.05</v>
      </c>
      <c r="O964" s="1">
        <f>Table1[[#This Row],[Gross Value]]*(1-Table1[[#This Row],[Discount]])</f>
        <v>1482</v>
      </c>
      <c r="P964" s="2">
        <v>0.2</v>
      </c>
      <c r="Q964" s="1">
        <f>Table1[[#This Row],[Revenue]]*Table1[[#This Row],[VAT Rate]]</f>
        <v>296.40000000000003</v>
      </c>
      <c r="R964" s="1">
        <f>Table1[[#This Row],[Revenue]]+Table1[[#This Row],[VAT Charged]]</f>
        <v>1778.4</v>
      </c>
      <c r="S964" s="1" cm="1">
        <f t="array" ref="S964">_xlfn.SWITCH(Table1[[#This Row],[Product ID]],"P001",140,"P002",80,"P003",72,"P004",30,"P005",110,"P006",24,"P007",14,"P008",12,"P009",115,"P010",360)</f>
        <v>72</v>
      </c>
      <c r="T964" s="1" cm="1">
        <f t="array" ref="T964">(_xlfn.SWITCH(Table1[[#This Row],[Product ID]],"P001",140,"P002",80,"P003",72,"P004",30,"P005",110,"P006",24,"P007",14,"P008",12,"P009",115,"P010",360))*Table1[[#This Row],[Quantity]]</f>
        <v>864</v>
      </c>
      <c r="U964" s="1" cm="1">
        <f t="array" ref="U964">_xlfn.SWITCH(Table1[[#This Row],[Product ID]],"P001",15,"P002",0,"P003",8,"P004",8,"P005",0,"P006",7,"P007",7,"P008",6,"P009",45,"P010",60)</f>
        <v>8</v>
      </c>
      <c r="V964" s="1">
        <f>Table1[[#This Row],[Shipping per Unit]]*Table1[[#This Row],[Quantity]]</f>
        <v>96</v>
      </c>
      <c r="W964" s="2">
        <f>IF(Table1[[#This Row],[Total Shipping]]&gt;0.1,0.2,0)</f>
        <v>0.2</v>
      </c>
      <c r="X964" s="4">
        <f>Table1[[#This Row],[Total Shipping]]*Table1[[#This Row],[VAT on Shipping]]</f>
        <v>19.200000000000003</v>
      </c>
      <c r="Y964" s="1">
        <f>Table1[[#This Row],[Revenue]]-Table1[[#This Row],[COGS]]</f>
        <v>618</v>
      </c>
      <c r="Z964" s="3">
        <f>(Table1[[#This Row],[Profit]]/Table1[[#This Row],[Revenue]])</f>
        <v>0.41700404858299595</v>
      </c>
      <c r="AA964" s="1">
        <f>Table1[[#This Row],[Profit]]-Table1[[#This Row],[Total Shipping]]</f>
        <v>522</v>
      </c>
      <c r="AB964" s="3">
        <f>Table1[[#This Row],[Operating Profit]]/Table1[[#This Row],[Revenue]]</f>
        <v>0.35222672064777327</v>
      </c>
    </row>
    <row r="965" spans="1:28" x14ac:dyDescent="0.25">
      <c r="A965" t="s">
        <v>413</v>
      </c>
      <c r="B965">
        <v>910</v>
      </c>
      <c r="C965" t="s">
        <v>83</v>
      </c>
      <c r="D965" t="s">
        <v>30</v>
      </c>
      <c r="E965" t="s">
        <v>40</v>
      </c>
      <c r="F965" t="s">
        <v>44</v>
      </c>
      <c r="G965" t="str" cm="1">
        <f t="array" ref="G965">_xlfn.SWITCH(F965,"Acme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965" t="s">
        <v>69</v>
      </c>
      <c r="I965" t="s">
        <v>55</v>
      </c>
      <c r="J965" t="str" cm="1">
        <f t="array" ref="J965">_xlfn.SWITCH(I965,"P001","Laptop","P002","Server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65" s="1" cm="1">
        <f t="array" ref="K965">_xlfn.SWITCH(Table1[[#This Row],[Product ID]],"P001",220,"P002",150,"P003",130,"P004",70,"P005",200,"P006",40,"P007",25,"P008",20,"P009",190,"P010",530)</f>
        <v>70</v>
      </c>
      <c r="L965">
        <v>20</v>
      </c>
      <c r="M965" s="1">
        <f>Table1[[#This Row],[Unit Price]]*Table1[[#This Row],[Quantity]]</f>
        <v>1400</v>
      </c>
      <c r="N965" s="2">
        <v>0.02</v>
      </c>
      <c r="O965" s="1">
        <f>Table1[[#This Row],[Gross Value]]*(1-Table1[[#This Row],[Discount]])</f>
        <v>1372</v>
      </c>
      <c r="P965" s="2">
        <v>0.2</v>
      </c>
      <c r="Q965" s="1">
        <f>Table1[[#This Row],[Revenue]]*Table1[[#This Row],[VAT Rate]]</f>
        <v>274.40000000000003</v>
      </c>
      <c r="R965" s="1">
        <f>Table1[[#This Row],[Revenue]]+Table1[[#This Row],[VAT Charged]]</f>
        <v>1646.4</v>
      </c>
      <c r="S965" s="1" cm="1">
        <f t="array" ref="S965">_xlfn.SWITCH(Table1[[#This Row],[Product ID]],"P001",140,"P002",80,"P003",72,"P004",30,"P005",110,"P006",24,"P007",14,"P008",12,"P009",115,"P010",360)</f>
        <v>30</v>
      </c>
      <c r="T965" s="1" cm="1">
        <f t="array" ref="T965">(_xlfn.SWITCH(Table1[[#This Row],[Product ID]],"P001",140,"P002",80,"P003",72,"P004",30,"P005",110,"P006",24,"P007",14,"P008",12,"P009",115,"P010",360))*Table1[[#This Row],[Quantity]]</f>
        <v>600</v>
      </c>
      <c r="U965" s="1" cm="1">
        <f t="array" ref="U965">_xlfn.SWITCH(Table1[[#This Row],[Product ID]],"P001",15,"P002",0,"P003",8,"P004",8,"P005",0,"P006",7,"P007",7,"P008",6,"P009",45,"P010",60)</f>
        <v>8</v>
      </c>
      <c r="V965" s="1">
        <f>Table1[[#This Row],[Shipping per Unit]]*Table1[[#This Row],[Quantity]]</f>
        <v>160</v>
      </c>
      <c r="W965" s="2">
        <f>IF(Table1[[#This Row],[Total Shipping]]&gt;0.1,0.2,0)</f>
        <v>0.2</v>
      </c>
      <c r="X965" s="4">
        <f>Table1[[#This Row],[Total Shipping]]*Table1[[#This Row],[VAT on Shipping]]</f>
        <v>32</v>
      </c>
      <c r="Y965" s="1">
        <f>Table1[[#This Row],[Revenue]]-Table1[[#This Row],[COGS]]</f>
        <v>772</v>
      </c>
      <c r="Z965" s="3">
        <f>(Table1[[#This Row],[Profit]]/Table1[[#This Row],[Revenue]])</f>
        <v>0.56268221574344024</v>
      </c>
      <c r="AA965" s="1">
        <f>Table1[[#This Row],[Profit]]-Table1[[#This Row],[Total Shipping]]</f>
        <v>612</v>
      </c>
      <c r="AB965" s="3">
        <f>Table1[[#This Row],[Operating Profit]]/Table1[[#This Row],[Revenue]]</f>
        <v>0.44606413994169097</v>
      </c>
    </row>
    <row r="966" spans="1:28" x14ac:dyDescent="0.25">
      <c r="A966" t="s">
        <v>414</v>
      </c>
      <c r="B966">
        <v>168</v>
      </c>
      <c r="C966" t="s">
        <v>35</v>
      </c>
      <c r="D966" t="s">
        <v>67</v>
      </c>
      <c r="E966" t="s">
        <v>40</v>
      </c>
      <c r="F966" t="s">
        <v>64</v>
      </c>
      <c r="G966" t="str" cm="1">
        <f t="array" ref="G966">_xlfn.SWITCH(F966,"Acme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C015</v>
      </c>
      <c r="H966" t="s">
        <v>45</v>
      </c>
      <c r="I966" t="s">
        <v>46</v>
      </c>
      <c r="J966" t="str" cm="1">
        <f t="array" ref="J966">_xlfn.SWITCH(I966,"P001","Laptop","P002","Server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66" s="1" cm="1">
        <f t="array" ref="K966">_xlfn.SWITCH(Table1[[#This Row],[Product ID]],"P001",220,"P002",150,"P003",130,"P004",70,"P005",200,"P006",40,"P007",25,"P008",20,"P009",190,"P010",530)</f>
        <v>530</v>
      </c>
      <c r="L966">
        <v>12</v>
      </c>
      <c r="M966" s="1">
        <f>Table1[[#This Row],[Unit Price]]*Table1[[#This Row],[Quantity]]</f>
        <v>6360</v>
      </c>
      <c r="N966" s="2">
        <v>0.03</v>
      </c>
      <c r="O966" s="1">
        <f>Table1[[#This Row],[Gross Value]]*(1-Table1[[#This Row],[Discount]])</f>
        <v>6169.2</v>
      </c>
      <c r="P966" s="2">
        <v>0.2</v>
      </c>
      <c r="Q966" s="1">
        <f>Table1[[#This Row],[Revenue]]*Table1[[#This Row],[VAT Rate]]</f>
        <v>1233.8400000000001</v>
      </c>
      <c r="R966" s="1">
        <f>Table1[[#This Row],[Revenue]]+Table1[[#This Row],[VAT Charged]]</f>
        <v>7403.04</v>
      </c>
      <c r="S966" s="1" cm="1">
        <f t="array" ref="S966">_xlfn.SWITCH(Table1[[#This Row],[Product ID]],"P001",140,"P002",80,"P003",72,"P004",30,"P005",110,"P006",24,"P007",14,"P008",12,"P009",115,"P010",360)</f>
        <v>360</v>
      </c>
      <c r="T966" s="1" cm="1">
        <f t="array" ref="T966">(_xlfn.SWITCH(Table1[[#This Row],[Product ID]],"P001",140,"P002",80,"P003",72,"P004",30,"P005",110,"P006",24,"P007",14,"P008",12,"P009",115,"P010",360))*Table1[[#This Row],[Quantity]]</f>
        <v>4320</v>
      </c>
      <c r="U966" s="1" cm="1">
        <f t="array" ref="U966">_xlfn.SWITCH(Table1[[#This Row],[Product ID]],"P001",15,"P002",0,"P003",8,"P004",8,"P005",0,"P006",7,"P007",7,"P008",6,"P009",45,"P010",60)</f>
        <v>60</v>
      </c>
      <c r="V966" s="1">
        <f>Table1[[#This Row],[Shipping per Unit]]*Table1[[#This Row],[Quantity]]</f>
        <v>720</v>
      </c>
      <c r="W966" s="2">
        <f>IF(Table1[[#This Row],[Total Shipping]]&gt;0.1,0.2,0)</f>
        <v>0.2</v>
      </c>
      <c r="X966" s="4">
        <f>Table1[[#This Row],[Total Shipping]]*Table1[[#This Row],[VAT on Shipping]]</f>
        <v>144</v>
      </c>
      <c r="Y966" s="1">
        <f>Table1[[#This Row],[Revenue]]-Table1[[#This Row],[COGS]]</f>
        <v>1849.1999999999998</v>
      </c>
      <c r="Z966" s="3">
        <f>(Table1[[#This Row],[Profit]]/Table1[[#This Row],[Revenue]])</f>
        <v>0.29974713090838356</v>
      </c>
      <c r="AA966" s="1">
        <f>Table1[[#This Row],[Profit]]-Table1[[#This Row],[Total Shipping]]</f>
        <v>1129.1999999999998</v>
      </c>
      <c r="AB966" s="3">
        <f>Table1[[#This Row],[Operating Profit]]/Table1[[#This Row],[Revenue]]</f>
        <v>0.18303831939311416</v>
      </c>
    </row>
    <row r="967" spans="1:28" x14ac:dyDescent="0.25">
      <c r="A967" t="s">
        <v>414</v>
      </c>
      <c r="B967">
        <v>551</v>
      </c>
      <c r="C967" t="s">
        <v>56</v>
      </c>
      <c r="D967" t="s">
        <v>63</v>
      </c>
      <c r="E967" t="s">
        <v>40</v>
      </c>
      <c r="F967" t="s">
        <v>59</v>
      </c>
      <c r="G967" t="str" cm="1">
        <f t="array" ref="G967">_xlfn.SWITCH(F967,"Acme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C001</v>
      </c>
      <c r="H967" t="s">
        <v>33</v>
      </c>
      <c r="I967" t="s">
        <v>91</v>
      </c>
      <c r="J967" t="str" cm="1">
        <f t="array" ref="J967">_xlfn.SWITCH(I967,"P001","Laptop","P002","Server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967" s="1" cm="1">
        <f t="array" ref="K967">_xlfn.SWITCH(Table1[[#This Row],[Product ID]],"P001",220,"P002",150,"P003",130,"P004",70,"P005",200,"P006",40,"P007",25,"P008",20,"P009",190,"P010",530)</f>
        <v>190</v>
      </c>
      <c r="L967">
        <v>12</v>
      </c>
      <c r="M967" s="1">
        <f>Table1[[#This Row],[Unit Price]]*Table1[[#This Row],[Quantity]]</f>
        <v>2280</v>
      </c>
      <c r="N967" s="2">
        <v>0.02</v>
      </c>
      <c r="O967" s="1">
        <f>Table1[[#This Row],[Gross Value]]*(1-Table1[[#This Row],[Discount]])</f>
        <v>2234.4</v>
      </c>
      <c r="P967" s="2">
        <v>0.2</v>
      </c>
      <c r="Q967" s="1">
        <f>Table1[[#This Row],[Revenue]]*Table1[[#This Row],[VAT Rate]]</f>
        <v>446.88000000000005</v>
      </c>
      <c r="R967" s="1">
        <f>Table1[[#This Row],[Revenue]]+Table1[[#This Row],[VAT Charged]]</f>
        <v>2681.28</v>
      </c>
      <c r="S967" s="1" cm="1">
        <f t="array" ref="S967">_xlfn.SWITCH(Table1[[#This Row],[Product ID]],"P001",140,"P002",80,"P003",72,"P004",30,"P005",110,"P006",24,"P007",14,"P008",12,"P009",115,"P010",360)</f>
        <v>115</v>
      </c>
      <c r="T967" s="1" cm="1">
        <f t="array" ref="T967">(_xlfn.SWITCH(Table1[[#This Row],[Product ID]],"P001",140,"P002",80,"P003",72,"P004",30,"P005",110,"P006",24,"P007",14,"P008",12,"P009",115,"P010",360))*Table1[[#This Row],[Quantity]]</f>
        <v>1380</v>
      </c>
      <c r="U967" s="1" cm="1">
        <f t="array" ref="U967">_xlfn.SWITCH(Table1[[#This Row],[Product ID]],"P001",15,"P002",0,"P003",8,"P004",8,"P005",0,"P006",7,"P007",7,"P008",6,"P009",45,"P010",60)</f>
        <v>45</v>
      </c>
      <c r="V967" s="1">
        <f>Table1[[#This Row],[Shipping per Unit]]*Table1[[#This Row],[Quantity]]</f>
        <v>540</v>
      </c>
      <c r="W967" s="2">
        <f>IF(Table1[[#This Row],[Total Shipping]]&gt;0.1,0.2,0)</f>
        <v>0.2</v>
      </c>
      <c r="X967" s="4">
        <f>Table1[[#This Row],[Total Shipping]]*Table1[[#This Row],[VAT on Shipping]]</f>
        <v>108</v>
      </c>
      <c r="Y967" s="1">
        <f>Table1[[#This Row],[Revenue]]-Table1[[#This Row],[COGS]]</f>
        <v>854.40000000000009</v>
      </c>
      <c r="Z967" s="3">
        <f>(Table1[[#This Row],[Profit]]/Table1[[#This Row],[Revenue]])</f>
        <v>0.38238453276047263</v>
      </c>
      <c r="AA967" s="1">
        <f>Table1[[#This Row],[Profit]]-Table1[[#This Row],[Total Shipping]]</f>
        <v>314.40000000000009</v>
      </c>
      <c r="AB967" s="3">
        <f>Table1[[#This Row],[Operating Profit]]/Table1[[#This Row],[Revenue]]</f>
        <v>0.14070891514500541</v>
      </c>
    </row>
    <row r="968" spans="1:28" x14ac:dyDescent="0.25">
      <c r="A968" t="s">
        <v>415</v>
      </c>
      <c r="B968">
        <v>765</v>
      </c>
      <c r="C968" t="s">
        <v>29</v>
      </c>
      <c r="D968" t="s">
        <v>48</v>
      </c>
      <c r="E968" t="s">
        <v>31</v>
      </c>
      <c r="F968" t="s">
        <v>76</v>
      </c>
      <c r="G968" t="str" cm="1">
        <f t="array" ref="G968">_xlfn.SWITCH(F968,"Acme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C018</v>
      </c>
      <c r="H968" t="s">
        <v>33</v>
      </c>
      <c r="I968" t="s">
        <v>75</v>
      </c>
      <c r="J968" t="str" cm="1">
        <f t="array" ref="J968">_xlfn.SWITCH(I968,"P001","Laptop","P002","Server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68" s="1" cm="1">
        <f t="array" ref="K968">_xlfn.SWITCH(Table1[[#This Row],[Product ID]],"P001",220,"P002",150,"P003",130,"P004",70,"P005",200,"P006",40,"P007",25,"P008",20,"P009",190,"P010",530)</f>
        <v>200</v>
      </c>
      <c r="L968">
        <v>16</v>
      </c>
      <c r="M968" s="1">
        <f>Table1[[#This Row],[Unit Price]]*Table1[[#This Row],[Quantity]]</f>
        <v>3200</v>
      </c>
      <c r="N968" s="2">
        <v>0.05</v>
      </c>
      <c r="O968" s="1">
        <f>Table1[[#This Row],[Gross Value]]*(1-Table1[[#This Row],[Discount]])</f>
        <v>3040</v>
      </c>
      <c r="P968" s="2">
        <v>0.2</v>
      </c>
      <c r="Q968" s="1">
        <f>Table1[[#This Row],[Revenue]]*Table1[[#This Row],[VAT Rate]]</f>
        <v>608</v>
      </c>
      <c r="R968" s="1">
        <f>Table1[[#This Row],[Revenue]]+Table1[[#This Row],[VAT Charged]]</f>
        <v>3648</v>
      </c>
      <c r="S968" s="1" cm="1">
        <f t="array" ref="S968">_xlfn.SWITCH(Table1[[#This Row],[Product ID]],"P001",140,"P002",80,"P003",72,"P004",30,"P005",110,"P006",24,"P007",14,"P008",12,"P009",115,"P010",360)</f>
        <v>110</v>
      </c>
      <c r="T968" s="1" cm="1">
        <f t="array" ref="T968">(_xlfn.SWITCH(Table1[[#This Row],[Product ID]],"P001",140,"P002",80,"P003",72,"P004",30,"P005",110,"P006",24,"P007",14,"P008",12,"P009",115,"P010",360))*Table1[[#This Row],[Quantity]]</f>
        <v>1760</v>
      </c>
      <c r="U968" s="1" cm="1">
        <f t="array" ref="U968">_xlfn.SWITCH(Table1[[#This Row],[Product ID]],"P001",15,"P002",0,"P003",8,"P004",8,"P005",0,"P006",7,"P007",7,"P008",6,"P009",45,"P010",60)</f>
        <v>0</v>
      </c>
      <c r="V968" s="1">
        <f>Table1[[#This Row],[Shipping per Unit]]*Table1[[#This Row],[Quantity]]</f>
        <v>0</v>
      </c>
      <c r="W968" s="2">
        <f>IF(Table1[[#This Row],[Total Shipping]]&gt;0.1,0.2,0)</f>
        <v>0</v>
      </c>
      <c r="X968" s="4">
        <f>Table1[[#This Row],[Total Shipping]]*Table1[[#This Row],[VAT on Shipping]]</f>
        <v>0</v>
      </c>
      <c r="Y968" s="1">
        <f>Table1[[#This Row],[Revenue]]-Table1[[#This Row],[COGS]]</f>
        <v>1280</v>
      </c>
      <c r="Z968" s="3">
        <f>(Table1[[#This Row],[Profit]]/Table1[[#This Row],[Revenue]])</f>
        <v>0.42105263157894735</v>
      </c>
      <c r="AA968" s="1">
        <f>Table1[[#This Row],[Profit]]-Table1[[#This Row],[Total Shipping]]</f>
        <v>1280</v>
      </c>
      <c r="AB968" s="3">
        <f>Table1[[#This Row],[Operating Profit]]/Table1[[#This Row],[Revenue]]</f>
        <v>0.42105263157894735</v>
      </c>
    </row>
    <row r="969" spans="1:28" x14ac:dyDescent="0.25">
      <c r="A969" t="s">
        <v>415</v>
      </c>
      <c r="B969">
        <v>887</v>
      </c>
      <c r="C969" t="s">
        <v>65</v>
      </c>
      <c r="D969" t="s">
        <v>39</v>
      </c>
      <c r="E969" t="s">
        <v>49</v>
      </c>
      <c r="F969" t="s">
        <v>103</v>
      </c>
      <c r="G969" t="str" cm="1">
        <f t="array" ref="G969">_xlfn.SWITCH(F969,"Acme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969" t="s">
        <v>33</v>
      </c>
      <c r="I969" t="s">
        <v>42</v>
      </c>
      <c r="J969" t="str" cm="1">
        <f t="array" ref="J969">_xlfn.SWITCH(I969,"P001","Laptop","P002","Server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69" s="1" cm="1">
        <f t="array" ref="K969">_xlfn.SWITCH(Table1[[#This Row],[Product ID]],"P001",220,"P002",150,"P003",130,"P004",70,"P005",200,"P006",40,"P007",25,"P008",20,"P009",190,"P010",530)</f>
        <v>40</v>
      </c>
      <c r="L969">
        <v>11</v>
      </c>
      <c r="M969" s="1">
        <f>Table1[[#This Row],[Unit Price]]*Table1[[#This Row],[Quantity]]</f>
        <v>440</v>
      </c>
      <c r="N969" s="2">
        <v>0.06</v>
      </c>
      <c r="O969" s="1">
        <f>Table1[[#This Row],[Gross Value]]*(1-Table1[[#This Row],[Discount]])</f>
        <v>413.59999999999997</v>
      </c>
      <c r="P969" s="2">
        <v>0.2</v>
      </c>
      <c r="Q969" s="1">
        <f>Table1[[#This Row],[Revenue]]*Table1[[#This Row],[VAT Rate]]</f>
        <v>82.72</v>
      </c>
      <c r="R969" s="1">
        <f>Table1[[#This Row],[Revenue]]+Table1[[#This Row],[VAT Charged]]</f>
        <v>496.31999999999994</v>
      </c>
      <c r="S969" s="1" cm="1">
        <f t="array" ref="S969">_xlfn.SWITCH(Table1[[#This Row],[Product ID]],"P001",140,"P002",80,"P003",72,"P004",30,"P005",110,"P006",24,"P007",14,"P008",12,"P009",115,"P010",360)</f>
        <v>24</v>
      </c>
      <c r="T969" s="1" cm="1">
        <f t="array" ref="T969">(_xlfn.SWITCH(Table1[[#This Row],[Product ID]],"P001",140,"P002",80,"P003",72,"P004",30,"P005",110,"P006",24,"P007",14,"P008",12,"P009",115,"P010",360))*Table1[[#This Row],[Quantity]]</f>
        <v>264</v>
      </c>
      <c r="U969" s="1" cm="1">
        <f t="array" ref="U969">_xlfn.SWITCH(Table1[[#This Row],[Product ID]],"P001",15,"P002",0,"P003",8,"P004",8,"P005",0,"P006",7,"P007",7,"P008",6,"P009",45,"P010",60)</f>
        <v>7</v>
      </c>
      <c r="V969" s="1">
        <f>Table1[[#This Row],[Shipping per Unit]]*Table1[[#This Row],[Quantity]]</f>
        <v>77</v>
      </c>
      <c r="W969" s="2">
        <f>IF(Table1[[#This Row],[Total Shipping]]&gt;0.1,0.2,0)</f>
        <v>0.2</v>
      </c>
      <c r="X969" s="4">
        <f>Table1[[#This Row],[Total Shipping]]*Table1[[#This Row],[VAT on Shipping]]</f>
        <v>15.4</v>
      </c>
      <c r="Y969" s="1">
        <f>Table1[[#This Row],[Revenue]]-Table1[[#This Row],[COGS]]</f>
        <v>149.59999999999997</v>
      </c>
      <c r="Z969" s="3">
        <f>(Table1[[#This Row],[Profit]]/Table1[[#This Row],[Revenue]])</f>
        <v>0.36170212765957444</v>
      </c>
      <c r="AA969" s="1">
        <f>Table1[[#This Row],[Profit]]-Table1[[#This Row],[Total Shipping]]</f>
        <v>72.599999999999966</v>
      </c>
      <c r="AB969" s="3">
        <f>Table1[[#This Row],[Operating Profit]]/Table1[[#This Row],[Revenue]]</f>
        <v>0.17553191489361694</v>
      </c>
    </row>
    <row r="970" spans="1:28" x14ac:dyDescent="0.25">
      <c r="A970" t="s">
        <v>416</v>
      </c>
      <c r="B970">
        <v>270</v>
      </c>
      <c r="C970" t="s">
        <v>83</v>
      </c>
      <c r="D970" t="s">
        <v>72</v>
      </c>
      <c r="E970" t="s">
        <v>40</v>
      </c>
      <c r="F970" t="s">
        <v>37</v>
      </c>
      <c r="G970" t="str" cm="1">
        <f t="array" ref="G970">_xlfn.SWITCH(F970,"Acme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70" t="s">
        <v>69</v>
      </c>
      <c r="I970" t="s">
        <v>91</v>
      </c>
      <c r="J970" t="str" cm="1">
        <f t="array" ref="J970">_xlfn.SWITCH(I970,"P001","Laptop","P002","Server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970" s="1" cm="1">
        <f t="array" ref="K970">_xlfn.SWITCH(Table1[[#This Row],[Product ID]],"P001",220,"P002",150,"P003",130,"P004",70,"P005",200,"P006",40,"P007",25,"P008",20,"P009",190,"P010",530)</f>
        <v>190</v>
      </c>
      <c r="L970">
        <v>20</v>
      </c>
      <c r="M970" s="1">
        <f>Table1[[#This Row],[Unit Price]]*Table1[[#This Row],[Quantity]]</f>
        <v>3800</v>
      </c>
      <c r="N970" s="2">
        <v>0.04</v>
      </c>
      <c r="O970" s="1">
        <f>Table1[[#This Row],[Gross Value]]*(1-Table1[[#This Row],[Discount]])</f>
        <v>3648</v>
      </c>
      <c r="P970" s="2">
        <v>0.2</v>
      </c>
      <c r="Q970" s="1">
        <f>Table1[[#This Row],[Revenue]]*Table1[[#This Row],[VAT Rate]]</f>
        <v>729.6</v>
      </c>
      <c r="R970" s="1">
        <f>Table1[[#This Row],[Revenue]]+Table1[[#This Row],[VAT Charged]]</f>
        <v>4377.6000000000004</v>
      </c>
      <c r="S970" s="1" cm="1">
        <f t="array" ref="S970">_xlfn.SWITCH(Table1[[#This Row],[Product ID]],"P001",140,"P002",80,"P003",72,"P004",30,"P005",110,"P006",24,"P007",14,"P008",12,"P009",115,"P010",360)</f>
        <v>115</v>
      </c>
      <c r="T970" s="1" cm="1">
        <f t="array" ref="T970">(_xlfn.SWITCH(Table1[[#This Row],[Product ID]],"P001",140,"P002",80,"P003",72,"P004",30,"P005",110,"P006",24,"P007",14,"P008",12,"P009",115,"P010",360))*Table1[[#This Row],[Quantity]]</f>
        <v>2300</v>
      </c>
      <c r="U970" s="1" cm="1">
        <f t="array" ref="U970">_xlfn.SWITCH(Table1[[#This Row],[Product ID]],"P001",15,"P002",0,"P003",8,"P004",8,"P005",0,"P006",7,"P007",7,"P008",6,"P009",45,"P010",60)</f>
        <v>45</v>
      </c>
      <c r="V970" s="1">
        <f>Table1[[#This Row],[Shipping per Unit]]*Table1[[#This Row],[Quantity]]</f>
        <v>900</v>
      </c>
      <c r="W970" s="2">
        <f>IF(Table1[[#This Row],[Total Shipping]]&gt;0.1,0.2,0)</f>
        <v>0.2</v>
      </c>
      <c r="X970" s="4">
        <f>Table1[[#This Row],[Total Shipping]]*Table1[[#This Row],[VAT on Shipping]]</f>
        <v>180</v>
      </c>
      <c r="Y970" s="1">
        <f>Table1[[#This Row],[Revenue]]-Table1[[#This Row],[COGS]]</f>
        <v>1348</v>
      </c>
      <c r="Z970" s="3">
        <f>(Table1[[#This Row],[Profit]]/Table1[[#This Row],[Revenue]])</f>
        <v>0.36951754385964913</v>
      </c>
      <c r="AA970" s="1">
        <f>Table1[[#This Row],[Profit]]-Table1[[#This Row],[Total Shipping]]</f>
        <v>448</v>
      </c>
      <c r="AB970" s="3">
        <f>Table1[[#This Row],[Operating Profit]]/Table1[[#This Row],[Revenue]]</f>
        <v>0.12280701754385964</v>
      </c>
    </row>
    <row r="971" spans="1:28" x14ac:dyDescent="0.25">
      <c r="A971" t="s">
        <v>416</v>
      </c>
      <c r="B971">
        <v>922</v>
      </c>
      <c r="C971" t="s">
        <v>65</v>
      </c>
      <c r="D971" t="s">
        <v>48</v>
      </c>
      <c r="E971" t="s">
        <v>40</v>
      </c>
      <c r="F971" t="s">
        <v>98</v>
      </c>
      <c r="G971" t="str" cm="1">
        <f t="array" ref="G971">_xlfn.SWITCH(F971,"Acme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971" t="s">
        <v>33</v>
      </c>
      <c r="I971" t="s">
        <v>75</v>
      </c>
      <c r="J971" t="str" cm="1">
        <f t="array" ref="J971">_xlfn.SWITCH(I971,"P001","Laptop","P002","Server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71" s="1" cm="1">
        <f t="array" ref="K971">_xlfn.SWITCH(Table1[[#This Row],[Product ID]],"P001",220,"P002",150,"P003",130,"P004",70,"P005",200,"P006",40,"P007",25,"P008",20,"P009",190,"P010",530)</f>
        <v>200</v>
      </c>
      <c r="L971">
        <v>14</v>
      </c>
      <c r="M971" s="1">
        <f>Table1[[#This Row],[Unit Price]]*Table1[[#This Row],[Quantity]]</f>
        <v>2800</v>
      </c>
      <c r="N971" s="2">
        <v>0.09</v>
      </c>
      <c r="O971" s="1">
        <f>Table1[[#This Row],[Gross Value]]*(1-Table1[[#This Row],[Discount]])</f>
        <v>2548</v>
      </c>
      <c r="P971" s="2">
        <v>0.2</v>
      </c>
      <c r="Q971" s="1">
        <f>Table1[[#This Row],[Revenue]]*Table1[[#This Row],[VAT Rate]]</f>
        <v>509.6</v>
      </c>
      <c r="R971" s="1">
        <f>Table1[[#This Row],[Revenue]]+Table1[[#This Row],[VAT Charged]]</f>
        <v>3057.6</v>
      </c>
      <c r="S971" s="1" cm="1">
        <f t="array" ref="S971">_xlfn.SWITCH(Table1[[#This Row],[Product ID]],"P001",140,"P002",80,"P003",72,"P004",30,"P005",110,"P006",24,"P007",14,"P008",12,"P009",115,"P010",360)</f>
        <v>110</v>
      </c>
      <c r="T971" s="1" cm="1">
        <f t="array" ref="T971">(_xlfn.SWITCH(Table1[[#This Row],[Product ID]],"P001",140,"P002",80,"P003",72,"P004",30,"P005",110,"P006",24,"P007",14,"P008",12,"P009",115,"P010",360))*Table1[[#This Row],[Quantity]]</f>
        <v>1540</v>
      </c>
      <c r="U971" s="1" cm="1">
        <f t="array" ref="U971">_xlfn.SWITCH(Table1[[#This Row],[Product ID]],"P001",15,"P002",0,"P003",8,"P004",8,"P005",0,"P006",7,"P007",7,"P008",6,"P009",45,"P010",60)</f>
        <v>0</v>
      </c>
      <c r="V971" s="1">
        <f>Table1[[#This Row],[Shipping per Unit]]*Table1[[#This Row],[Quantity]]</f>
        <v>0</v>
      </c>
      <c r="W971" s="2">
        <f>IF(Table1[[#This Row],[Total Shipping]]&gt;0.1,0.2,0)</f>
        <v>0</v>
      </c>
      <c r="X971" s="4">
        <f>Table1[[#This Row],[Total Shipping]]*Table1[[#This Row],[VAT on Shipping]]</f>
        <v>0</v>
      </c>
      <c r="Y971" s="1">
        <f>Table1[[#This Row],[Revenue]]-Table1[[#This Row],[COGS]]</f>
        <v>1008</v>
      </c>
      <c r="Z971" s="3">
        <f>(Table1[[#This Row],[Profit]]/Table1[[#This Row],[Revenue]])</f>
        <v>0.39560439560439559</v>
      </c>
      <c r="AA971" s="1">
        <f>Table1[[#This Row],[Profit]]-Table1[[#This Row],[Total Shipping]]</f>
        <v>1008</v>
      </c>
      <c r="AB971" s="3">
        <f>Table1[[#This Row],[Operating Profit]]/Table1[[#This Row],[Revenue]]</f>
        <v>0.39560439560439559</v>
      </c>
    </row>
    <row r="972" spans="1:28" x14ac:dyDescent="0.25">
      <c r="A972" t="s">
        <v>416</v>
      </c>
      <c r="B972">
        <v>992</v>
      </c>
      <c r="C972" t="s">
        <v>62</v>
      </c>
      <c r="D972" t="s">
        <v>48</v>
      </c>
      <c r="E972" t="s">
        <v>49</v>
      </c>
      <c r="F972" t="s">
        <v>86</v>
      </c>
      <c r="G972" t="str" cm="1">
        <f t="array" ref="G972">_xlfn.SWITCH(F972,"Acme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72" t="s">
        <v>51</v>
      </c>
      <c r="I972" t="s">
        <v>42</v>
      </c>
      <c r="J972" t="str" cm="1">
        <f t="array" ref="J972">_xlfn.SWITCH(I972,"P001","Laptop","P002","Server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72" s="1" cm="1">
        <f t="array" ref="K972">_xlfn.SWITCH(Table1[[#This Row],[Product ID]],"P001",220,"P002",150,"P003",130,"P004",70,"P005",200,"P006",40,"P007",25,"P008",20,"P009",190,"P010",530)</f>
        <v>40</v>
      </c>
      <c r="L972">
        <v>14</v>
      </c>
      <c r="M972" s="1">
        <f>Table1[[#This Row],[Unit Price]]*Table1[[#This Row],[Quantity]]</f>
        <v>560</v>
      </c>
      <c r="N972" s="2">
        <v>7.0000000000000007E-2</v>
      </c>
      <c r="O972" s="1">
        <f>Table1[[#This Row],[Gross Value]]*(1-Table1[[#This Row],[Discount]])</f>
        <v>520.79999999999995</v>
      </c>
      <c r="P972" s="2">
        <v>0.2</v>
      </c>
      <c r="Q972" s="1">
        <f>Table1[[#This Row],[Revenue]]*Table1[[#This Row],[VAT Rate]]</f>
        <v>104.16</v>
      </c>
      <c r="R972" s="1">
        <f>Table1[[#This Row],[Revenue]]+Table1[[#This Row],[VAT Charged]]</f>
        <v>624.95999999999992</v>
      </c>
      <c r="S972" s="1" cm="1">
        <f t="array" ref="S972">_xlfn.SWITCH(Table1[[#This Row],[Product ID]],"P001",140,"P002",80,"P003",72,"P004",30,"P005",110,"P006",24,"P007",14,"P008",12,"P009",115,"P010",360)</f>
        <v>24</v>
      </c>
      <c r="T972" s="1" cm="1">
        <f t="array" ref="T972">(_xlfn.SWITCH(Table1[[#This Row],[Product ID]],"P001",140,"P002",80,"P003",72,"P004",30,"P005",110,"P006",24,"P007",14,"P008",12,"P009",115,"P010",360))*Table1[[#This Row],[Quantity]]</f>
        <v>336</v>
      </c>
      <c r="U972" s="1" cm="1">
        <f t="array" ref="U972">_xlfn.SWITCH(Table1[[#This Row],[Product ID]],"P001",15,"P002",0,"P003",8,"P004",8,"P005",0,"P006",7,"P007",7,"P008",6,"P009",45,"P010",60)</f>
        <v>7</v>
      </c>
      <c r="V972" s="1">
        <f>Table1[[#This Row],[Shipping per Unit]]*Table1[[#This Row],[Quantity]]</f>
        <v>98</v>
      </c>
      <c r="W972" s="2">
        <f>IF(Table1[[#This Row],[Total Shipping]]&gt;0.1,0.2,0)</f>
        <v>0.2</v>
      </c>
      <c r="X972" s="4">
        <f>Table1[[#This Row],[Total Shipping]]*Table1[[#This Row],[VAT on Shipping]]</f>
        <v>19.600000000000001</v>
      </c>
      <c r="Y972" s="1">
        <f>Table1[[#This Row],[Revenue]]-Table1[[#This Row],[COGS]]</f>
        <v>184.79999999999995</v>
      </c>
      <c r="Z972" s="3">
        <f>(Table1[[#This Row],[Profit]]/Table1[[#This Row],[Revenue]])</f>
        <v>0.35483870967741932</v>
      </c>
      <c r="AA972" s="1">
        <f>Table1[[#This Row],[Profit]]-Table1[[#This Row],[Total Shipping]]</f>
        <v>86.799999999999955</v>
      </c>
      <c r="AB972" s="3">
        <f>Table1[[#This Row],[Operating Profit]]/Table1[[#This Row],[Revenue]]</f>
        <v>0.1666666666666666</v>
      </c>
    </row>
    <row r="973" spans="1:28" x14ac:dyDescent="0.25">
      <c r="A973" t="s">
        <v>417</v>
      </c>
      <c r="B973">
        <v>276</v>
      </c>
      <c r="C973" t="s">
        <v>56</v>
      </c>
      <c r="D973" t="s">
        <v>30</v>
      </c>
      <c r="E973" t="s">
        <v>40</v>
      </c>
      <c r="F973" t="s">
        <v>98</v>
      </c>
      <c r="G973" t="str" cm="1">
        <f t="array" ref="G973">_xlfn.SWITCH(F973,"Acme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973" t="s">
        <v>45</v>
      </c>
      <c r="I973" t="s">
        <v>42</v>
      </c>
      <c r="J973" t="str" cm="1">
        <f t="array" ref="J973">_xlfn.SWITCH(I973,"P001","Laptop","P002","Server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73" s="1" cm="1">
        <f t="array" ref="K973">_xlfn.SWITCH(Table1[[#This Row],[Product ID]],"P001",220,"P002",150,"P003",130,"P004",70,"P005",200,"P006",40,"P007",25,"P008",20,"P009",190,"P010",530)</f>
        <v>40</v>
      </c>
      <c r="L973">
        <v>6</v>
      </c>
      <c r="M973" s="1">
        <f>Table1[[#This Row],[Unit Price]]*Table1[[#This Row],[Quantity]]</f>
        <v>240</v>
      </c>
      <c r="N973" s="2">
        <v>0.05</v>
      </c>
      <c r="O973" s="1">
        <f>Table1[[#This Row],[Gross Value]]*(1-Table1[[#This Row],[Discount]])</f>
        <v>228</v>
      </c>
      <c r="P973" s="2">
        <v>0.2</v>
      </c>
      <c r="Q973" s="1">
        <f>Table1[[#This Row],[Revenue]]*Table1[[#This Row],[VAT Rate]]</f>
        <v>45.6</v>
      </c>
      <c r="R973" s="1">
        <f>Table1[[#This Row],[Revenue]]+Table1[[#This Row],[VAT Charged]]</f>
        <v>273.60000000000002</v>
      </c>
      <c r="S973" s="1" cm="1">
        <f t="array" ref="S973">_xlfn.SWITCH(Table1[[#This Row],[Product ID]],"P001",140,"P002",80,"P003",72,"P004",30,"P005",110,"P006",24,"P007",14,"P008",12,"P009",115,"P010",360)</f>
        <v>24</v>
      </c>
      <c r="T973" s="1" cm="1">
        <f t="array" ref="T973">(_xlfn.SWITCH(Table1[[#This Row],[Product ID]],"P001",140,"P002",80,"P003",72,"P004",30,"P005",110,"P006",24,"P007",14,"P008",12,"P009",115,"P010",360))*Table1[[#This Row],[Quantity]]</f>
        <v>144</v>
      </c>
      <c r="U973" s="1" cm="1">
        <f t="array" ref="U973">_xlfn.SWITCH(Table1[[#This Row],[Product ID]],"P001",15,"P002",0,"P003",8,"P004",8,"P005",0,"P006",7,"P007",7,"P008",6,"P009",45,"P010",60)</f>
        <v>7</v>
      </c>
      <c r="V973" s="1">
        <f>Table1[[#This Row],[Shipping per Unit]]*Table1[[#This Row],[Quantity]]</f>
        <v>42</v>
      </c>
      <c r="W973" s="2">
        <f>IF(Table1[[#This Row],[Total Shipping]]&gt;0.1,0.2,0)</f>
        <v>0.2</v>
      </c>
      <c r="X973" s="4">
        <f>Table1[[#This Row],[Total Shipping]]*Table1[[#This Row],[VAT on Shipping]]</f>
        <v>8.4</v>
      </c>
      <c r="Y973" s="1">
        <f>Table1[[#This Row],[Revenue]]-Table1[[#This Row],[COGS]]</f>
        <v>84</v>
      </c>
      <c r="Z973" s="3">
        <f>(Table1[[#This Row],[Profit]]/Table1[[#This Row],[Revenue]])</f>
        <v>0.36842105263157893</v>
      </c>
      <c r="AA973" s="1">
        <f>Table1[[#This Row],[Profit]]-Table1[[#This Row],[Total Shipping]]</f>
        <v>42</v>
      </c>
      <c r="AB973" s="3">
        <f>Table1[[#This Row],[Operating Profit]]/Table1[[#This Row],[Revenue]]</f>
        <v>0.18421052631578946</v>
      </c>
    </row>
    <row r="974" spans="1:28" x14ac:dyDescent="0.25">
      <c r="A974" t="s">
        <v>417</v>
      </c>
      <c r="B974">
        <v>412</v>
      </c>
      <c r="C974" t="s">
        <v>38</v>
      </c>
      <c r="D974" t="s">
        <v>53</v>
      </c>
      <c r="E974" t="s">
        <v>49</v>
      </c>
      <c r="F974" t="s">
        <v>79</v>
      </c>
      <c r="G974" t="str" cm="1">
        <f t="array" ref="G974">_xlfn.SWITCH(F974,"Acme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C014</v>
      </c>
      <c r="H974" t="s">
        <v>33</v>
      </c>
      <c r="I974" t="s">
        <v>46</v>
      </c>
      <c r="J974" t="str" cm="1">
        <f t="array" ref="J974">_xlfn.SWITCH(I974,"P001","Laptop","P002","Server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74" s="1" cm="1">
        <f t="array" ref="K974">_xlfn.SWITCH(Table1[[#This Row],[Product ID]],"P001",220,"P002",150,"P003",130,"P004",70,"P005",200,"P006",40,"P007",25,"P008",20,"P009",190,"P010",530)</f>
        <v>530</v>
      </c>
      <c r="L974">
        <v>9</v>
      </c>
      <c r="M974" s="1">
        <f>Table1[[#This Row],[Unit Price]]*Table1[[#This Row],[Quantity]]</f>
        <v>4770</v>
      </c>
      <c r="N974" s="2">
        <v>0.03</v>
      </c>
      <c r="O974" s="1">
        <f>Table1[[#This Row],[Gross Value]]*(1-Table1[[#This Row],[Discount]])</f>
        <v>4626.8999999999996</v>
      </c>
      <c r="P974" s="2">
        <v>0.2</v>
      </c>
      <c r="Q974" s="1">
        <f>Table1[[#This Row],[Revenue]]*Table1[[#This Row],[VAT Rate]]</f>
        <v>925.38</v>
      </c>
      <c r="R974" s="1">
        <f>Table1[[#This Row],[Revenue]]+Table1[[#This Row],[VAT Charged]]</f>
        <v>5552.28</v>
      </c>
      <c r="S974" s="1" cm="1">
        <f t="array" ref="S974">_xlfn.SWITCH(Table1[[#This Row],[Product ID]],"P001",140,"P002",80,"P003",72,"P004",30,"P005",110,"P006",24,"P007",14,"P008",12,"P009",115,"P010",360)</f>
        <v>360</v>
      </c>
      <c r="T974" s="1" cm="1">
        <f t="array" ref="T974">(_xlfn.SWITCH(Table1[[#This Row],[Product ID]],"P001",140,"P002",80,"P003",72,"P004",30,"P005",110,"P006",24,"P007",14,"P008",12,"P009",115,"P010",360))*Table1[[#This Row],[Quantity]]</f>
        <v>3240</v>
      </c>
      <c r="U974" s="1" cm="1">
        <f t="array" ref="U974">_xlfn.SWITCH(Table1[[#This Row],[Product ID]],"P001",15,"P002",0,"P003",8,"P004",8,"P005",0,"P006",7,"P007",7,"P008",6,"P009",45,"P010",60)</f>
        <v>60</v>
      </c>
      <c r="V974" s="1">
        <f>Table1[[#This Row],[Shipping per Unit]]*Table1[[#This Row],[Quantity]]</f>
        <v>540</v>
      </c>
      <c r="W974" s="2">
        <f>IF(Table1[[#This Row],[Total Shipping]]&gt;0.1,0.2,0)</f>
        <v>0.2</v>
      </c>
      <c r="X974" s="4">
        <f>Table1[[#This Row],[Total Shipping]]*Table1[[#This Row],[VAT on Shipping]]</f>
        <v>108</v>
      </c>
      <c r="Y974" s="1">
        <f>Table1[[#This Row],[Revenue]]-Table1[[#This Row],[COGS]]</f>
        <v>1386.8999999999996</v>
      </c>
      <c r="Z974" s="3">
        <f>(Table1[[#This Row],[Profit]]/Table1[[#This Row],[Revenue]])</f>
        <v>0.29974713090838351</v>
      </c>
      <c r="AA974" s="1">
        <f>Table1[[#This Row],[Profit]]-Table1[[#This Row],[Total Shipping]]</f>
        <v>846.89999999999964</v>
      </c>
      <c r="AB974" s="3">
        <f>Table1[[#This Row],[Operating Profit]]/Table1[[#This Row],[Revenue]]</f>
        <v>0.18303831939311413</v>
      </c>
    </row>
    <row r="975" spans="1:28" x14ac:dyDescent="0.25">
      <c r="A975" t="s">
        <v>417</v>
      </c>
      <c r="B975">
        <v>571</v>
      </c>
      <c r="C975" t="s">
        <v>62</v>
      </c>
      <c r="D975" t="s">
        <v>48</v>
      </c>
      <c r="E975" t="s">
        <v>49</v>
      </c>
      <c r="F975" t="s">
        <v>37</v>
      </c>
      <c r="G975" t="str" cm="1">
        <f t="array" ref="G975">_xlfn.SWITCH(F975,"Acme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75" t="s">
        <v>33</v>
      </c>
      <c r="I975" t="s">
        <v>42</v>
      </c>
      <c r="J975" t="str" cm="1">
        <f t="array" ref="J975">_xlfn.SWITCH(I975,"P001","Laptop","P002","Server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75" s="1" cm="1">
        <f t="array" ref="K975">_xlfn.SWITCH(Table1[[#This Row],[Product ID]],"P001",220,"P002",150,"P003",130,"P004",70,"P005",200,"P006",40,"P007",25,"P008",20,"P009",190,"P010",530)</f>
        <v>40</v>
      </c>
      <c r="L975">
        <v>20</v>
      </c>
      <c r="M975" s="1">
        <f>Table1[[#This Row],[Unit Price]]*Table1[[#This Row],[Quantity]]</f>
        <v>800</v>
      </c>
      <c r="N975" s="2">
        <v>0.03</v>
      </c>
      <c r="O975" s="1">
        <f>Table1[[#This Row],[Gross Value]]*(1-Table1[[#This Row],[Discount]])</f>
        <v>776</v>
      </c>
      <c r="P975" s="2">
        <v>0.2</v>
      </c>
      <c r="Q975" s="1">
        <f>Table1[[#This Row],[Revenue]]*Table1[[#This Row],[VAT Rate]]</f>
        <v>155.20000000000002</v>
      </c>
      <c r="R975" s="1">
        <f>Table1[[#This Row],[Revenue]]+Table1[[#This Row],[VAT Charged]]</f>
        <v>931.2</v>
      </c>
      <c r="S975" s="1" cm="1">
        <f t="array" ref="S975">_xlfn.SWITCH(Table1[[#This Row],[Product ID]],"P001",140,"P002",80,"P003",72,"P004",30,"P005",110,"P006",24,"P007",14,"P008",12,"P009",115,"P010",360)</f>
        <v>24</v>
      </c>
      <c r="T975" s="1" cm="1">
        <f t="array" ref="T975">(_xlfn.SWITCH(Table1[[#This Row],[Product ID]],"P001",140,"P002",80,"P003",72,"P004",30,"P005",110,"P006",24,"P007",14,"P008",12,"P009",115,"P010",360))*Table1[[#This Row],[Quantity]]</f>
        <v>480</v>
      </c>
      <c r="U975" s="1" cm="1">
        <f t="array" ref="U975">_xlfn.SWITCH(Table1[[#This Row],[Product ID]],"P001",15,"P002",0,"P003",8,"P004",8,"P005",0,"P006",7,"P007",7,"P008",6,"P009",45,"P010",60)</f>
        <v>7</v>
      </c>
      <c r="V975" s="1">
        <f>Table1[[#This Row],[Shipping per Unit]]*Table1[[#This Row],[Quantity]]</f>
        <v>140</v>
      </c>
      <c r="W975" s="2">
        <f>IF(Table1[[#This Row],[Total Shipping]]&gt;0.1,0.2,0)</f>
        <v>0.2</v>
      </c>
      <c r="X975" s="4">
        <f>Table1[[#This Row],[Total Shipping]]*Table1[[#This Row],[VAT on Shipping]]</f>
        <v>28</v>
      </c>
      <c r="Y975" s="1">
        <f>Table1[[#This Row],[Revenue]]-Table1[[#This Row],[COGS]]</f>
        <v>296</v>
      </c>
      <c r="Z975" s="3">
        <f>(Table1[[#This Row],[Profit]]/Table1[[#This Row],[Revenue]])</f>
        <v>0.38144329896907214</v>
      </c>
      <c r="AA975" s="1">
        <f>Table1[[#This Row],[Profit]]-Table1[[#This Row],[Total Shipping]]</f>
        <v>156</v>
      </c>
      <c r="AB975" s="3">
        <f>Table1[[#This Row],[Operating Profit]]/Table1[[#This Row],[Revenue]]</f>
        <v>0.20103092783505155</v>
      </c>
    </row>
    <row r="976" spans="1:28" x14ac:dyDescent="0.25">
      <c r="A976" t="s">
        <v>418</v>
      </c>
      <c r="B976">
        <v>169</v>
      </c>
      <c r="C976" t="s">
        <v>83</v>
      </c>
      <c r="D976" t="s">
        <v>48</v>
      </c>
      <c r="E976" t="s">
        <v>40</v>
      </c>
      <c r="F976" t="s">
        <v>126</v>
      </c>
      <c r="G976" t="str" cm="1">
        <f t="array" ref="G976">_xlfn.SWITCH(F976,"Acme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976" t="s">
        <v>45</v>
      </c>
      <c r="I976" t="s">
        <v>68</v>
      </c>
      <c r="J976" t="str" cm="1">
        <f t="array" ref="J976">_xlfn.SWITCH(I976,"P001","Laptop","P002","Server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76" s="1" cm="1">
        <f t="array" ref="K976">_xlfn.SWITCH(Table1[[#This Row],[Product ID]],"P001",220,"P002",150,"P003",130,"P004",70,"P005",200,"P006",40,"P007",25,"P008",20,"P009",190,"P010",530)</f>
        <v>220</v>
      </c>
      <c r="L976">
        <v>10</v>
      </c>
      <c r="M976" s="1">
        <f>Table1[[#This Row],[Unit Price]]*Table1[[#This Row],[Quantity]]</f>
        <v>2200</v>
      </c>
      <c r="N976" s="2">
        <v>0.05</v>
      </c>
      <c r="O976" s="1">
        <f>Table1[[#This Row],[Gross Value]]*(1-Table1[[#This Row],[Discount]])</f>
        <v>2090</v>
      </c>
      <c r="P976" s="2">
        <v>0.2</v>
      </c>
      <c r="Q976" s="1">
        <f>Table1[[#This Row],[Revenue]]*Table1[[#This Row],[VAT Rate]]</f>
        <v>418</v>
      </c>
      <c r="R976" s="1">
        <f>Table1[[#This Row],[Revenue]]+Table1[[#This Row],[VAT Charged]]</f>
        <v>2508</v>
      </c>
      <c r="S976" s="1" cm="1">
        <f t="array" ref="S976">_xlfn.SWITCH(Table1[[#This Row],[Product ID]],"P001",140,"P002",80,"P003",72,"P004",30,"P005",110,"P006",24,"P007",14,"P008",12,"P009",115,"P010",360)</f>
        <v>140</v>
      </c>
      <c r="T976" s="1" cm="1">
        <f t="array" ref="T976">(_xlfn.SWITCH(Table1[[#This Row],[Product ID]],"P001",140,"P002",80,"P003",72,"P004",30,"P005",110,"P006",24,"P007",14,"P008",12,"P009",115,"P010",360))*Table1[[#This Row],[Quantity]]</f>
        <v>1400</v>
      </c>
      <c r="U976" s="1" cm="1">
        <f t="array" ref="U976">_xlfn.SWITCH(Table1[[#This Row],[Product ID]],"P001",15,"P002",0,"P003",8,"P004",8,"P005",0,"P006",7,"P007",7,"P008",6,"P009",45,"P010",60)</f>
        <v>15</v>
      </c>
      <c r="V976" s="1">
        <f>Table1[[#This Row],[Shipping per Unit]]*Table1[[#This Row],[Quantity]]</f>
        <v>150</v>
      </c>
      <c r="W976" s="2">
        <f>IF(Table1[[#This Row],[Total Shipping]]&gt;0.1,0.2,0)</f>
        <v>0.2</v>
      </c>
      <c r="X976" s="4">
        <f>Table1[[#This Row],[Total Shipping]]*Table1[[#This Row],[VAT on Shipping]]</f>
        <v>30</v>
      </c>
      <c r="Y976" s="1">
        <f>Table1[[#This Row],[Revenue]]-Table1[[#This Row],[COGS]]</f>
        <v>690</v>
      </c>
      <c r="Z976" s="3">
        <f>(Table1[[#This Row],[Profit]]/Table1[[#This Row],[Revenue]])</f>
        <v>0.33014354066985646</v>
      </c>
      <c r="AA976" s="1">
        <f>Table1[[#This Row],[Profit]]-Table1[[#This Row],[Total Shipping]]</f>
        <v>540</v>
      </c>
      <c r="AB976" s="3">
        <f>Table1[[#This Row],[Operating Profit]]/Table1[[#This Row],[Revenue]]</f>
        <v>0.25837320574162681</v>
      </c>
    </row>
    <row r="977" spans="1:28" x14ac:dyDescent="0.25">
      <c r="A977" t="s">
        <v>418</v>
      </c>
      <c r="B977">
        <v>979</v>
      </c>
      <c r="C977" t="s">
        <v>38</v>
      </c>
      <c r="D977" t="s">
        <v>36</v>
      </c>
      <c r="E977" t="s">
        <v>49</v>
      </c>
      <c r="F977" t="s">
        <v>44</v>
      </c>
      <c r="G977" t="str" cm="1">
        <f t="array" ref="G977">_xlfn.SWITCH(F977,"Acme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C016</v>
      </c>
      <c r="H977" t="s">
        <v>33</v>
      </c>
      <c r="I977" t="s">
        <v>42</v>
      </c>
      <c r="J977" t="str" cm="1">
        <f t="array" ref="J977">_xlfn.SWITCH(I977,"P001","Laptop","P002","Server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77" s="1" cm="1">
        <f t="array" ref="K977">_xlfn.SWITCH(Table1[[#This Row],[Product ID]],"P001",220,"P002",150,"P003",130,"P004",70,"P005",200,"P006",40,"P007",25,"P008",20,"P009",190,"P010",530)</f>
        <v>40</v>
      </c>
      <c r="L977">
        <v>17</v>
      </c>
      <c r="M977" s="1">
        <f>Table1[[#This Row],[Unit Price]]*Table1[[#This Row],[Quantity]]</f>
        <v>680</v>
      </c>
      <c r="N977" s="2">
        <v>0.08</v>
      </c>
      <c r="O977" s="1">
        <f>Table1[[#This Row],[Gross Value]]*(1-Table1[[#This Row],[Discount]])</f>
        <v>625.6</v>
      </c>
      <c r="P977" s="2">
        <v>0.2</v>
      </c>
      <c r="Q977" s="1">
        <f>Table1[[#This Row],[Revenue]]*Table1[[#This Row],[VAT Rate]]</f>
        <v>125.12</v>
      </c>
      <c r="R977" s="1">
        <f>Table1[[#This Row],[Revenue]]+Table1[[#This Row],[VAT Charged]]</f>
        <v>750.72</v>
      </c>
      <c r="S977" s="1" cm="1">
        <f t="array" ref="S977">_xlfn.SWITCH(Table1[[#This Row],[Product ID]],"P001",140,"P002",80,"P003",72,"P004",30,"P005",110,"P006",24,"P007",14,"P008",12,"P009",115,"P010",360)</f>
        <v>24</v>
      </c>
      <c r="T977" s="1" cm="1">
        <f t="array" ref="T977">(_xlfn.SWITCH(Table1[[#This Row],[Product ID]],"P001",140,"P002",80,"P003",72,"P004",30,"P005",110,"P006",24,"P007",14,"P008",12,"P009",115,"P010",360))*Table1[[#This Row],[Quantity]]</f>
        <v>408</v>
      </c>
      <c r="U977" s="1" cm="1">
        <f t="array" ref="U977">_xlfn.SWITCH(Table1[[#This Row],[Product ID]],"P001",15,"P002",0,"P003",8,"P004",8,"P005",0,"P006",7,"P007",7,"P008",6,"P009",45,"P010",60)</f>
        <v>7</v>
      </c>
      <c r="V977" s="1">
        <f>Table1[[#This Row],[Shipping per Unit]]*Table1[[#This Row],[Quantity]]</f>
        <v>119</v>
      </c>
      <c r="W977" s="2">
        <f>IF(Table1[[#This Row],[Total Shipping]]&gt;0.1,0.2,0)</f>
        <v>0.2</v>
      </c>
      <c r="X977" s="4">
        <f>Table1[[#This Row],[Total Shipping]]*Table1[[#This Row],[VAT on Shipping]]</f>
        <v>23.8</v>
      </c>
      <c r="Y977" s="1">
        <f>Table1[[#This Row],[Revenue]]-Table1[[#This Row],[COGS]]</f>
        <v>217.60000000000002</v>
      </c>
      <c r="Z977" s="3">
        <f>(Table1[[#This Row],[Profit]]/Table1[[#This Row],[Revenue]])</f>
        <v>0.34782608695652178</v>
      </c>
      <c r="AA977" s="1">
        <f>Table1[[#This Row],[Profit]]-Table1[[#This Row],[Total Shipping]]</f>
        <v>98.600000000000023</v>
      </c>
      <c r="AB977" s="3">
        <f>Table1[[#This Row],[Operating Profit]]/Table1[[#This Row],[Revenue]]</f>
        <v>0.15760869565217395</v>
      </c>
    </row>
    <row r="978" spans="1:28" x14ac:dyDescent="0.25">
      <c r="A978" t="s">
        <v>419</v>
      </c>
      <c r="B978">
        <v>321</v>
      </c>
      <c r="C978" t="s">
        <v>29</v>
      </c>
      <c r="D978" t="s">
        <v>36</v>
      </c>
      <c r="E978" t="s">
        <v>49</v>
      </c>
      <c r="F978" t="s">
        <v>78</v>
      </c>
      <c r="G978" t="str" cm="1">
        <f t="array" ref="G978">_xlfn.SWITCH(F978,"Acme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C009</v>
      </c>
      <c r="H978" t="s">
        <v>45</v>
      </c>
      <c r="I978" t="s">
        <v>42</v>
      </c>
      <c r="J978" t="str" cm="1">
        <f t="array" ref="J978">_xlfn.SWITCH(I978,"P001","Laptop","P002","Server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78" s="1" cm="1">
        <f t="array" ref="K978">_xlfn.SWITCH(Table1[[#This Row],[Product ID]],"P001",220,"P002",150,"P003",130,"P004",70,"P005",200,"P006",40,"P007",25,"P008",20,"P009",190,"P010",530)</f>
        <v>40</v>
      </c>
      <c r="L978">
        <v>5</v>
      </c>
      <c r="M978" s="1">
        <f>Table1[[#This Row],[Unit Price]]*Table1[[#This Row],[Quantity]]</f>
        <v>200</v>
      </c>
      <c r="N978" s="2">
        <v>0.02</v>
      </c>
      <c r="O978" s="1">
        <f>Table1[[#This Row],[Gross Value]]*(1-Table1[[#This Row],[Discount]])</f>
        <v>196</v>
      </c>
      <c r="P978" s="2">
        <v>0.2</v>
      </c>
      <c r="Q978" s="1">
        <f>Table1[[#This Row],[Revenue]]*Table1[[#This Row],[VAT Rate]]</f>
        <v>39.200000000000003</v>
      </c>
      <c r="R978" s="1">
        <f>Table1[[#This Row],[Revenue]]+Table1[[#This Row],[VAT Charged]]</f>
        <v>235.2</v>
      </c>
      <c r="S978" s="1" cm="1">
        <f t="array" ref="S978">_xlfn.SWITCH(Table1[[#This Row],[Product ID]],"P001",140,"P002",80,"P003",72,"P004",30,"P005",110,"P006",24,"P007",14,"P008",12,"P009",115,"P010",360)</f>
        <v>24</v>
      </c>
      <c r="T978" s="1" cm="1">
        <f t="array" ref="T978">(_xlfn.SWITCH(Table1[[#This Row],[Product ID]],"P001",140,"P002",80,"P003",72,"P004",30,"P005",110,"P006",24,"P007",14,"P008",12,"P009",115,"P010",360))*Table1[[#This Row],[Quantity]]</f>
        <v>120</v>
      </c>
      <c r="U978" s="1" cm="1">
        <f t="array" ref="U978">_xlfn.SWITCH(Table1[[#This Row],[Product ID]],"P001",15,"P002",0,"P003",8,"P004",8,"P005",0,"P006",7,"P007",7,"P008",6,"P009",45,"P010",60)</f>
        <v>7</v>
      </c>
      <c r="V978" s="1">
        <f>Table1[[#This Row],[Shipping per Unit]]*Table1[[#This Row],[Quantity]]</f>
        <v>35</v>
      </c>
      <c r="W978" s="2">
        <f>IF(Table1[[#This Row],[Total Shipping]]&gt;0.1,0.2,0)</f>
        <v>0.2</v>
      </c>
      <c r="X978" s="4">
        <f>Table1[[#This Row],[Total Shipping]]*Table1[[#This Row],[VAT on Shipping]]</f>
        <v>7</v>
      </c>
      <c r="Y978" s="1">
        <f>Table1[[#This Row],[Revenue]]-Table1[[#This Row],[COGS]]</f>
        <v>76</v>
      </c>
      <c r="Z978" s="3">
        <f>(Table1[[#This Row],[Profit]]/Table1[[#This Row],[Revenue]])</f>
        <v>0.38775510204081631</v>
      </c>
      <c r="AA978" s="1">
        <f>Table1[[#This Row],[Profit]]-Table1[[#This Row],[Total Shipping]]</f>
        <v>41</v>
      </c>
      <c r="AB978" s="3">
        <f>Table1[[#This Row],[Operating Profit]]/Table1[[#This Row],[Revenue]]</f>
        <v>0.20918367346938777</v>
      </c>
    </row>
    <row r="979" spans="1:28" x14ac:dyDescent="0.25">
      <c r="A979" t="s">
        <v>419</v>
      </c>
      <c r="B979">
        <v>626</v>
      </c>
      <c r="C979" t="s">
        <v>71</v>
      </c>
      <c r="D979" t="s">
        <v>53</v>
      </c>
      <c r="E979" t="s">
        <v>49</v>
      </c>
      <c r="F979" t="s">
        <v>119</v>
      </c>
      <c r="G979" t="str" cm="1">
        <f t="array" ref="G979">_xlfn.SWITCH(F979,"Acme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979" t="s">
        <v>58</v>
      </c>
      <c r="I979" t="s">
        <v>52</v>
      </c>
      <c r="J979" t="str" cm="1">
        <f t="array" ref="J979">_xlfn.SWITCH(I979,"P001","Laptop","P002","Server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79" s="1" cm="1">
        <f t="array" ref="K979">_xlfn.SWITCH(Table1[[#This Row],[Product ID]],"P001",220,"P002",150,"P003",130,"P004",70,"P005",200,"P006",40,"P007",25,"P008",20,"P009",190,"P010",530)</f>
        <v>130</v>
      </c>
      <c r="L979">
        <v>3</v>
      </c>
      <c r="M979" s="1">
        <f>Table1[[#This Row],[Unit Price]]*Table1[[#This Row],[Quantity]]</f>
        <v>390</v>
      </c>
      <c r="N979" s="2">
        <v>0.08</v>
      </c>
      <c r="O979" s="1">
        <f>Table1[[#This Row],[Gross Value]]*(1-Table1[[#This Row],[Discount]])</f>
        <v>358.8</v>
      </c>
      <c r="P979" s="2">
        <v>0.2</v>
      </c>
      <c r="Q979" s="1">
        <f>Table1[[#This Row],[Revenue]]*Table1[[#This Row],[VAT Rate]]</f>
        <v>71.760000000000005</v>
      </c>
      <c r="R979" s="1">
        <f>Table1[[#This Row],[Revenue]]+Table1[[#This Row],[VAT Charged]]</f>
        <v>430.56</v>
      </c>
      <c r="S979" s="1" cm="1">
        <f t="array" ref="S979">_xlfn.SWITCH(Table1[[#This Row],[Product ID]],"P001",140,"P002",80,"P003",72,"P004",30,"P005",110,"P006",24,"P007",14,"P008",12,"P009",115,"P010",360)</f>
        <v>72</v>
      </c>
      <c r="T979" s="1" cm="1">
        <f t="array" ref="T979">(_xlfn.SWITCH(Table1[[#This Row],[Product ID]],"P001",140,"P002",80,"P003",72,"P004",30,"P005",110,"P006",24,"P007",14,"P008",12,"P009",115,"P010",360))*Table1[[#This Row],[Quantity]]</f>
        <v>216</v>
      </c>
      <c r="U979" s="1" cm="1">
        <f t="array" ref="U979">_xlfn.SWITCH(Table1[[#This Row],[Product ID]],"P001",15,"P002",0,"P003",8,"P004",8,"P005",0,"P006",7,"P007",7,"P008",6,"P009",45,"P010",60)</f>
        <v>8</v>
      </c>
      <c r="V979" s="1">
        <f>Table1[[#This Row],[Shipping per Unit]]*Table1[[#This Row],[Quantity]]</f>
        <v>24</v>
      </c>
      <c r="W979" s="2">
        <f>IF(Table1[[#This Row],[Total Shipping]]&gt;0.1,0.2,0)</f>
        <v>0.2</v>
      </c>
      <c r="X979" s="4">
        <f>Table1[[#This Row],[Total Shipping]]*Table1[[#This Row],[VAT on Shipping]]</f>
        <v>4.8000000000000007</v>
      </c>
      <c r="Y979" s="1">
        <f>Table1[[#This Row],[Revenue]]-Table1[[#This Row],[COGS]]</f>
        <v>142.80000000000001</v>
      </c>
      <c r="Z979" s="3">
        <f>(Table1[[#This Row],[Profit]]/Table1[[#This Row],[Revenue]])</f>
        <v>0.39799331103678931</v>
      </c>
      <c r="AA979" s="1">
        <f>Table1[[#This Row],[Profit]]-Table1[[#This Row],[Total Shipping]]</f>
        <v>118.80000000000001</v>
      </c>
      <c r="AB979" s="3">
        <f>Table1[[#This Row],[Operating Profit]]/Table1[[#This Row],[Revenue]]</f>
        <v>0.33110367892976589</v>
      </c>
    </row>
    <row r="980" spans="1:28" x14ac:dyDescent="0.25">
      <c r="A980" t="s">
        <v>419</v>
      </c>
      <c r="B980">
        <v>653</v>
      </c>
      <c r="C980" t="s">
        <v>35</v>
      </c>
      <c r="D980" t="s">
        <v>39</v>
      </c>
      <c r="E980" t="s">
        <v>40</v>
      </c>
      <c r="F980" t="s">
        <v>37</v>
      </c>
      <c r="G980" t="str" cm="1">
        <f t="array" ref="G980">_xlfn.SWITCH(F980,"Acme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80" t="s">
        <v>45</v>
      </c>
      <c r="I980" t="s">
        <v>91</v>
      </c>
      <c r="J980" t="str" cm="1">
        <f t="array" ref="J980">_xlfn.SWITCH(I980,"P001","Laptop","P002","Server Key","P003","Network Switch","P004","Data Storage Device","P005","Software License","P006","Monitor Stand","P007","Keyboard Tray","P008","Cable Management Tray","P009","Ergonomic Chair","P010","Standing Desk")</f>
        <v>Ergonomic Chair</v>
      </c>
      <c r="K980" s="1" cm="1">
        <f t="array" ref="K980">_xlfn.SWITCH(Table1[[#This Row],[Product ID]],"P001",220,"P002",150,"P003",130,"P004",70,"P005",200,"P006",40,"P007",25,"P008",20,"P009",190,"P010",530)</f>
        <v>190</v>
      </c>
      <c r="L980">
        <v>14</v>
      </c>
      <c r="M980" s="1">
        <f>Table1[[#This Row],[Unit Price]]*Table1[[#This Row],[Quantity]]</f>
        <v>2660</v>
      </c>
      <c r="N980" s="2">
        <v>0.03</v>
      </c>
      <c r="O980" s="1">
        <f>Table1[[#This Row],[Gross Value]]*(1-Table1[[#This Row],[Discount]])</f>
        <v>2580.1999999999998</v>
      </c>
      <c r="P980" s="2">
        <v>0.2</v>
      </c>
      <c r="Q980" s="1">
        <f>Table1[[#This Row],[Revenue]]*Table1[[#This Row],[VAT Rate]]</f>
        <v>516.04</v>
      </c>
      <c r="R980" s="1">
        <f>Table1[[#This Row],[Revenue]]+Table1[[#This Row],[VAT Charged]]</f>
        <v>3096.24</v>
      </c>
      <c r="S980" s="1" cm="1">
        <f t="array" ref="S980">_xlfn.SWITCH(Table1[[#This Row],[Product ID]],"P001",140,"P002",80,"P003",72,"P004",30,"P005",110,"P006",24,"P007",14,"P008",12,"P009",115,"P010",360)</f>
        <v>115</v>
      </c>
      <c r="T980" s="1" cm="1">
        <f t="array" ref="T980">(_xlfn.SWITCH(Table1[[#This Row],[Product ID]],"P001",140,"P002",80,"P003",72,"P004",30,"P005",110,"P006",24,"P007",14,"P008",12,"P009",115,"P010",360))*Table1[[#This Row],[Quantity]]</f>
        <v>1610</v>
      </c>
      <c r="U980" s="1" cm="1">
        <f t="array" ref="U980">_xlfn.SWITCH(Table1[[#This Row],[Product ID]],"P001",15,"P002",0,"P003",8,"P004",8,"P005",0,"P006",7,"P007",7,"P008",6,"P009",45,"P010",60)</f>
        <v>45</v>
      </c>
      <c r="V980" s="1">
        <f>Table1[[#This Row],[Shipping per Unit]]*Table1[[#This Row],[Quantity]]</f>
        <v>630</v>
      </c>
      <c r="W980" s="2">
        <f>IF(Table1[[#This Row],[Total Shipping]]&gt;0.1,0.2,0)</f>
        <v>0.2</v>
      </c>
      <c r="X980" s="4">
        <f>Table1[[#This Row],[Total Shipping]]*Table1[[#This Row],[VAT on Shipping]]</f>
        <v>126</v>
      </c>
      <c r="Y980" s="1">
        <f>Table1[[#This Row],[Revenue]]-Table1[[#This Row],[COGS]]</f>
        <v>970.19999999999982</v>
      </c>
      <c r="Z980" s="3">
        <f>(Table1[[#This Row],[Profit]]/Table1[[#This Row],[Revenue]])</f>
        <v>0.37601736299511662</v>
      </c>
      <c r="AA980" s="1">
        <f>Table1[[#This Row],[Profit]]-Table1[[#This Row],[Total Shipping]]</f>
        <v>340.19999999999982</v>
      </c>
      <c r="AB980" s="3">
        <f>Table1[[#This Row],[Operating Profit]]/Table1[[#This Row],[Revenue]]</f>
        <v>0.13185024416711877</v>
      </c>
    </row>
    <row r="981" spans="1:28" x14ac:dyDescent="0.25">
      <c r="A981" t="s">
        <v>419</v>
      </c>
      <c r="B981">
        <v>889</v>
      </c>
      <c r="C981" t="s">
        <v>83</v>
      </c>
      <c r="D981" t="s">
        <v>67</v>
      </c>
      <c r="E981" t="s">
        <v>49</v>
      </c>
      <c r="F981" t="s">
        <v>54</v>
      </c>
      <c r="G981" t="str" cm="1">
        <f t="array" ref="G981">_xlfn.SWITCH(F981,"Acme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C017</v>
      </c>
      <c r="H981" t="s">
        <v>33</v>
      </c>
      <c r="I981" t="s">
        <v>34</v>
      </c>
      <c r="J981" t="str" cm="1">
        <f t="array" ref="J981">_xlfn.SWITCH(I981,"P001","Laptop","P002","Server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981" s="1" cm="1">
        <f t="array" ref="K981">_xlfn.SWITCH(Table1[[#This Row],[Product ID]],"P001",220,"P002",150,"P003",130,"P004",70,"P005",200,"P006",40,"P007",25,"P008",20,"P009",190,"P010",530)</f>
        <v>20</v>
      </c>
      <c r="L981">
        <v>19</v>
      </c>
      <c r="M981" s="1">
        <f>Table1[[#This Row],[Unit Price]]*Table1[[#This Row],[Quantity]]</f>
        <v>380</v>
      </c>
      <c r="N981" s="2">
        <v>0.05</v>
      </c>
      <c r="O981" s="1">
        <f>Table1[[#This Row],[Gross Value]]*(1-Table1[[#This Row],[Discount]])</f>
        <v>361</v>
      </c>
      <c r="P981" s="2">
        <v>0.2</v>
      </c>
      <c r="Q981" s="1">
        <f>Table1[[#This Row],[Revenue]]*Table1[[#This Row],[VAT Rate]]</f>
        <v>72.2</v>
      </c>
      <c r="R981" s="1">
        <f>Table1[[#This Row],[Revenue]]+Table1[[#This Row],[VAT Charged]]</f>
        <v>433.2</v>
      </c>
      <c r="S981" s="1" cm="1">
        <f t="array" ref="S981">_xlfn.SWITCH(Table1[[#This Row],[Product ID]],"P001",140,"P002",80,"P003",72,"P004",30,"P005",110,"P006",24,"P007",14,"P008",12,"P009",115,"P010",360)</f>
        <v>12</v>
      </c>
      <c r="T981" s="1" cm="1">
        <f t="array" ref="T981">(_xlfn.SWITCH(Table1[[#This Row],[Product ID]],"P001",140,"P002",80,"P003",72,"P004",30,"P005",110,"P006",24,"P007",14,"P008",12,"P009",115,"P010",360))*Table1[[#This Row],[Quantity]]</f>
        <v>228</v>
      </c>
      <c r="U981" s="1" cm="1">
        <f t="array" ref="U981">_xlfn.SWITCH(Table1[[#This Row],[Product ID]],"P001",15,"P002",0,"P003",8,"P004",8,"P005",0,"P006",7,"P007",7,"P008",6,"P009",45,"P010",60)</f>
        <v>6</v>
      </c>
      <c r="V981" s="1">
        <f>Table1[[#This Row],[Shipping per Unit]]*Table1[[#This Row],[Quantity]]</f>
        <v>114</v>
      </c>
      <c r="W981" s="2">
        <f>IF(Table1[[#This Row],[Total Shipping]]&gt;0.1,0.2,0)</f>
        <v>0.2</v>
      </c>
      <c r="X981" s="4">
        <f>Table1[[#This Row],[Total Shipping]]*Table1[[#This Row],[VAT on Shipping]]</f>
        <v>22.8</v>
      </c>
      <c r="Y981" s="1">
        <f>Table1[[#This Row],[Revenue]]-Table1[[#This Row],[COGS]]</f>
        <v>133</v>
      </c>
      <c r="Z981" s="3">
        <f>(Table1[[#This Row],[Profit]]/Table1[[#This Row],[Revenue]])</f>
        <v>0.36842105263157893</v>
      </c>
      <c r="AA981" s="1">
        <f>Table1[[#This Row],[Profit]]-Table1[[#This Row],[Total Shipping]]</f>
        <v>19</v>
      </c>
      <c r="AB981" s="3">
        <f>Table1[[#This Row],[Operating Profit]]/Table1[[#This Row],[Revenue]]</f>
        <v>5.2631578947368418E-2</v>
      </c>
    </row>
    <row r="982" spans="1:28" x14ac:dyDescent="0.25">
      <c r="A982" t="s">
        <v>420</v>
      </c>
      <c r="B982">
        <v>45</v>
      </c>
      <c r="C982" t="s">
        <v>35</v>
      </c>
      <c r="D982" t="s">
        <v>30</v>
      </c>
      <c r="E982" t="s">
        <v>49</v>
      </c>
      <c r="F982" t="s">
        <v>103</v>
      </c>
      <c r="G982" t="str" cm="1">
        <f t="array" ref="G982">_xlfn.SWITCH(F982,"Acme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C020</v>
      </c>
      <c r="H982" t="s">
        <v>51</v>
      </c>
      <c r="I982" t="s">
        <v>52</v>
      </c>
      <c r="J982" t="str" cm="1">
        <f t="array" ref="J982">_xlfn.SWITCH(I982,"P001","Laptop","P002","Server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82" s="1" cm="1">
        <f t="array" ref="K982">_xlfn.SWITCH(Table1[[#This Row],[Product ID]],"P001",220,"P002",150,"P003",130,"P004",70,"P005",200,"P006",40,"P007",25,"P008",20,"P009",190,"P010",530)</f>
        <v>130</v>
      </c>
      <c r="L982">
        <v>7</v>
      </c>
      <c r="M982" s="1">
        <f>Table1[[#This Row],[Unit Price]]*Table1[[#This Row],[Quantity]]</f>
        <v>910</v>
      </c>
      <c r="N982" s="2">
        <v>0.05</v>
      </c>
      <c r="O982" s="1">
        <f>Table1[[#This Row],[Gross Value]]*(1-Table1[[#This Row],[Discount]])</f>
        <v>864.5</v>
      </c>
      <c r="P982" s="2">
        <v>0.2</v>
      </c>
      <c r="Q982" s="1">
        <f>Table1[[#This Row],[Revenue]]*Table1[[#This Row],[VAT Rate]]</f>
        <v>172.9</v>
      </c>
      <c r="R982" s="1">
        <f>Table1[[#This Row],[Revenue]]+Table1[[#This Row],[VAT Charged]]</f>
        <v>1037.4000000000001</v>
      </c>
      <c r="S982" s="1" cm="1">
        <f t="array" ref="S982">_xlfn.SWITCH(Table1[[#This Row],[Product ID]],"P001",140,"P002",80,"P003",72,"P004",30,"P005",110,"P006",24,"P007",14,"P008",12,"P009",115,"P010",360)</f>
        <v>72</v>
      </c>
      <c r="T982" s="1" cm="1">
        <f t="array" ref="T982">(_xlfn.SWITCH(Table1[[#This Row],[Product ID]],"P001",140,"P002",80,"P003",72,"P004",30,"P005",110,"P006",24,"P007",14,"P008",12,"P009",115,"P010",360))*Table1[[#This Row],[Quantity]]</f>
        <v>504</v>
      </c>
      <c r="U982" s="1" cm="1">
        <f t="array" ref="U982">_xlfn.SWITCH(Table1[[#This Row],[Product ID]],"P001",15,"P002",0,"P003",8,"P004",8,"P005",0,"P006",7,"P007",7,"P008",6,"P009",45,"P010",60)</f>
        <v>8</v>
      </c>
      <c r="V982" s="1">
        <f>Table1[[#This Row],[Shipping per Unit]]*Table1[[#This Row],[Quantity]]</f>
        <v>56</v>
      </c>
      <c r="W982" s="2">
        <f>IF(Table1[[#This Row],[Total Shipping]]&gt;0.1,0.2,0)</f>
        <v>0.2</v>
      </c>
      <c r="X982" s="4">
        <f>Table1[[#This Row],[Total Shipping]]*Table1[[#This Row],[VAT on Shipping]]</f>
        <v>11.200000000000001</v>
      </c>
      <c r="Y982" s="1">
        <f>Table1[[#This Row],[Revenue]]-Table1[[#This Row],[COGS]]</f>
        <v>360.5</v>
      </c>
      <c r="Z982" s="3">
        <f>(Table1[[#This Row],[Profit]]/Table1[[#This Row],[Revenue]])</f>
        <v>0.41700404858299595</v>
      </c>
      <c r="AA982" s="1">
        <f>Table1[[#This Row],[Profit]]-Table1[[#This Row],[Total Shipping]]</f>
        <v>304.5</v>
      </c>
      <c r="AB982" s="3">
        <f>Table1[[#This Row],[Operating Profit]]/Table1[[#This Row],[Revenue]]</f>
        <v>0.35222672064777327</v>
      </c>
    </row>
    <row r="983" spans="1:28" x14ac:dyDescent="0.25">
      <c r="A983" t="s">
        <v>420</v>
      </c>
      <c r="B983">
        <v>354</v>
      </c>
      <c r="C983" t="s">
        <v>83</v>
      </c>
      <c r="D983" t="s">
        <v>39</v>
      </c>
      <c r="E983" t="s">
        <v>31</v>
      </c>
      <c r="F983" t="s">
        <v>92</v>
      </c>
      <c r="G983" t="str" cm="1">
        <f t="array" ref="G983">_xlfn.SWITCH(F983,"Acme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983" t="s">
        <v>69</v>
      </c>
      <c r="I983" t="s">
        <v>52</v>
      </c>
      <c r="J983" t="str" cm="1">
        <f t="array" ref="J983">_xlfn.SWITCH(I983,"P001","Laptop","P002","Server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83" s="1" cm="1">
        <f t="array" ref="K983">_xlfn.SWITCH(Table1[[#This Row],[Product ID]],"P001",220,"P002",150,"P003",130,"P004",70,"P005",200,"P006",40,"P007",25,"P008",20,"P009",190,"P010",530)</f>
        <v>130</v>
      </c>
      <c r="L983">
        <v>15</v>
      </c>
      <c r="M983" s="1">
        <f>Table1[[#This Row],[Unit Price]]*Table1[[#This Row],[Quantity]]</f>
        <v>1950</v>
      </c>
      <c r="N983" s="2">
        <v>0.03</v>
      </c>
      <c r="O983" s="1">
        <f>Table1[[#This Row],[Gross Value]]*(1-Table1[[#This Row],[Discount]])</f>
        <v>1891.5</v>
      </c>
      <c r="P983" s="2">
        <v>0.2</v>
      </c>
      <c r="Q983" s="1">
        <f>Table1[[#This Row],[Revenue]]*Table1[[#This Row],[VAT Rate]]</f>
        <v>378.3</v>
      </c>
      <c r="R983" s="1">
        <f>Table1[[#This Row],[Revenue]]+Table1[[#This Row],[VAT Charged]]</f>
        <v>2269.8000000000002</v>
      </c>
      <c r="S983" s="1" cm="1">
        <f t="array" ref="S983">_xlfn.SWITCH(Table1[[#This Row],[Product ID]],"P001",140,"P002",80,"P003",72,"P004",30,"P005",110,"P006",24,"P007",14,"P008",12,"P009",115,"P010",360)</f>
        <v>72</v>
      </c>
      <c r="T983" s="1" cm="1">
        <f t="array" ref="T983">(_xlfn.SWITCH(Table1[[#This Row],[Product ID]],"P001",140,"P002",80,"P003",72,"P004",30,"P005",110,"P006",24,"P007",14,"P008",12,"P009",115,"P010",360))*Table1[[#This Row],[Quantity]]</f>
        <v>1080</v>
      </c>
      <c r="U983" s="1" cm="1">
        <f t="array" ref="U983">_xlfn.SWITCH(Table1[[#This Row],[Product ID]],"P001",15,"P002",0,"P003",8,"P004",8,"P005",0,"P006",7,"P007",7,"P008",6,"P009",45,"P010",60)</f>
        <v>8</v>
      </c>
      <c r="V983" s="1">
        <f>Table1[[#This Row],[Shipping per Unit]]*Table1[[#This Row],[Quantity]]</f>
        <v>120</v>
      </c>
      <c r="W983" s="2">
        <f>IF(Table1[[#This Row],[Total Shipping]]&gt;0.1,0.2,0)</f>
        <v>0.2</v>
      </c>
      <c r="X983" s="4">
        <f>Table1[[#This Row],[Total Shipping]]*Table1[[#This Row],[VAT on Shipping]]</f>
        <v>24</v>
      </c>
      <c r="Y983" s="1">
        <f>Table1[[#This Row],[Revenue]]-Table1[[#This Row],[COGS]]</f>
        <v>811.5</v>
      </c>
      <c r="Z983" s="3">
        <f>(Table1[[#This Row],[Profit]]/Table1[[#This Row],[Revenue]])</f>
        <v>0.4290245836637589</v>
      </c>
      <c r="AA983" s="1">
        <f>Table1[[#This Row],[Profit]]-Table1[[#This Row],[Total Shipping]]</f>
        <v>691.5</v>
      </c>
      <c r="AB983" s="3">
        <f>Table1[[#This Row],[Operating Profit]]/Table1[[#This Row],[Revenue]]</f>
        <v>0.36558287073750989</v>
      </c>
    </row>
    <row r="984" spans="1:28" x14ac:dyDescent="0.25">
      <c r="A984" t="s">
        <v>420</v>
      </c>
      <c r="B984">
        <v>828</v>
      </c>
      <c r="C984" t="s">
        <v>35</v>
      </c>
      <c r="D984" t="s">
        <v>36</v>
      </c>
      <c r="E984" t="s">
        <v>31</v>
      </c>
      <c r="F984" t="s">
        <v>98</v>
      </c>
      <c r="G984" t="str" cm="1">
        <f t="array" ref="G984">_xlfn.SWITCH(F984,"Acme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C011</v>
      </c>
      <c r="H984" t="s">
        <v>33</v>
      </c>
      <c r="I984" t="s">
        <v>42</v>
      </c>
      <c r="J984" t="str" cm="1">
        <f t="array" ref="J984">_xlfn.SWITCH(I984,"P001","Laptop","P002","Server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84" s="1" cm="1">
        <f t="array" ref="K984">_xlfn.SWITCH(Table1[[#This Row],[Product ID]],"P001",220,"P002",150,"P003",130,"P004",70,"P005",200,"P006",40,"P007",25,"P008",20,"P009",190,"P010",530)</f>
        <v>40</v>
      </c>
      <c r="L984">
        <v>7</v>
      </c>
      <c r="M984" s="1">
        <f>Table1[[#This Row],[Unit Price]]*Table1[[#This Row],[Quantity]]</f>
        <v>280</v>
      </c>
      <c r="N984" s="2">
        <v>0.04</v>
      </c>
      <c r="O984" s="1">
        <f>Table1[[#This Row],[Gross Value]]*(1-Table1[[#This Row],[Discount]])</f>
        <v>268.8</v>
      </c>
      <c r="P984" s="2">
        <v>0.2</v>
      </c>
      <c r="Q984" s="1">
        <f>Table1[[#This Row],[Revenue]]*Table1[[#This Row],[VAT Rate]]</f>
        <v>53.760000000000005</v>
      </c>
      <c r="R984" s="1">
        <f>Table1[[#This Row],[Revenue]]+Table1[[#This Row],[VAT Charged]]</f>
        <v>322.56</v>
      </c>
      <c r="S984" s="1" cm="1">
        <f t="array" ref="S984">_xlfn.SWITCH(Table1[[#This Row],[Product ID]],"P001",140,"P002",80,"P003",72,"P004",30,"P005",110,"P006",24,"P007",14,"P008",12,"P009",115,"P010",360)</f>
        <v>24</v>
      </c>
      <c r="T984" s="1" cm="1">
        <f t="array" ref="T984">(_xlfn.SWITCH(Table1[[#This Row],[Product ID]],"P001",140,"P002",80,"P003",72,"P004",30,"P005",110,"P006",24,"P007",14,"P008",12,"P009",115,"P010",360))*Table1[[#This Row],[Quantity]]</f>
        <v>168</v>
      </c>
      <c r="U984" s="1" cm="1">
        <f t="array" ref="U984">_xlfn.SWITCH(Table1[[#This Row],[Product ID]],"P001",15,"P002",0,"P003",8,"P004",8,"P005",0,"P006",7,"P007",7,"P008",6,"P009",45,"P010",60)</f>
        <v>7</v>
      </c>
      <c r="V984" s="1">
        <f>Table1[[#This Row],[Shipping per Unit]]*Table1[[#This Row],[Quantity]]</f>
        <v>49</v>
      </c>
      <c r="W984" s="2">
        <f>IF(Table1[[#This Row],[Total Shipping]]&gt;0.1,0.2,0)</f>
        <v>0.2</v>
      </c>
      <c r="X984" s="4">
        <f>Table1[[#This Row],[Total Shipping]]*Table1[[#This Row],[VAT on Shipping]]</f>
        <v>9.8000000000000007</v>
      </c>
      <c r="Y984" s="1">
        <f>Table1[[#This Row],[Revenue]]-Table1[[#This Row],[COGS]]</f>
        <v>100.80000000000001</v>
      </c>
      <c r="Z984" s="3">
        <f>(Table1[[#This Row],[Profit]]/Table1[[#This Row],[Revenue]])</f>
        <v>0.375</v>
      </c>
      <c r="AA984" s="1">
        <f>Table1[[#This Row],[Profit]]-Table1[[#This Row],[Total Shipping]]</f>
        <v>51.800000000000011</v>
      </c>
      <c r="AB984" s="3">
        <f>Table1[[#This Row],[Operating Profit]]/Table1[[#This Row],[Revenue]]</f>
        <v>0.19270833333333337</v>
      </c>
    </row>
    <row r="985" spans="1:28" x14ac:dyDescent="0.25">
      <c r="A985" t="s">
        <v>421</v>
      </c>
      <c r="B985">
        <v>66</v>
      </c>
      <c r="C985" t="s">
        <v>65</v>
      </c>
      <c r="D985" t="s">
        <v>30</v>
      </c>
      <c r="E985" t="s">
        <v>49</v>
      </c>
      <c r="F985" t="s">
        <v>126</v>
      </c>
      <c r="G985" t="str" cm="1">
        <f t="array" ref="G985">_xlfn.SWITCH(F985,"Acme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985" t="s">
        <v>33</v>
      </c>
      <c r="I985" t="s">
        <v>75</v>
      </c>
      <c r="J985" t="str" cm="1">
        <f t="array" ref="J985">_xlfn.SWITCH(I985,"P001","Laptop","P002","Server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85" s="1" cm="1">
        <f t="array" ref="K985">_xlfn.SWITCH(Table1[[#This Row],[Product ID]],"P001",220,"P002",150,"P003",130,"P004",70,"P005",200,"P006",40,"P007",25,"P008",20,"P009",190,"P010",530)</f>
        <v>200</v>
      </c>
      <c r="L985">
        <v>5</v>
      </c>
      <c r="M985" s="1">
        <f>Table1[[#This Row],[Unit Price]]*Table1[[#This Row],[Quantity]]</f>
        <v>1000</v>
      </c>
      <c r="N985" s="2">
        <v>0.1</v>
      </c>
      <c r="O985" s="1">
        <f>Table1[[#This Row],[Gross Value]]*(1-Table1[[#This Row],[Discount]])</f>
        <v>900</v>
      </c>
      <c r="P985" s="2">
        <v>0.2</v>
      </c>
      <c r="Q985" s="1">
        <f>Table1[[#This Row],[Revenue]]*Table1[[#This Row],[VAT Rate]]</f>
        <v>180</v>
      </c>
      <c r="R985" s="1">
        <f>Table1[[#This Row],[Revenue]]+Table1[[#This Row],[VAT Charged]]</f>
        <v>1080</v>
      </c>
      <c r="S985" s="1" cm="1">
        <f t="array" ref="S985">_xlfn.SWITCH(Table1[[#This Row],[Product ID]],"P001",140,"P002",80,"P003",72,"P004",30,"P005",110,"P006",24,"P007",14,"P008",12,"P009",115,"P010",360)</f>
        <v>110</v>
      </c>
      <c r="T985" s="1" cm="1">
        <f t="array" ref="T985">(_xlfn.SWITCH(Table1[[#This Row],[Product ID]],"P001",140,"P002",80,"P003",72,"P004",30,"P005",110,"P006",24,"P007",14,"P008",12,"P009",115,"P010",360))*Table1[[#This Row],[Quantity]]</f>
        <v>550</v>
      </c>
      <c r="U985" s="1" cm="1">
        <f t="array" ref="U985">_xlfn.SWITCH(Table1[[#This Row],[Product ID]],"P001",15,"P002",0,"P003",8,"P004",8,"P005",0,"P006",7,"P007",7,"P008",6,"P009",45,"P010",60)</f>
        <v>0</v>
      </c>
      <c r="V985" s="1">
        <f>Table1[[#This Row],[Shipping per Unit]]*Table1[[#This Row],[Quantity]]</f>
        <v>0</v>
      </c>
      <c r="W985" s="2">
        <f>IF(Table1[[#This Row],[Total Shipping]]&gt;0.1,0.2,0)</f>
        <v>0</v>
      </c>
      <c r="X985" s="4">
        <f>Table1[[#This Row],[Total Shipping]]*Table1[[#This Row],[VAT on Shipping]]</f>
        <v>0</v>
      </c>
      <c r="Y985" s="1">
        <f>Table1[[#This Row],[Revenue]]-Table1[[#This Row],[COGS]]</f>
        <v>350</v>
      </c>
      <c r="Z985" s="3">
        <f>(Table1[[#This Row],[Profit]]/Table1[[#This Row],[Revenue]])</f>
        <v>0.3888888888888889</v>
      </c>
      <c r="AA985" s="1">
        <f>Table1[[#This Row],[Profit]]-Table1[[#This Row],[Total Shipping]]</f>
        <v>350</v>
      </c>
      <c r="AB985" s="3">
        <f>Table1[[#This Row],[Operating Profit]]/Table1[[#This Row],[Revenue]]</f>
        <v>0.3888888888888889</v>
      </c>
    </row>
    <row r="986" spans="1:28" x14ac:dyDescent="0.25">
      <c r="A986" t="s">
        <v>421</v>
      </c>
      <c r="B986">
        <v>261</v>
      </c>
      <c r="C986" t="s">
        <v>65</v>
      </c>
      <c r="D986" t="s">
        <v>48</v>
      </c>
      <c r="E986" t="s">
        <v>49</v>
      </c>
      <c r="F986" t="s">
        <v>41</v>
      </c>
      <c r="G986" t="str" cm="1">
        <f t="array" ref="G986">_xlfn.SWITCH(F986,"Acme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C013</v>
      </c>
      <c r="H986" t="s">
        <v>45</v>
      </c>
      <c r="I986" t="s">
        <v>42</v>
      </c>
      <c r="J986" t="str" cm="1">
        <f t="array" ref="J986">_xlfn.SWITCH(I986,"P001","Laptop","P002","Server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86" s="1" cm="1">
        <f t="array" ref="K986">_xlfn.SWITCH(Table1[[#This Row],[Product ID]],"P001",220,"P002",150,"P003",130,"P004",70,"P005",200,"P006",40,"P007",25,"P008",20,"P009",190,"P010",530)</f>
        <v>40</v>
      </c>
      <c r="L986">
        <v>10</v>
      </c>
      <c r="M986" s="1">
        <f>Table1[[#This Row],[Unit Price]]*Table1[[#This Row],[Quantity]]</f>
        <v>400</v>
      </c>
      <c r="N986" s="2">
        <v>0.03</v>
      </c>
      <c r="O986" s="1">
        <f>Table1[[#This Row],[Gross Value]]*(1-Table1[[#This Row],[Discount]])</f>
        <v>388</v>
      </c>
      <c r="P986" s="2">
        <v>0.2</v>
      </c>
      <c r="Q986" s="1">
        <f>Table1[[#This Row],[Revenue]]*Table1[[#This Row],[VAT Rate]]</f>
        <v>77.600000000000009</v>
      </c>
      <c r="R986" s="1">
        <f>Table1[[#This Row],[Revenue]]+Table1[[#This Row],[VAT Charged]]</f>
        <v>465.6</v>
      </c>
      <c r="S986" s="1" cm="1">
        <f t="array" ref="S986">_xlfn.SWITCH(Table1[[#This Row],[Product ID]],"P001",140,"P002",80,"P003",72,"P004",30,"P005",110,"P006",24,"P007",14,"P008",12,"P009",115,"P010",360)</f>
        <v>24</v>
      </c>
      <c r="T986" s="1" cm="1">
        <f t="array" ref="T986">(_xlfn.SWITCH(Table1[[#This Row],[Product ID]],"P001",140,"P002",80,"P003",72,"P004",30,"P005",110,"P006",24,"P007",14,"P008",12,"P009",115,"P010",360))*Table1[[#This Row],[Quantity]]</f>
        <v>240</v>
      </c>
      <c r="U986" s="1" cm="1">
        <f t="array" ref="U986">_xlfn.SWITCH(Table1[[#This Row],[Product ID]],"P001",15,"P002",0,"P003",8,"P004",8,"P005",0,"P006",7,"P007",7,"P008",6,"P009",45,"P010",60)</f>
        <v>7</v>
      </c>
      <c r="V986" s="1">
        <f>Table1[[#This Row],[Shipping per Unit]]*Table1[[#This Row],[Quantity]]</f>
        <v>70</v>
      </c>
      <c r="W986" s="2">
        <f>IF(Table1[[#This Row],[Total Shipping]]&gt;0.1,0.2,0)</f>
        <v>0.2</v>
      </c>
      <c r="X986" s="4">
        <f>Table1[[#This Row],[Total Shipping]]*Table1[[#This Row],[VAT on Shipping]]</f>
        <v>14</v>
      </c>
      <c r="Y986" s="1">
        <f>Table1[[#This Row],[Revenue]]-Table1[[#This Row],[COGS]]</f>
        <v>148</v>
      </c>
      <c r="Z986" s="3">
        <f>(Table1[[#This Row],[Profit]]/Table1[[#This Row],[Revenue]])</f>
        <v>0.38144329896907214</v>
      </c>
      <c r="AA986" s="1">
        <f>Table1[[#This Row],[Profit]]-Table1[[#This Row],[Total Shipping]]</f>
        <v>78</v>
      </c>
      <c r="AB986" s="3">
        <f>Table1[[#This Row],[Operating Profit]]/Table1[[#This Row],[Revenue]]</f>
        <v>0.20103092783505155</v>
      </c>
    </row>
    <row r="987" spans="1:28" x14ac:dyDescent="0.25">
      <c r="A987" t="s">
        <v>421</v>
      </c>
      <c r="B987">
        <v>546</v>
      </c>
      <c r="C987" t="s">
        <v>56</v>
      </c>
      <c r="D987" t="s">
        <v>67</v>
      </c>
      <c r="E987" t="s">
        <v>49</v>
      </c>
      <c r="F987" t="s">
        <v>86</v>
      </c>
      <c r="G987" t="str" cm="1">
        <f t="array" ref="G987">_xlfn.SWITCH(F987,"Acme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87" t="s">
        <v>33</v>
      </c>
      <c r="I987" t="s">
        <v>46</v>
      </c>
      <c r="J987" t="str" cm="1">
        <f t="array" ref="J987">_xlfn.SWITCH(I987,"P001","Laptop","P002","Server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87" s="1" cm="1">
        <f t="array" ref="K987">_xlfn.SWITCH(Table1[[#This Row],[Product ID]],"P001",220,"P002",150,"P003",130,"P004",70,"P005",200,"P006",40,"P007",25,"P008",20,"P009",190,"P010",530)</f>
        <v>530</v>
      </c>
      <c r="L987">
        <v>10</v>
      </c>
      <c r="M987" s="1">
        <f>Table1[[#This Row],[Unit Price]]*Table1[[#This Row],[Quantity]]</f>
        <v>5300</v>
      </c>
      <c r="N987" s="2">
        <v>0.06</v>
      </c>
      <c r="O987" s="1">
        <f>Table1[[#This Row],[Gross Value]]*(1-Table1[[#This Row],[Discount]])</f>
        <v>4982</v>
      </c>
      <c r="P987" s="2">
        <v>0.2</v>
      </c>
      <c r="Q987" s="1">
        <f>Table1[[#This Row],[Revenue]]*Table1[[#This Row],[VAT Rate]]</f>
        <v>996.40000000000009</v>
      </c>
      <c r="R987" s="1">
        <f>Table1[[#This Row],[Revenue]]+Table1[[#This Row],[VAT Charged]]</f>
        <v>5978.4</v>
      </c>
      <c r="S987" s="1" cm="1">
        <f t="array" ref="S987">_xlfn.SWITCH(Table1[[#This Row],[Product ID]],"P001",140,"P002",80,"P003",72,"P004",30,"P005",110,"P006",24,"P007",14,"P008",12,"P009",115,"P010",360)</f>
        <v>360</v>
      </c>
      <c r="T987" s="1" cm="1">
        <f t="array" ref="T987">(_xlfn.SWITCH(Table1[[#This Row],[Product ID]],"P001",140,"P002",80,"P003",72,"P004",30,"P005",110,"P006",24,"P007",14,"P008",12,"P009",115,"P010",360))*Table1[[#This Row],[Quantity]]</f>
        <v>3600</v>
      </c>
      <c r="U987" s="1" cm="1">
        <f t="array" ref="U987">_xlfn.SWITCH(Table1[[#This Row],[Product ID]],"P001",15,"P002",0,"P003",8,"P004",8,"P005",0,"P006",7,"P007",7,"P008",6,"P009",45,"P010",60)</f>
        <v>60</v>
      </c>
      <c r="V987" s="1">
        <f>Table1[[#This Row],[Shipping per Unit]]*Table1[[#This Row],[Quantity]]</f>
        <v>600</v>
      </c>
      <c r="W987" s="2">
        <f>IF(Table1[[#This Row],[Total Shipping]]&gt;0.1,0.2,0)</f>
        <v>0.2</v>
      </c>
      <c r="X987" s="4">
        <f>Table1[[#This Row],[Total Shipping]]*Table1[[#This Row],[VAT on Shipping]]</f>
        <v>120</v>
      </c>
      <c r="Y987" s="1">
        <f>Table1[[#This Row],[Revenue]]-Table1[[#This Row],[COGS]]</f>
        <v>1382</v>
      </c>
      <c r="Z987" s="3">
        <f>(Table1[[#This Row],[Profit]]/Table1[[#This Row],[Revenue]])</f>
        <v>0.27739863508631074</v>
      </c>
      <c r="AA987" s="1">
        <f>Table1[[#This Row],[Profit]]-Table1[[#This Row],[Total Shipping]]</f>
        <v>782</v>
      </c>
      <c r="AB987" s="3">
        <f>Table1[[#This Row],[Operating Profit]]/Table1[[#This Row],[Revenue]]</f>
        <v>0.1569650742673625</v>
      </c>
    </row>
    <row r="988" spans="1:28" x14ac:dyDescent="0.25">
      <c r="A988" t="s">
        <v>421</v>
      </c>
      <c r="B988">
        <v>709</v>
      </c>
      <c r="C988" t="s">
        <v>56</v>
      </c>
      <c r="D988" t="s">
        <v>63</v>
      </c>
      <c r="E988" t="s">
        <v>31</v>
      </c>
      <c r="F988" t="s">
        <v>87</v>
      </c>
      <c r="G988" t="str" cm="1">
        <f t="array" ref="G988">_xlfn.SWITCH(F988,"Acme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988" t="s">
        <v>104</v>
      </c>
      <c r="I988" t="s">
        <v>75</v>
      </c>
      <c r="J988" t="str" cm="1">
        <f t="array" ref="J988">_xlfn.SWITCH(I988,"P001","Laptop","P002","Server Key","P003","Network Switch","P004","Data Storage Device","P005","Software License","P006","Monitor Stand","P007","Keyboard Tray","P008","Cable Management Tray","P009","Ergonomic Chair","P010","Standing Desk")</f>
        <v>Software License</v>
      </c>
      <c r="K988" s="1" cm="1">
        <f t="array" ref="K988">_xlfn.SWITCH(Table1[[#This Row],[Product ID]],"P001",220,"P002",150,"P003",130,"P004",70,"P005",200,"P006",40,"P007",25,"P008",20,"P009",190,"P010",530)</f>
        <v>200</v>
      </c>
      <c r="L988">
        <v>3</v>
      </c>
      <c r="M988" s="1">
        <f>Table1[[#This Row],[Unit Price]]*Table1[[#This Row],[Quantity]]</f>
        <v>600</v>
      </c>
      <c r="N988" s="2">
        <v>0.03</v>
      </c>
      <c r="O988" s="1">
        <f>Table1[[#This Row],[Gross Value]]*(1-Table1[[#This Row],[Discount]])</f>
        <v>582</v>
      </c>
      <c r="P988" s="2">
        <v>0.2</v>
      </c>
      <c r="Q988" s="1">
        <f>Table1[[#This Row],[Revenue]]*Table1[[#This Row],[VAT Rate]]</f>
        <v>116.4</v>
      </c>
      <c r="R988" s="1">
        <f>Table1[[#This Row],[Revenue]]+Table1[[#This Row],[VAT Charged]]</f>
        <v>698.4</v>
      </c>
      <c r="S988" s="1" cm="1">
        <f t="array" ref="S988">_xlfn.SWITCH(Table1[[#This Row],[Product ID]],"P001",140,"P002",80,"P003",72,"P004",30,"P005",110,"P006",24,"P007",14,"P008",12,"P009",115,"P010",360)</f>
        <v>110</v>
      </c>
      <c r="T988" s="1" cm="1">
        <f t="array" ref="T988">(_xlfn.SWITCH(Table1[[#This Row],[Product ID]],"P001",140,"P002",80,"P003",72,"P004",30,"P005",110,"P006",24,"P007",14,"P008",12,"P009",115,"P010",360))*Table1[[#This Row],[Quantity]]</f>
        <v>330</v>
      </c>
      <c r="U988" s="1" cm="1">
        <f t="array" ref="U988">_xlfn.SWITCH(Table1[[#This Row],[Product ID]],"P001",15,"P002",0,"P003",8,"P004",8,"P005",0,"P006",7,"P007",7,"P008",6,"P009",45,"P010",60)</f>
        <v>0</v>
      </c>
      <c r="V988" s="1">
        <f>Table1[[#This Row],[Shipping per Unit]]*Table1[[#This Row],[Quantity]]</f>
        <v>0</v>
      </c>
      <c r="W988" s="2">
        <f>IF(Table1[[#This Row],[Total Shipping]]&gt;0.1,0.2,0)</f>
        <v>0</v>
      </c>
      <c r="X988" s="4">
        <f>Table1[[#This Row],[Total Shipping]]*Table1[[#This Row],[VAT on Shipping]]</f>
        <v>0</v>
      </c>
      <c r="Y988" s="1">
        <f>Table1[[#This Row],[Revenue]]-Table1[[#This Row],[COGS]]</f>
        <v>252</v>
      </c>
      <c r="Z988" s="3">
        <f>(Table1[[#This Row],[Profit]]/Table1[[#This Row],[Revenue]])</f>
        <v>0.4329896907216495</v>
      </c>
      <c r="AA988" s="1">
        <f>Table1[[#This Row],[Profit]]-Table1[[#This Row],[Total Shipping]]</f>
        <v>252</v>
      </c>
      <c r="AB988" s="3">
        <f>Table1[[#This Row],[Operating Profit]]/Table1[[#This Row],[Revenue]]</f>
        <v>0.4329896907216495</v>
      </c>
    </row>
    <row r="989" spans="1:28" x14ac:dyDescent="0.25">
      <c r="A989" t="s">
        <v>421</v>
      </c>
      <c r="B989">
        <v>866</v>
      </c>
      <c r="C989" t="s">
        <v>38</v>
      </c>
      <c r="D989" t="s">
        <v>72</v>
      </c>
      <c r="E989" t="s">
        <v>31</v>
      </c>
      <c r="F989" t="s">
        <v>37</v>
      </c>
      <c r="G989" t="str" cm="1">
        <f t="array" ref="G989">_xlfn.SWITCH(F989,"Acme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89" t="s">
        <v>58</v>
      </c>
      <c r="I989" t="s">
        <v>42</v>
      </c>
      <c r="J989" t="str" cm="1">
        <f t="array" ref="J989">_xlfn.SWITCH(I989,"P001","Laptop","P002","Server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89" s="1" cm="1">
        <f t="array" ref="K989">_xlfn.SWITCH(Table1[[#This Row],[Product ID]],"P001",220,"P002",150,"P003",130,"P004",70,"P005",200,"P006",40,"P007",25,"P008",20,"P009",190,"P010",530)</f>
        <v>40</v>
      </c>
      <c r="L989">
        <v>12</v>
      </c>
      <c r="M989" s="1">
        <f>Table1[[#This Row],[Unit Price]]*Table1[[#This Row],[Quantity]]</f>
        <v>480</v>
      </c>
      <c r="N989" s="2">
        <v>0.06</v>
      </c>
      <c r="O989" s="1">
        <f>Table1[[#This Row],[Gross Value]]*(1-Table1[[#This Row],[Discount]])</f>
        <v>451.2</v>
      </c>
      <c r="P989" s="2">
        <v>0.2</v>
      </c>
      <c r="Q989" s="1">
        <f>Table1[[#This Row],[Revenue]]*Table1[[#This Row],[VAT Rate]]</f>
        <v>90.240000000000009</v>
      </c>
      <c r="R989" s="1">
        <f>Table1[[#This Row],[Revenue]]+Table1[[#This Row],[VAT Charged]]</f>
        <v>541.44000000000005</v>
      </c>
      <c r="S989" s="1" cm="1">
        <f t="array" ref="S989">_xlfn.SWITCH(Table1[[#This Row],[Product ID]],"P001",140,"P002",80,"P003",72,"P004",30,"P005",110,"P006",24,"P007",14,"P008",12,"P009",115,"P010",360)</f>
        <v>24</v>
      </c>
      <c r="T989" s="1" cm="1">
        <f t="array" ref="T989">(_xlfn.SWITCH(Table1[[#This Row],[Product ID]],"P001",140,"P002",80,"P003",72,"P004",30,"P005",110,"P006",24,"P007",14,"P008",12,"P009",115,"P010",360))*Table1[[#This Row],[Quantity]]</f>
        <v>288</v>
      </c>
      <c r="U989" s="1" cm="1">
        <f t="array" ref="U989">_xlfn.SWITCH(Table1[[#This Row],[Product ID]],"P001",15,"P002",0,"P003",8,"P004",8,"P005",0,"P006",7,"P007",7,"P008",6,"P009",45,"P010",60)</f>
        <v>7</v>
      </c>
      <c r="V989" s="1">
        <f>Table1[[#This Row],[Shipping per Unit]]*Table1[[#This Row],[Quantity]]</f>
        <v>84</v>
      </c>
      <c r="W989" s="2">
        <f>IF(Table1[[#This Row],[Total Shipping]]&gt;0.1,0.2,0)</f>
        <v>0.2</v>
      </c>
      <c r="X989" s="4">
        <f>Table1[[#This Row],[Total Shipping]]*Table1[[#This Row],[VAT on Shipping]]</f>
        <v>16.8</v>
      </c>
      <c r="Y989" s="1">
        <f>Table1[[#This Row],[Revenue]]-Table1[[#This Row],[COGS]]</f>
        <v>163.19999999999999</v>
      </c>
      <c r="Z989" s="3">
        <f>(Table1[[#This Row],[Profit]]/Table1[[#This Row],[Revenue]])</f>
        <v>0.36170212765957444</v>
      </c>
      <c r="AA989" s="1">
        <f>Table1[[#This Row],[Profit]]-Table1[[#This Row],[Total Shipping]]</f>
        <v>79.199999999999989</v>
      </c>
      <c r="AB989" s="3">
        <f>Table1[[#This Row],[Operating Profit]]/Table1[[#This Row],[Revenue]]</f>
        <v>0.175531914893617</v>
      </c>
    </row>
    <row r="990" spans="1:28" x14ac:dyDescent="0.25">
      <c r="A990" t="s">
        <v>421</v>
      </c>
      <c r="B990">
        <v>981</v>
      </c>
      <c r="C990" t="s">
        <v>65</v>
      </c>
      <c r="D990" t="s">
        <v>72</v>
      </c>
      <c r="E990" t="s">
        <v>49</v>
      </c>
      <c r="F990" t="s">
        <v>126</v>
      </c>
      <c r="G990" t="str" cm="1">
        <f t="array" ref="G990">_xlfn.SWITCH(F990,"Acme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990" t="s">
        <v>69</v>
      </c>
      <c r="I990" t="s">
        <v>42</v>
      </c>
      <c r="J990" t="str" cm="1">
        <f t="array" ref="J990">_xlfn.SWITCH(I990,"P001","Laptop","P002","Server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90" s="1" cm="1">
        <f t="array" ref="K990">_xlfn.SWITCH(Table1[[#This Row],[Product ID]],"P001",220,"P002",150,"P003",130,"P004",70,"P005",200,"P006",40,"P007",25,"P008",20,"P009",190,"P010",530)</f>
        <v>40</v>
      </c>
      <c r="L990">
        <v>9</v>
      </c>
      <c r="M990" s="1">
        <f>Table1[[#This Row],[Unit Price]]*Table1[[#This Row],[Quantity]]</f>
        <v>360</v>
      </c>
      <c r="N990" s="2">
        <v>0.05</v>
      </c>
      <c r="O990" s="1">
        <f>Table1[[#This Row],[Gross Value]]*(1-Table1[[#This Row],[Discount]])</f>
        <v>342</v>
      </c>
      <c r="P990" s="2">
        <v>0.2</v>
      </c>
      <c r="Q990" s="1">
        <f>Table1[[#This Row],[Revenue]]*Table1[[#This Row],[VAT Rate]]</f>
        <v>68.400000000000006</v>
      </c>
      <c r="R990" s="1">
        <f>Table1[[#This Row],[Revenue]]+Table1[[#This Row],[VAT Charged]]</f>
        <v>410.4</v>
      </c>
      <c r="S990" s="1" cm="1">
        <f t="array" ref="S990">_xlfn.SWITCH(Table1[[#This Row],[Product ID]],"P001",140,"P002",80,"P003",72,"P004",30,"P005",110,"P006",24,"P007",14,"P008",12,"P009",115,"P010",360)</f>
        <v>24</v>
      </c>
      <c r="T990" s="1" cm="1">
        <f t="array" ref="T990">(_xlfn.SWITCH(Table1[[#This Row],[Product ID]],"P001",140,"P002",80,"P003",72,"P004",30,"P005",110,"P006",24,"P007",14,"P008",12,"P009",115,"P010",360))*Table1[[#This Row],[Quantity]]</f>
        <v>216</v>
      </c>
      <c r="U990" s="1" cm="1">
        <f t="array" ref="U990">_xlfn.SWITCH(Table1[[#This Row],[Product ID]],"P001",15,"P002",0,"P003",8,"P004",8,"P005",0,"P006",7,"P007",7,"P008",6,"P009",45,"P010",60)</f>
        <v>7</v>
      </c>
      <c r="V990" s="1">
        <f>Table1[[#This Row],[Shipping per Unit]]*Table1[[#This Row],[Quantity]]</f>
        <v>63</v>
      </c>
      <c r="W990" s="2">
        <f>IF(Table1[[#This Row],[Total Shipping]]&gt;0.1,0.2,0)</f>
        <v>0.2</v>
      </c>
      <c r="X990" s="4">
        <f>Table1[[#This Row],[Total Shipping]]*Table1[[#This Row],[VAT on Shipping]]</f>
        <v>12.600000000000001</v>
      </c>
      <c r="Y990" s="1">
        <f>Table1[[#This Row],[Revenue]]-Table1[[#This Row],[COGS]]</f>
        <v>126</v>
      </c>
      <c r="Z990" s="3">
        <f>(Table1[[#This Row],[Profit]]/Table1[[#This Row],[Revenue]])</f>
        <v>0.36842105263157893</v>
      </c>
      <c r="AA990" s="1">
        <f>Table1[[#This Row],[Profit]]-Table1[[#This Row],[Total Shipping]]</f>
        <v>63</v>
      </c>
      <c r="AB990" s="3">
        <f>Table1[[#This Row],[Operating Profit]]/Table1[[#This Row],[Revenue]]</f>
        <v>0.18421052631578946</v>
      </c>
    </row>
    <row r="991" spans="1:28" x14ac:dyDescent="0.25">
      <c r="A991" t="s">
        <v>422</v>
      </c>
      <c r="B991">
        <v>159</v>
      </c>
      <c r="C991" t="s">
        <v>65</v>
      </c>
      <c r="D991" t="s">
        <v>48</v>
      </c>
      <c r="E991" t="s">
        <v>40</v>
      </c>
      <c r="F991" t="s">
        <v>86</v>
      </c>
      <c r="G991" t="str" cm="1">
        <f t="array" ref="G991">_xlfn.SWITCH(F991,"Acme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91" t="s">
        <v>58</v>
      </c>
      <c r="I991" t="s">
        <v>42</v>
      </c>
      <c r="J991" t="str" cm="1">
        <f t="array" ref="J991">_xlfn.SWITCH(I991,"P001","Laptop","P002","Server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91" s="1" cm="1">
        <f t="array" ref="K991">_xlfn.SWITCH(Table1[[#This Row],[Product ID]],"P001",220,"P002",150,"P003",130,"P004",70,"P005",200,"P006",40,"P007",25,"P008",20,"P009",190,"P010",530)</f>
        <v>40</v>
      </c>
      <c r="L991">
        <v>10</v>
      </c>
      <c r="M991" s="1">
        <f>Table1[[#This Row],[Unit Price]]*Table1[[#This Row],[Quantity]]</f>
        <v>400</v>
      </c>
      <c r="N991" s="2">
        <v>0.1</v>
      </c>
      <c r="O991" s="1">
        <f>Table1[[#This Row],[Gross Value]]*(1-Table1[[#This Row],[Discount]])</f>
        <v>360</v>
      </c>
      <c r="P991" s="2">
        <v>0.2</v>
      </c>
      <c r="Q991" s="1">
        <f>Table1[[#This Row],[Revenue]]*Table1[[#This Row],[VAT Rate]]</f>
        <v>72</v>
      </c>
      <c r="R991" s="1">
        <f>Table1[[#This Row],[Revenue]]+Table1[[#This Row],[VAT Charged]]</f>
        <v>432</v>
      </c>
      <c r="S991" s="1" cm="1">
        <f t="array" ref="S991">_xlfn.SWITCH(Table1[[#This Row],[Product ID]],"P001",140,"P002",80,"P003",72,"P004",30,"P005",110,"P006",24,"P007",14,"P008",12,"P009",115,"P010",360)</f>
        <v>24</v>
      </c>
      <c r="T991" s="1" cm="1">
        <f t="array" ref="T991">(_xlfn.SWITCH(Table1[[#This Row],[Product ID]],"P001",140,"P002",80,"P003",72,"P004",30,"P005",110,"P006",24,"P007",14,"P008",12,"P009",115,"P010",360))*Table1[[#This Row],[Quantity]]</f>
        <v>240</v>
      </c>
      <c r="U991" s="1" cm="1">
        <f t="array" ref="U991">_xlfn.SWITCH(Table1[[#This Row],[Product ID]],"P001",15,"P002",0,"P003",8,"P004",8,"P005",0,"P006",7,"P007",7,"P008",6,"P009",45,"P010",60)</f>
        <v>7</v>
      </c>
      <c r="V991" s="1">
        <f>Table1[[#This Row],[Shipping per Unit]]*Table1[[#This Row],[Quantity]]</f>
        <v>70</v>
      </c>
      <c r="W991" s="2">
        <f>IF(Table1[[#This Row],[Total Shipping]]&gt;0.1,0.2,0)</f>
        <v>0.2</v>
      </c>
      <c r="X991" s="4">
        <f>Table1[[#This Row],[Total Shipping]]*Table1[[#This Row],[VAT on Shipping]]</f>
        <v>14</v>
      </c>
      <c r="Y991" s="1">
        <f>Table1[[#This Row],[Revenue]]-Table1[[#This Row],[COGS]]</f>
        <v>120</v>
      </c>
      <c r="Z991" s="3">
        <f>(Table1[[#This Row],[Profit]]/Table1[[#This Row],[Revenue]])</f>
        <v>0.33333333333333331</v>
      </c>
      <c r="AA991" s="1">
        <f>Table1[[#This Row],[Profit]]-Table1[[#This Row],[Total Shipping]]</f>
        <v>50</v>
      </c>
      <c r="AB991" s="3">
        <f>Table1[[#This Row],[Operating Profit]]/Table1[[#This Row],[Revenue]]</f>
        <v>0.1388888888888889</v>
      </c>
    </row>
    <row r="992" spans="1:28" x14ac:dyDescent="0.25">
      <c r="A992" t="s">
        <v>422</v>
      </c>
      <c r="B992">
        <v>727</v>
      </c>
      <c r="C992" t="s">
        <v>65</v>
      </c>
      <c r="D992" t="s">
        <v>39</v>
      </c>
      <c r="E992" t="s">
        <v>31</v>
      </c>
      <c r="F992" t="s">
        <v>50</v>
      </c>
      <c r="G992" t="str" cm="1">
        <f t="array" ref="G992">_xlfn.SWITCH(F992,"Acme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992" t="s">
        <v>33</v>
      </c>
      <c r="I992" t="s">
        <v>34</v>
      </c>
      <c r="J992" t="str" cm="1">
        <f t="array" ref="J992">_xlfn.SWITCH(I992,"P001","Laptop","P002","Server Key","P003","Network Switch","P004","Data Storage Device","P005","Software License","P006","Monitor Stand","P007","Keyboard Tray","P008","Cable Management Tray","P009","Ergonomic Chair","P010","Standing Desk")</f>
        <v>Cable Management Tray</v>
      </c>
      <c r="K992" s="1" cm="1">
        <f t="array" ref="K992">_xlfn.SWITCH(Table1[[#This Row],[Product ID]],"P001",220,"P002",150,"P003",130,"P004",70,"P005",200,"P006",40,"P007",25,"P008",20,"P009",190,"P010",530)</f>
        <v>20</v>
      </c>
      <c r="L992">
        <v>12</v>
      </c>
      <c r="M992" s="1">
        <f>Table1[[#This Row],[Unit Price]]*Table1[[#This Row],[Quantity]]</f>
        <v>240</v>
      </c>
      <c r="N992" s="2">
        <v>0.05</v>
      </c>
      <c r="O992" s="1">
        <f>Table1[[#This Row],[Gross Value]]*(1-Table1[[#This Row],[Discount]])</f>
        <v>228</v>
      </c>
      <c r="P992" s="2">
        <v>0.2</v>
      </c>
      <c r="Q992" s="1">
        <f>Table1[[#This Row],[Revenue]]*Table1[[#This Row],[VAT Rate]]</f>
        <v>45.6</v>
      </c>
      <c r="R992" s="1">
        <f>Table1[[#This Row],[Revenue]]+Table1[[#This Row],[VAT Charged]]</f>
        <v>273.60000000000002</v>
      </c>
      <c r="S992" s="1" cm="1">
        <f t="array" ref="S992">_xlfn.SWITCH(Table1[[#This Row],[Product ID]],"P001",140,"P002",80,"P003",72,"P004",30,"P005",110,"P006",24,"P007",14,"P008",12,"P009",115,"P010",360)</f>
        <v>12</v>
      </c>
      <c r="T992" s="1" cm="1">
        <f t="array" ref="T992">(_xlfn.SWITCH(Table1[[#This Row],[Product ID]],"P001",140,"P002",80,"P003",72,"P004",30,"P005",110,"P006",24,"P007",14,"P008",12,"P009",115,"P010",360))*Table1[[#This Row],[Quantity]]</f>
        <v>144</v>
      </c>
      <c r="U992" s="1" cm="1">
        <f t="array" ref="U992">_xlfn.SWITCH(Table1[[#This Row],[Product ID]],"P001",15,"P002",0,"P003",8,"P004",8,"P005",0,"P006",7,"P007",7,"P008",6,"P009",45,"P010",60)</f>
        <v>6</v>
      </c>
      <c r="V992" s="1">
        <f>Table1[[#This Row],[Shipping per Unit]]*Table1[[#This Row],[Quantity]]</f>
        <v>72</v>
      </c>
      <c r="W992" s="2">
        <f>IF(Table1[[#This Row],[Total Shipping]]&gt;0.1,0.2,0)</f>
        <v>0.2</v>
      </c>
      <c r="X992" s="4">
        <f>Table1[[#This Row],[Total Shipping]]*Table1[[#This Row],[VAT on Shipping]]</f>
        <v>14.4</v>
      </c>
      <c r="Y992" s="1">
        <f>Table1[[#This Row],[Revenue]]-Table1[[#This Row],[COGS]]</f>
        <v>84</v>
      </c>
      <c r="Z992" s="3">
        <f>(Table1[[#This Row],[Profit]]/Table1[[#This Row],[Revenue]])</f>
        <v>0.36842105263157893</v>
      </c>
      <c r="AA992" s="1">
        <f>Table1[[#This Row],[Profit]]-Table1[[#This Row],[Total Shipping]]</f>
        <v>12</v>
      </c>
      <c r="AB992" s="3">
        <f>Table1[[#This Row],[Operating Profit]]/Table1[[#This Row],[Revenue]]</f>
        <v>5.2631578947368418E-2</v>
      </c>
    </row>
    <row r="993" spans="1:28" x14ac:dyDescent="0.25">
      <c r="A993" t="s">
        <v>423</v>
      </c>
      <c r="B993">
        <v>335</v>
      </c>
      <c r="C993" t="s">
        <v>29</v>
      </c>
      <c r="D993" t="s">
        <v>39</v>
      </c>
      <c r="E993" t="s">
        <v>40</v>
      </c>
      <c r="F993" t="s">
        <v>86</v>
      </c>
      <c r="G993" t="str" cm="1">
        <f t="array" ref="G993">_xlfn.SWITCH(F993,"Acme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C006</v>
      </c>
      <c r="H993" t="s">
        <v>58</v>
      </c>
      <c r="I993" t="s">
        <v>52</v>
      </c>
      <c r="J993" t="str" cm="1">
        <f t="array" ref="J993">_xlfn.SWITCH(I993,"P001","Laptop","P002","Server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993" s="1" cm="1">
        <f t="array" ref="K993">_xlfn.SWITCH(Table1[[#This Row],[Product ID]],"P001",220,"P002",150,"P003",130,"P004",70,"P005",200,"P006",40,"P007",25,"P008",20,"P009",190,"P010",530)</f>
        <v>130</v>
      </c>
      <c r="L993">
        <v>7</v>
      </c>
      <c r="M993" s="1">
        <f>Table1[[#This Row],[Unit Price]]*Table1[[#This Row],[Quantity]]</f>
        <v>910</v>
      </c>
      <c r="N993" s="2">
        <v>0.1</v>
      </c>
      <c r="O993" s="1">
        <f>Table1[[#This Row],[Gross Value]]*(1-Table1[[#This Row],[Discount]])</f>
        <v>819</v>
      </c>
      <c r="P993" s="2">
        <v>0.2</v>
      </c>
      <c r="Q993" s="1">
        <f>Table1[[#This Row],[Revenue]]*Table1[[#This Row],[VAT Rate]]</f>
        <v>163.80000000000001</v>
      </c>
      <c r="R993" s="1">
        <f>Table1[[#This Row],[Revenue]]+Table1[[#This Row],[VAT Charged]]</f>
        <v>982.8</v>
      </c>
      <c r="S993" s="1" cm="1">
        <f t="array" ref="S993">_xlfn.SWITCH(Table1[[#This Row],[Product ID]],"P001",140,"P002",80,"P003",72,"P004",30,"P005",110,"P006",24,"P007",14,"P008",12,"P009",115,"P010",360)</f>
        <v>72</v>
      </c>
      <c r="T993" s="1" cm="1">
        <f t="array" ref="T993">(_xlfn.SWITCH(Table1[[#This Row],[Product ID]],"P001",140,"P002",80,"P003",72,"P004",30,"P005",110,"P006",24,"P007",14,"P008",12,"P009",115,"P010",360))*Table1[[#This Row],[Quantity]]</f>
        <v>504</v>
      </c>
      <c r="U993" s="1" cm="1">
        <f t="array" ref="U993">_xlfn.SWITCH(Table1[[#This Row],[Product ID]],"P001",15,"P002",0,"P003",8,"P004",8,"P005",0,"P006",7,"P007",7,"P008",6,"P009",45,"P010",60)</f>
        <v>8</v>
      </c>
      <c r="V993" s="1">
        <f>Table1[[#This Row],[Shipping per Unit]]*Table1[[#This Row],[Quantity]]</f>
        <v>56</v>
      </c>
      <c r="W993" s="2">
        <f>IF(Table1[[#This Row],[Total Shipping]]&gt;0.1,0.2,0)</f>
        <v>0.2</v>
      </c>
      <c r="X993" s="4">
        <f>Table1[[#This Row],[Total Shipping]]*Table1[[#This Row],[VAT on Shipping]]</f>
        <v>11.200000000000001</v>
      </c>
      <c r="Y993" s="1">
        <f>Table1[[#This Row],[Revenue]]-Table1[[#This Row],[COGS]]</f>
        <v>315</v>
      </c>
      <c r="Z993" s="3">
        <f>(Table1[[#This Row],[Profit]]/Table1[[#This Row],[Revenue]])</f>
        <v>0.38461538461538464</v>
      </c>
      <c r="AA993" s="1">
        <f>Table1[[#This Row],[Profit]]-Table1[[#This Row],[Total Shipping]]</f>
        <v>259</v>
      </c>
      <c r="AB993" s="3">
        <f>Table1[[#This Row],[Operating Profit]]/Table1[[#This Row],[Revenue]]</f>
        <v>0.31623931623931623</v>
      </c>
    </row>
    <row r="994" spans="1:28" x14ac:dyDescent="0.25">
      <c r="A994" t="s">
        <v>423</v>
      </c>
      <c r="B994">
        <v>419</v>
      </c>
      <c r="C994" t="s">
        <v>65</v>
      </c>
      <c r="D994" t="s">
        <v>36</v>
      </c>
      <c r="E994" t="s">
        <v>31</v>
      </c>
      <c r="F994" t="s">
        <v>90</v>
      </c>
      <c r="G994" t="str" cm="1">
        <f t="array" ref="G994">_xlfn.SWITCH(F994,"Acme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C022</v>
      </c>
      <c r="H994" t="s">
        <v>58</v>
      </c>
      <c r="I994" t="s">
        <v>42</v>
      </c>
      <c r="J994" t="str" cm="1">
        <f t="array" ref="J994">_xlfn.SWITCH(I994,"P001","Laptop","P002","Server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94" s="1" cm="1">
        <f t="array" ref="K994">_xlfn.SWITCH(Table1[[#This Row],[Product ID]],"P001",220,"P002",150,"P003",130,"P004",70,"P005",200,"P006",40,"P007",25,"P008",20,"P009",190,"P010",530)</f>
        <v>40</v>
      </c>
      <c r="L994">
        <v>17</v>
      </c>
      <c r="M994" s="1">
        <f>Table1[[#This Row],[Unit Price]]*Table1[[#This Row],[Quantity]]</f>
        <v>680</v>
      </c>
      <c r="N994" s="2">
        <v>0.08</v>
      </c>
      <c r="O994" s="1">
        <f>Table1[[#This Row],[Gross Value]]*(1-Table1[[#This Row],[Discount]])</f>
        <v>625.6</v>
      </c>
      <c r="P994" s="2">
        <v>0.2</v>
      </c>
      <c r="Q994" s="1">
        <f>Table1[[#This Row],[Revenue]]*Table1[[#This Row],[VAT Rate]]</f>
        <v>125.12</v>
      </c>
      <c r="R994" s="1">
        <f>Table1[[#This Row],[Revenue]]+Table1[[#This Row],[VAT Charged]]</f>
        <v>750.72</v>
      </c>
      <c r="S994" s="1" cm="1">
        <f t="array" ref="S994">_xlfn.SWITCH(Table1[[#This Row],[Product ID]],"P001",140,"P002",80,"P003",72,"P004",30,"P005",110,"P006",24,"P007",14,"P008",12,"P009",115,"P010",360)</f>
        <v>24</v>
      </c>
      <c r="T994" s="1" cm="1">
        <f t="array" ref="T994">(_xlfn.SWITCH(Table1[[#This Row],[Product ID]],"P001",140,"P002",80,"P003",72,"P004",30,"P005",110,"P006",24,"P007",14,"P008",12,"P009",115,"P010",360))*Table1[[#This Row],[Quantity]]</f>
        <v>408</v>
      </c>
      <c r="U994" s="1" cm="1">
        <f t="array" ref="U994">_xlfn.SWITCH(Table1[[#This Row],[Product ID]],"P001",15,"P002",0,"P003",8,"P004",8,"P005",0,"P006",7,"P007",7,"P008",6,"P009",45,"P010",60)</f>
        <v>7</v>
      </c>
      <c r="V994" s="1">
        <f>Table1[[#This Row],[Shipping per Unit]]*Table1[[#This Row],[Quantity]]</f>
        <v>119</v>
      </c>
      <c r="W994" s="2">
        <f>IF(Table1[[#This Row],[Total Shipping]]&gt;0.1,0.2,0)</f>
        <v>0.2</v>
      </c>
      <c r="X994" s="4">
        <f>Table1[[#This Row],[Total Shipping]]*Table1[[#This Row],[VAT on Shipping]]</f>
        <v>23.8</v>
      </c>
      <c r="Y994" s="1">
        <f>Table1[[#This Row],[Revenue]]-Table1[[#This Row],[COGS]]</f>
        <v>217.60000000000002</v>
      </c>
      <c r="Z994" s="3">
        <f>(Table1[[#This Row],[Profit]]/Table1[[#This Row],[Revenue]])</f>
        <v>0.34782608695652178</v>
      </c>
      <c r="AA994" s="1">
        <f>Table1[[#This Row],[Profit]]-Table1[[#This Row],[Total Shipping]]</f>
        <v>98.600000000000023</v>
      </c>
      <c r="AB994" s="3">
        <f>Table1[[#This Row],[Operating Profit]]/Table1[[#This Row],[Revenue]]</f>
        <v>0.15760869565217395</v>
      </c>
    </row>
    <row r="995" spans="1:28" x14ac:dyDescent="0.25">
      <c r="A995" t="s">
        <v>423</v>
      </c>
      <c r="B995">
        <v>845</v>
      </c>
      <c r="C995" t="s">
        <v>65</v>
      </c>
      <c r="D995" t="s">
        <v>72</v>
      </c>
      <c r="E995" t="s">
        <v>49</v>
      </c>
      <c r="F995" t="s">
        <v>92</v>
      </c>
      <c r="G995" t="str" cm="1">
        <f t="array" ref="G995">_xlfn.SWITCH(F995,"Acme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C012</v>
      </c>
      <c r="H995" t="s">
        <v>33</v>
      </c>
      <c r="I995" t="s">
        <v>46</v>
      </c>
      <c r="J995" t="str" cm="1">
        <f t="array" ref="J995">_xlfn.SWITCH(I995,"P001","Laptop","P002","Server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995" s="1" cm="1">
        <f t="array" ref="K995">_xlfn.SWITCH(Table1[[#This Row],[Product ID]],"P001",220,"P002",150,"P003",130,"P004",70,"P005",200,"P006",40,"P007",25,"P008",20,"P009",190,"P010",530)</f>
        <v>530</v>
      </c>
      <c r="L995">
        <v>11</v>
      </c>
      <c r="M995" s="1">
        <f>Table1[[#This Row],[Unit Price]]*Table1[[#This Row],[Quantity]]</f>
        <v>5830</v>
      </c>
      <c r="N995" s="2">
        <v>0.05</v>
      </c>
      <c r="O995" s="1">
        <f>Table1[[#This Row],[Gross Value]]*(1-Table1[[#This Row],[Discount]])</f>
        <v>5538.5</v>
      </c>
      <c r="P995" s="2">
        <v>0.2</v>
      </c>
      <c r="Q995" s="1">
        <f>Table1[[#This Row],[Revenue]]*Table1[[#This Row],[VAT Rate]]</f>
        <v>1107.7</v>
      </c>
      <c r="R995" s="1">
        <f>Table1[[#This Row],[Revenue]]+Table1[[#This Row],[VAT Charged]]</f>
        <v>6646.2</v>
      </c>
      <c r="S995" s="1" cm="1">
        <f t="array" ref="S995">_xlfn.SWITCH(Table1[[#This Row],[Product ID]],"P001",140,"P002",80,"P003",72,"P004",30,"P005",110,"P006",24,"P007",14,"P008",12,"P009",115,"P010",360)</f>
        <v>360</v>
      </c>
      <c r="T995" s="1" cm="1">
        <f t="array" ref="T995">(_xlfn.SWITCH(Table1[[#This Row],[Product ID]],"P001",140,"P002",80,"P003",72,"P004",30,"P005",110,"P006",24,"P007",14,"P008",12,"P009",115,"P010",360))*Table1[[#This Row],[Quantity]]</f>
        <v>3960</v>
      </c>
      <c r="U995" s="1" cm="1">
        <f t="array" ref="U995">_xlfn.SWITCH(Table1[[#This Row],[Product ID]],"P001",15,"P002",0,"P003",8,"P004",8,"P005",0,"P006",7,"P007",7,"P008",6,"P009",45,"P010",60)</f>
        <v>60</v>
      </c>
      <c r="V995" s="1">
        <f>Table1[[#This Row],[Shipping per Unit]]*Table1[[#This Row],[Quantity]]</f>
        <v>660</v>
      </c>
      <c r="W995" s="2">
        <f>IF(Table1[[#This Row],[Total Shipping]]&gt;0.1,0.2,0)</f>
        <v>0.2</v>
      </c>
      <c r="X995" s="4">
        <f>Table1[[#This Row],[Total Shipping]]*Table1[[#This Row],[VAT on Shipping]]</f>
        <v>132</v>
      </c>
      <c r="Y995" s="1">
        <f>Table1[[#This Row],[Revenue]]-Table1[[#This Row],[COGS]]</f>
        <v>1578.5</v>
      </c>
      <c r="Z995" s="3">
        <f>(Table1[[#This Row],[Profit]]/Table1[[#This Row],[Revenue]])</f>
        <v>0.28500496524329694</v>
      </c>
      <c r="AA995" s="1">
        <f>Table1[[#This Row],[Profit]]-Table1[[#This Row],[Total Shipping]]</f>
        <v>918.5</v>
      </c>
      <c r="AB995" s="3">
        <f>Table1[[#This Row],[Operating Profit]]/Table1[[#This Row],[Revenue]]</f>
        <v>0.16583912611717974</v>
      </c>
    </row>
    <row r="996" spans="1:28" x14ac:dyDescent="0.25">
      <c r="A996" t="s">
        <v>423</v>
      </c>
      <c r="B996">
        <v>949</v>
      </c>
      <c r="C996" t="s">
        <v>56</v>
      </c>
      <c r="D996" t="s">
        <v>36</v>
      </c>
      <c r="E996" t="s">
        <v>49</v>
      </c>
      <c r="F996" t="s">
        <v>37</v>
      </c>
      <c r="G996" t="str" cm="1">
        <f t="array" ref="G996">_xlfn.SWITCH(F996,"Acme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C025</v>
      </c>
      <c r="H996" t="s">
        <v>58</v>
      </c>
      <c r="I996" t="s">
        <v>55</v>
      </c>
      <c r="J996" t="str" cm="1">
        <f t="array" ref="J996">_xlfn.SWITCH(I996,"P001","Laptop","P002","Server Key","P003","Network Switch","P004","Data Storage Device","P005","Software License","P006","Monitor Stand","P007","Keyboard Tray","P008","Cable Management Tray","P009","Ergonomic Chair","P010","Standing Desk")</f>
        <v>Data Storage Device</v>
      </c>
      <c r="K996" s="1" cm="1">
        <f t="array" ref="K996">_xlfn.SWITCH(Table1[[#This Row],[Product ID]],"P001",220,"P002",150,"P003",130,"P004",70,"P005",200,"P006",40,"P007",25,"P008",20,"P009",190,"P010",530)</f>
        <v>70</v>
      </c>
      <c r="L996">
        <v>16</v>
      </c>
      <c r="M996" s="1">
        <f>Table1[[#This Row],[Unit Price]]*Table1[[#This Row],[Quantity]]</f>
        <v>1120</v>
      </c>
      <c r="N996" s="2">
        <v>0.06</v>
      </c>
      <c r="O996" s="1">
        <f>Table1[[#This Row],[Gross Value]]*(1-Table1[[#This Row],[Discount]])</f>
        <v>1052.8</v>
      </c>
      <c r="P996" s="2">
        <v>0.2</v>
      </c>
      <c r="Q996" s="1">
        <f>Table1[[#This Row],[Revenue]]*Table1[[#This Row],[VAT Rate]]</f>
        <v>210.56</v>
      </c>
      <c r="R996" s="1">
        <f>Table1[[#This Row],[Revenue]]+Table1[[#This Row],[VAT Charged]]</f>
        <v>1263.3599999999999</v>
      </c>
      <c r="S996" s="1" cm="1">
        <f t="array" ref="S996">_xlfn.SWITCH(Table1[[#This Row],[Product ID]],"P001",140,"P002",80,"P003",72,"P004",30,"P005",110,"P006",24,"P007",14,"P008",12,"P009",115,"P010",360)</f>
        <v>30</v>
      </c>
      <c r="T996" s="1" cm="1">
        <f t="array" ref="T996">(_xlfn.SWITCH(Table1[[#This Row],[Product ID]],"P001",140,"P002",80,"P003",72,"P004",30,"P005",110,"P006",24,"P007",14,"P008",12,"P009",115,"P010",360))*Table1[[#This Row],[Quantity]]</f>
        <v>480</v>
      </c>
      <c r="U996" s="1" cm="1">
        <f t="array" ref="U996">_xlfn.SWITCH(Table1[[#This Row],[Product ID]],"P001",15,"P002",0,"P003",8,"P004",8,"P005",0,"P006",7,"P007",7,"P008",6,"P009",45,"P010",60)</f>
        <v>8</v>
      </c>
      <c r="V996" s="1">
        <f>Table1[[#This Row],[Shipping per Unit]]*Table1[[#This Row],[Quantity]]</f>
        <v>128</v>
      </c>
      <c r="W996" s="2">
        <f>IF(Table1[[#This Row],[Total Shipping]]&gt;0.1,0.2,0)</f>
        <v>0.2</v>
      </c>
      <c r="X996" s="4">
        <f>Table1[[#This Row],[Total Shipping]]*Table1[[#This Row],[VAT on Shipping]]</f>
        <v>25.6</v>
      </c>
      <c r="Y996" s="1">
        <f>Table1[[#This Row],[Revenue]]-Table1[[#This Row],[COGS]]</f>
        <v>572.79999999999995</v>
      </c>
      <c r="Z996" s="3">
        <f>(Table1[[#This Row],[Profit]]/Table1[[#This Row],[Revenue]])</f>
        <v>0.54407294832826747</v>
      </c>
      <c r="AA996" s="1">
        <f>Table1[[#This Row],[Profit]]-Table1[[#This Row],[Total Shipping]]</f>
        <v>444.79999999999995</v>
      </c>
      <c r="AB996" s="3">
        <f>Table1[[#This Row],[Operating Profit]]/Table1[[#This Row],[Revenue]]</f>
        <v>0.42249240121580545</v>
      </c>
    </row>
    <row r="997" spans="1:28" x14ac:dyDescent="0.25">
      <c r="A997" t="s">
        <v>424</v>
      </c>
      <c r="B997">
        <v>167</v>
      </c>
      <c r="C997" t="s">
        <v>65</v>
      </c>
      <c r="D997" t="s">
        <v>48</v>
      </c>
      <c r="E997" t="s">
        <v>40</v>
      </c>
      <c r="F997" t="s">
        <v>119</v>
      </c>
      <c r="G997" t="str" cm="1">
        <f t="array" ref="G997">_xlfn.SWITCH(F997,"Acme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C007</v>
      </c>
      <c r="H997" t="s">
        <v>33</v>
      </c>
      <c r="I997" t="s">
        <v>60</v>
      </c>
      <c r="J997" t="str" cm="1">
        <f t="array" ref="J997">_xlfn.SWITCH(I997,"P001","Laptop","P002","Server Key","P003","Network Switch","P004","Data Storage Device","P005","Software License","P006","Monitor Stand","P007","Keyboard Tray","P008","Cable Management Tray","P009","Ergonomic Chair","P010","Standing Desk")</f>
        <v>Keyboard Tray</v>
      </c>
      <c r="K997" s="1" cm="1">
        <f t="array" ref="K997">_xlfn.SWITCH(Table1[[#This Row],[Product ID]],"P001",220,"P002",150,"P003",130,"P004",70,"P005",200,"P006",40,"P007",25,"P008",20,"P009",190,"P010",530)</f>
        <v>25</v>
      </c>
      <c r="L997">
        <v>14</v>
      </c>
      <c r="M997" s="1">
        <f>Table1[[#This Row],[Unit Price]]*Table1[[#This Row],[Quantity]]</f>
        <v>350</v>
      </c>
      <c r="N997" s="2">
        <v>0.01</v>
      </c>
      <c r="O997" s="1">
        <f>Table1[[#This Row],[Gross Value]]*(1-Table1[[#This Row],[Discount]])</f>
        <v>346.5</v>
      </c>
      <c r="P997" s="2">
        <v>0.2</v>
      </c>
      <c r="Q997" s="1">
        <f>Table1[[#This Row],[Revenue]]*Table1[[#This Row],[VAT Rate]]</f>
        <v>69.3</v>
      </c>
      <c r="R997" s="1">
        <f>Table1[[#This Row],[Revenue]]+Table1[[#This Row],[VAT Charged]]</f>
        <v>415.8</v>
      </c>
      <c r="S997" s="1" cm="1">
        <f t="array" ref="S997">_xlfn.SWITCH(Table1[[#This Row],[Product ID]],"P001",140,"P002",80,"P003",72,"P004",30,"P005",110,"P006",24,"P007",14,"P008",12,"P009",115,"P010",360)</f>
        <v>14</v>
      </c>
      <c r="T997" s="1" cm="1">
        <f t="array" ref="T997">(_xlfn.SWITCH(Table1[[#This Row],[Product ID]],"P001",140,"P002",80,"P003",72,"P004",30,"P005",110,"P006",24,"P007",14,"P008",12,"P009",115,"P010",360))*Table1[[#This Row],[Quantity]]</f>
        <v>196</v>
      </c>
      <c r="U997" s="1" cm="1">
        <f t="array" ref="U997">_xlfn.SWITCH(Table1[[#This Row],[Product ID]],"P001",15,"P002",0,"P003",8,"P004",8,"P005",0,"P006",7,"P007",7,"P008",6,"P009",45,"P010",60)</f>
        <v>7</v>
      </c>
      <c r="V997" s="1">
        <f>Table1[[#This Row],[Shipping per Unit]]*Table1[[#This Row],[Quantity]]</f>
        <v>98</v>
      </c>
      <c r="W997" s="2">
        <f>IF(Table1[[#This Row],[Total Shipping]]&gt;0.1,0.2,0)</f>
        <v>0.2</v>
      </c>
      <c r="X997" s="4">
        <f>Table1[[#This Row],[Total Shipping]]*Table1[[#This Row],[VAT on Shipping]]</f>
        <v>19.600000000000001</v>
      </c>
      <c r="Y997" s="1">
        <f>Table1[[#This Row],[Revenue]]-Table1[[#This Row],[COGS]]</f>
        <v>150.5</v>
      </c>
      <c r="Z997" s="3">
        <f>(Table1[[#This Row],[Profit]]/Table1[[#This Row],[Revenue]])</f>
        <v>0.43434343434343436</v>
      </c>
      <c r="AA997" s="1">
        <f>Table1[[#This Row],[Profit]]-Table1[[#This Row],[Total Shipping]]</f>
        <v>52.5</v>
      </c>
      <c r="AB997" s="3">
        <f>Table1[[#This Row],[Operating Profit]]/Table1[[#This Row],[Revenue]]</f>
        <v>0.15151515151515152</v>
      </c>
    </row>
    <row r="998" spans="1:28" x14ac:dyDescent="0.25">
      <c r="A998" t="s">
        <v>425</v>
      </c>
      <c r="B998">
        <v>26</v>
      </c>
      <c r="C998" t="s">
        <v>62</v>
      </c>
      <c r="D998" t="s">
        <v>30</v>
      </c>
      <c r="E998" t="s">
        <v>49</v>
      </c>
      <c r="F998" t="s">
        <v>126</v>
      </c>
      <c r="G998" t="str" cm="1">
        <f t="array" ref="G998">_xlfn.SWITCH(F998,"Acme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C005</v>
      </c>
      <c r="H998" t="s">
        <v>45</v>
      </c>
      <c r="I998" t="s">
        <v>68</v>
      </c>
      <c r="J998" t="str" cm="1">
        <f t="array" ref="J998">_xlfn.SWITCH(I998,"P001","Laptop","P002","Server Key","P003","Network Switch","P004","Data Storage Device","P005","Software License","P006","Monitor Stand","P007","Keyboard Tray","P008","Cable Management Tray","P009","Ergonomic Chair","P010","Standing Desk")</f>
        <v>Laptop</v>
      </c>
      <c r="K998" s="1" cm="1">
        <f t="array" ref="K998">_xlfn.SWITCH(Table1[[#This Row],[Product ID]],"P001",220,"P002",150,"P003",130,"P004",70,"P005",200,"P006",40,"P007",25,"P008",20,"P009",190,"P010",530)</f>
        <v>220</v>
      </c>
      <c r="L998">
        <v>8</v>
      </c>
      <c r="M998" s="1">
        <f>Table1[[#This Row],[Unit Price]]*Table1[[#This Row],[Quantity]]</f>
        <v>1760</v>
      </c>
      <c r="N998" s="2">
        <v>0.04</v>
      </c>
      <c r="O998" s="1">
        <f>Table1[[#This Row],[Gross Value]]*(1-Table1[[#This Row],[Discount]])</f>
        <v>1689.6</v>
      </c>
      <c r="P998" s="2">
        <v>0.2</v>
      </c>
      <c r="Q998" s="1">
        <f>Table1[[#This Row],[Revenue]]*Table1[[#This Row],[VAT Rate]]</f>
        <v>337.92</v>
      </c>
      <c r="R998" s="1">
        <f>Table1[[#This Row],[Revenue]]+Table1[[#This Row],[VAT Charged]]</f>
        <v>2027.52</v>
      </c>
      <c r="S998" s="1" cm="1">
        <f t="array" ref="S998">_xlfn.SWITCH(Table1[[#This Row],[Product ID]],"P001",140,"P002",80,"P003",72,"P004",30,"P005",110,"P006",24,"P007",14,"P008",12,"P009",115,"P010",360)</f>
        <v>140</v>
      </c>
      <c r="T998" s="1" cm="1">
        <f t="array" ref="T998">(_xlfn.SWITCH(Table1[[#This Row],[Product ID]],"P001",140,"P002",80,"P003",72,"P004",30,"P005",110,"P006",24,"P007",14,"P008",12,"P009",115,"P010",360))*Table1[[#This Row],[Quantity]]</f>
        <v>1120</v>
      </c>
      <c r="U998" s="1" cm="1">
        <f t="array" ref="U998">_xlfn.SWITCH(Table1[[#This Row],[Product ID]],"P001",15,"P002",0,"P003",8,"P004",8,"P005",0,"P006",7,"P007",7,"P008",6,"P009",45,"P010",60)</f>
        <v>15</v>
      </c>
      <c r="V998" s="1">
        <f>Table1[[#This Row],[Shipping per Unit]]*Table1[[#This Row],[Quantity]]</f>
        <v>120</v>
      </c>
      <c r="W998" s="2">
        <f>IF(Table1[[#This Row],[Total Shipping]]&gt;0.1,0.2,0)</f>
        <v>0.2</v>
      </c>
      <c r="X998" s="4">
        <f>Table1[[#This Row],[Total Shipping]]*Table1[[#This Row],[VAT on Shipping]]</f>
        <v>24</v>
      </c>
      <c r="Y998" s="1">
        <f>Table1[[#This Row],[Revenue]]-Table1[[#This Row],[COGS]]</f>
        <v>569.59999999999991</v>
      </c>
      <c r="Z998" s="3">
        <f>(Table1[[#This Row],[Profit]]/Table1[[#This Row],[Revenue]])</f>
        <v>0.3371212121212121</v>
      </c>
      <c r="AA998" s="1">
        <f>Table1[[#This Row],[Profit]]-Table1[[#This Row],[Total Shipping]]</f>
        <v>449.59999999999991</v>
      </c>
      <c r="AB998" s="3">
        <f>Table1[[#This Row],[Operating Profit]]/Table1[[#This Row],[Revenue]]</f>
        <v>0.26609848484848481</v>
      </c>
    </row>
    <row r="999" spans="1:28" x14ac:dyDescent="0.25">
      <c r="A999" t="s">
        <v>425</v>
      </c>
      <c r="B999">
        <v>447</v>
      </c>
      <c r="C999" t="s">
        <v>71</v>
      </c>
      <c r="D999" t="s">
        <v>67</v>
      </c>
      <c r="E999" t="s">
        <v>31</v>
      </c>
      <c r="F999" t="s">
        <v>50</v>
      </c>
      <c r="G999" t="str" cm="1">
        <f t="array" ref="G999">_xlfn.SWITCH(F999,"Acme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C024</v>
      </c>
      <c r="H999" t="s">
        <v>45</v>
      </c>
      <c r="I999" t="s">
        <v>42</v>
      </c>
      <c r="J999" t="str" cm="1">
        <f t="array" ref="J999">_xlfn.SWITCH(I999,"P001","Laptop","P002","Server Key","P003","Network Switch","P004","Data Storage Device","P005","Software License","P006","Monitor Stand","P007","Keyboard Tray","P008","Cable Management Tray","P009","Ergonomic Chair","P010","Standing Desk")</f>
        <v>Monitor Stand</v>
      </c>
      <c r="K999" s="1" cm="1">
        <f t="array" ref="K999">_xlfn.SWITCH(Table1[[#This Row],[Product ID]],"P001",220,"P002",150,"P003",130,"P004",70,"P005",200,"P006",40,"P007",25,"P008",20,"P009",190,"P010",530)</f>
        <v>40</v>
      </c>
      <c r="L999">
        <v>11</v>
      </c>
      <c r="M999" s="1">
        <f>Table1[[#This Row],[Unit Price]]*Table1[[#This Row],[Quantity]]</f>
        <v>440</v>
      </c>
      <c r="N999" s="2">
        <v>0.03</v>
      </c>
      <c r="O999" s="1">
        <f>Table1[[#This Row],[Gross Value]]*(1-Table1[[#This Row],[Discount]])</f>
        <v>426.8</v>
      </c>
      <c r="P999" s="2">
        <v>0.2</v>
      </c>
      <c r="Q999" s="1">
        <f>Table1[[#This Row],[Revenue]]*Table1[[#This Row],[VAT Rate]]</f>
        <v>85.360000000000014</v>
      </c>
      <c r="R999" s="1">
        <f>Table1[[#This Row],[Revenue]]+Table1[[#This Row],[VAT Charged]]</f>
        <v>512.16000000000008</v>
      </c>
      <c r="S999" s="1" cm="1">
        <f t="array" ref="S999">_xlfn.SWITCH(Table1[[#This Row],[Product ID]],"P001",140,"P002",80,"P003",72,"P004",30,"P005",110,"P006",24,"P007",14,"P008",12,"P009",115,"P010",360)</f>
        <v>24</v>
      </c>
      <c r="T999" s="1" cm="1">
        <f t="array" ref="T999">(_xlfn.SWITCH(Table1[[#This Row],[Product ID]],"P001",140,"P002",80,"P003",72,"P004",30,"P005",110,"P006",24,"P007",14,"P008",12,"P009",115,"P010",360))*Table1[[#This Row],[Quantity]]</f>
        <v>264</v>
      </c>
      <c r="U999" s="1" cm="1">
        <f t="array" ref="U999">_xlfn.SWITCH(Table1[[#This Row],[Product ID]],"P001",15,"P002",0,"P003",8,"P004",8,"P005",0,"P006",7,"P007",7,"P008",6,"P009",45,"P010",60)</f>
        <v>7</v>
      </c>
      <c r="V999" s="1">
        <f>Table1[[#This Row],[Shipping per Unit]]*Table1[[#This Row],[Quantity]]</f>
        <v>77</v>
      </c>
      <c r="W999" s="2">
        <f>IF(Table1[[#This Row],[Total Shipping]]&gt;0.1,0.2,0)</f>
        <v>0.2</v>
      </c>
      <c r="X999" s="4">
        <f>Table1[[#This Row],[Total Shipping]]*Table1[[#This Row],[VAT on Shipping]]</f>
        <v>15.4</v>
      </c>
      <c r="Y999" s="1">
        <f>Table1[[#This Row],[Revenue]]-Table1[[#This Row],[COGS]]</f>
        <v>162.80000000000001</v>
      </c>
      <c r="Z999" s="3">
        <f>(Table1[[#This Row],[Profit]]/Table1[[#This Row],[Revenue]])</f>
        <v>0.3814432989690722</v>
      </c>
      <c r="AA999" s="1">
        <f>Table1[[#This Row],[Profit]]-Table1[[#This Row],[Total Shipping]]</f>
        <v>85.800000000000011</v>
      </c>
      <c r="AB999" s="3">
        <f>Table1[[#This Row],[Operating Profit]]/Table1[[#This Row],[Revenue]]</f>
        <v>0.20103092783505155</v>
      </c>
    </row>
    <row r="1000" spans="1:28" x14ac:dyDescent="0.25">
      <c r="A1000" t="s">
        <v>425</v>
      </c>
      <c r="B1000">
        <v>463</v>
      </c>
      <c r="C1000" t="s">
        <v>38</v>
      </c>
      <c r="D1000" t="s">
        <v>63</v>
      </c>
      <c r="E1000" t="s">
        <v>49</v>
      </c>
      <c r="F1000" t="s">
        <v>66</v>
      </c>
      <c r="G1000" t="str" cm="1">
        <f t="array" ref="G1000">_xlfn.SWITCH(F1000,"Acme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C021</v>
      </c>
      <c r="H1000" t="s">
        <v>45</v>
      </c>
      <c r="I1000" t="s">
        <v>52</v>
      </c>
      <c r="J1000" t="str" cm="1">
        <f t="array" ref="J1000">_xlfn.SWITCH(I1000,"P001","Laptop","P002","Server Key","P003","Network Switch","P004","Data Storage Device","P005","Software License","P006","Monitor Stand","P007","Keyboard Tray","P008","Cable Management Tray","P009","Ergonomic Chair","P010","Standing Desk")</f>
        <v>Network Switch</v>
      </c>
      <c r="K1000" s="1" cm="1">
        <f t="array" ref="K1000">_xlfn.SWITCH(Table1[[#This Row],[Product ID]],"P001",220,"P002",150,"P003",130,"P004",70,"P005",200,"P006",40,"P007",25,"P008",20,"P009",190,"P010",530)</f>
        <v>130</v>
      </c>
      <c r="L1000">
        <v>17</v>
      </c>
      <c r="M1000" s="1">
        <f>Table1[[#This Row],[Unit Price]]*Table1[[#This Row],[Quantity]]</f>
        <v>2210</v>
      </c>
      <c r="N1000" s="2">
        <v>0.06</v>
      </c>
      <c r="O1000" s="1">
        <f>Table1[[#This Row],[Gross Value]]*(1-Table1[[#This Row],[Discount]])</f>
        <v>2077.4</v>
      </c>
      <c r="P1000" s="2">
        <v>0.2</v>
      </c>
      <c r="Q1000" s="1">
        <f>Table1[[#This Row],[Revenue]]*Table1[[#This Row],[VAT Rate]]</f>
        <v>415.48</v>
      </c>
      <c r="R1000" s="1">
        <f>Table1[[#This Row],[Revenue]]+Table1[[#This Row],[VAT Charged]]</f>
        <v>2492.88</v>
      </c>
      <c r="S1000" s="1" cm="1">
        <f t="array" ref="S1000">_xlfn.SWITCH(Table1[[#This Row],[Product ID]],"P001",140,"P002",80,"P003",72,"P004",30,"P005",110,"P006",24,"P007",14,"P008",12,"P009",115,"P010",360)</f>
        <v>72</v>
      </c>
      <c r="T1000" s="1" cm="1">
        <f t="array" ref="T1000">(_xlfn.SWITCH(Table1[[#This Row],[Product ID]],"P001",140,"P002",80,"P003",72,"P004",30,"P005",110,"P006",24,"P007",14,"P008",12,"P009",115,"P010",360))*Table1[[#This Row],[Quantity]]</f>
        <v>1224</v>
      </c>
      <c r="U1000" s="1" cm="1">
        <f t="array" ref="U1000">_xlfn.SWITCH(Table1[[#This Row],[Product ID]],"P001",15,"P002",0,"P003",8,"P004",8,"P005",0,"P006",7,"P007",7,"P008",6,"P009",45,"P010",60)</f>
        <v>8</v>
      </c>
      <c r="V1000" s="1">
        <f>Table1[[#This Row],[Shipping per Unit]]*Table1[[#This Row],[Quantity]]</f>
        <v>136</v>
      </c>
      <c r="W1000" s="2">
        <f>IF(Table1[[#This Row],[Total Shipping]]&gt;0.1,0.2,0)</f>
        <v>0.2</v>
      </c>
      <c r="X1000" s="4">
        <f>Table1[[#This Row],[Total Shipping]]*Table1[[#This Row],[VAT on Shipping]]</f>
        <v>27.200000000000003</v>
      </c>
      <c r="Y1000" s="1">
        <f>Table1[[#This Row],[Revenue]]-Table1[[#This Row],[COGS]]</f>
        <v>853.40000000000009</v>
      </c>
      <c r="Z1000" s="3">
        <f>(Table1[[#This Row],[Profit]]/Table1[[#This Row],[Revenue]])</f>
        <v>0.41080196399345337</v>
      </c>
      <c r="AA1000" s="1">
        <f>Table1[[#This Row],[Profit]]-Table1[[#This Row],[Total Shipping]]</f>
        <v>717.40000000000009</v>
      </c>
      <c r="AB1000" s="3">
        <f>Table1[[#This Row],[Operating Profit]]/Table1[[#This Row],[Revenue]]</f>
        <v>0.34533551554828151</v>
      </c>
    </row>
    <row r="1001" spans="1:28" x14ac:dyDescent="0.25">
      <c r="A1001" t="s">
        <v>425</v>
      </c>
      <c r="B1001">
        <v>790</v>
      </c>
      <c r="C1001" t="s">
        <v>35</v>
      </c>
      <c r="D1001" t="s">
        <v>67</v>
      </c>
      <c r="E1001" t="s">
        <v>31</v>
      </c>
      <c r="F1001" t="s">
        <v>87</v>
      </c>
      <c r="G1001" t="str" cm="1">
        <f t="array" ref="G1001">_xlfn.SWITCH(F1001,"Acme Corporation","C001","Starlight Industries","C002","Galactic Enterprises","C003","Sunrise Solutions","C004","Moonbeam Innovations","C005","Stellar Systems","C006","Nebula Technologies","C007","Cosmic Creations","C008","Infinity Innovations","C009","Aurora Enterprises","C010","Solar Solutions","C011","Lunar Labs","C012","Celestial Industries","C013","Supernova Solutions","C014","Orion Enterprises","C015","Comet Corporation","C016","AstroTech","C017","Nova Innovations","C018","Interstellar Enterprises","C019","Cosmos Creations","C020","Planetary Partners","C021","Saturn Solutions","C022","Mercury Industries","C023","Venus Ventures","C024","Mars Enterprises","C025")</f>
        <v>C010</v>
      </c>
      <c r="H1001" t="s">
        <v>45</v>
      </c>
      <c r="I1001" t="s">
        <v>46</v>
      </c>
      <c r="J1001" t="str" cm="1">
        <f t="array" ref="J1001">_xlfn.SWITCH(I1001,"P001","Laptop","P002","Server Key","P003","Network Switch","P004","Data Storage Device","P005","Software License","P006","Monitor Stand","P007","Keyboard Tray","P008","Cable Management Tray","P009","Ergonomic Chair","P010","Standing Desk")</f>
        <v>Standing Desk</v>
      </c>
      <c r="K1001" s="1" cm="1">
        <f t="array" ref="K1001">_xlfn.SWITCH(Table1[[#This Row],[Product ID]],"P001",220,"P002",150,"P003",130,"P004",70,"P005",200,"P006",40,"P007",25,"P008",20,"P009",190,"P010",530)</f>
        <v>530</v>
      </c>
      <c r="L1001">
        <v>11</v>
      </c>
      <c r="M1001" s="1">
        <f>Table1[[#This Row],[Unit Price]]*Table1[[#This Row],[Quantity]]</f>
        <v>5830</v>
      </c>
      <c r="N1001" s="2">
        <v>7.0000000000000007E-2</v>
      </c>
      <c r="O1001" s="1">
        <f>Table1[[#This Row],[Gross Value]]*(1-Table1[[#This Row],[Discount]])</f>
        <v>5421.9</v>
      </c>
      <c r="P1001" s="2">
        <v>0.2</v>
      </c>
      <c r="Q1001" s="1">
        <f>Table1[[#This Row],[Revenue]]*Table1[[#This Row],[VAT Rate]]</f>
        <v>1084.3799999999999</v>
      </c>
      <c r="R1001" s="1">
        <f>Table1[[#This Row],[Revenue]]+Table1[[#This Row],[VAT Charged]]</f>
        <v>6506.28</v>
      </c>
      <c r="S1001" s="1" cm="1">
        <f t="array" ref="S1001">_xlfn.SWITCH(Table1[[#This Row],[Product ID]],"P001",140,"P002",80,"P003",72,"P004",30,"P005",110,"P006",24,"P007",14,"P008",12,"P009",115,"P010",360)</f>
        <v>360</v>
      </c>
      <c r="T1001" s="1" cm="1">
        <f t="array" ref="T1001">(_xlfn.SWITCH(Table1[[#This Row],[Product ID]],"P001",140,"P002",80,"P003",72,"P004",30,"P005",110,"P006",24,"P007",14,"P008",12,"P009",115,"P010",360))*Table1[[#This Row],[Quantity]]</f>
        <v>3960</v>
      </c>
      <c r="U1001" s="1" cm="1">
        <f t="array" ref="U1001">_xlfn.SWITCH(Table1[[#This Row],[Product ID]],"P001",15,"P002",0,"P003",8,"P004",8,"P005",0,"P006",7,"P007",7,"P008",6,"P009",45,"P010",60)</f>
        <v>60</v>
      </c>
      <c r="V1001" s="1">
        <f>Table1[[#This Row],[Shipping per Unit]]*Table1[[#This Row],[Quantity]]</f>
        <v>660</v>
      </c>
      <c r="W1001" s="2">
        <f>IF(Table1[[#This Row],[Total Shipping]]&gt;0.1,0.2,0)</f>
        <v>0.2</v>
      </c>
      <c r="X1001" s="4">
        <f>Table1[[#This Row],[Total Shipping]]*Table1[[#This Row],[VAT on Shipping]]</f>
        <v>132</v>
      </c>
      <c r="Y1001" s="1">
        <f>Table1[[#This Row],[Revenue]]-Table1[[#This Row],[COGS]]</f>
        <v>1461.8999999999996</v>
      </c>
      <c r="Z1001" s="3">
        <f>(Table1[[#This Row],[Profit]]/Table1[[#This Row],[Revenue]])</f>
        <v>0.26962872793670112</v>
      </c>
      <c r="AA1001" s="1">
        <f>Table1[[#This Row],[Profit]]-Table1[[#This Row],[Total Shipping]]</f>
        <v>801.89999999999964</v>
      </c>
      <c r="AB1001" s="3">
        <f>Table1[[#This Row],[Operating Profit]]/Table1[[#This Row],[Revenue]]</f>
        <v>0.14790018259281795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2026-08-03T04:16:28Z</dcterms:created>
  <dcterms:modified xsi:type="dcterms:W3CDTF">2026-08-03T04:17:08Z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2026-07-30T22:28:46Z</dcterms:created>
  <cp:revision>0</cp:revision>
</cp:coreProperties>
</file>